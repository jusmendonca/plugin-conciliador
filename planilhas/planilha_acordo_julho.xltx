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C:\Users\marcos.assis\Documents\Modelos Personalizados do Office\"/>
    </mc:Choice>
  </mc:AlternateContent>
  <xr:revisionPtr revIDLastSave="0" documentId="8_{843337C3-F369-43C5-89CB-A5303598ECC7}" xr6:coauthVersionLast="47" xr6:coauthVersionMax="47" xr10:uidLastSave="{00000000-0000-0000-0000-000000000000}"/>
  <bookViews>
    <workbookView xWindow="-120" yWindow="-120" windowWidth="29040" windowHeight="15720" tabRatio="889" xr2:uid="{00000000-000D-0000-FFFF-FFFF00000000}"/>
  </bookViews>
  <sheets>
    <sheet name="Benef com 13º" sheetId="32" r:id="rId1"/>
    <sheet name="Benef (Com 25%)" sheetId="29" r:id="rId2"/>
    <sheet name="BPC LOAS " sheetId="33" r:id="rId3"/>
    <sheet name="Matern - acordo" sheetId="21" r:id="rId4"/>
    <sheet name="Seg Def - acordo" sheetId="18" r:id="rId5"/>
    <sheet name="Ben 90% E.R.S.E." sheetId="24" r:id="rId6"/>
    <sheet name="LOAS 90% E.R.S.E." sheetId="25" r:id="rId7"/>
    <sheet name="Benef 95% E.R.S.E." sheetId="35" r:id="rId8"/>
    <sheet name="LOAS 95% E.R.S.E." sheetId="36" r:id="rId9"/>
    <sheet name="Benef 100% E.R.S.E." sheetId="37" r:id="rId10"/>
    <sheet name="LOAS 100% E.R.S.E." sheetId="38" r:id="rId11"/>
    <sheet name="Benef Mín análise de execução" sheetId="30" r:id="rId12"/>
    <sheet name="LOAS análise de execução" sheetId="31" r:id="rId13"/>
    <sheet name="base(indices)" sheetId="2" r:id="rId14"/>
    <sheet name="Plan3" sheetId="3" r:id="rId15"/>
  </sheets>
  <definedNames>
    <definedName name="_xlnm.Print_Area" localSheetId="1">'Benef (Com 25%)'!$A$1:$AA$202</definedName>
    <definedName name="_xlnm.Print_Area" localSheetId="0">'Benef com 13º'!$A$1:$AA$202</definedName>
    <definedName name="_xlnm.Print_Area" localSheetId="11">'Benef Mín análise de execução'!$A$1:$AA$202</definedName>
    <definedName name="_xlnm.Print_Area" localSheetId="12">'LOAS análise de execução'!$A$1:$AA$202</definedName>
    <definedName name="OLE_LINK1" localSheetId="13">'base(indices)'!#REF!</definedName>
    <definedName name="_xlnm.Print_Titles" localSheetId="1">'Benef (Com 25%)'!$9:$10</definedName>
    <definedName name="_xlnm.Print_Titles" localSheetId="0">'Benef com 13º'!$9:$10</definedName>
    <definedName name="_xlnm.Print_Titles" localSheetId="11">'Benef Mín análise de execução'!$9:$10</definedName>
    <definedName name="_xlnm.Print_Titles" localSheetId="2">'BPC LOAS '!$9:$10</definedName>
    <definedName name="_xlnm.Print_Titles" localSheetId="12">'LOAS análise de execução'!$9:$10</definedName>
    <definedName name="_xlnm.Print_Titles" localSheetId="3">'Matern - acordo'!$10:$11</definedName>
    <definedName name="_xlnm.Print_Titles" localSheetId="4">'Seg Def - acordo'!$9:$10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6" i="32" l="1"/>
  <c r="G177" i="2"/>
  <c r="I177" i="2"/>
  <c r="L45" i="38"/>
  <c r="L44" i="38"/>
  <c r="L43" i="38"/>
  <c r="L42" i="38"/>
  <c r="L41" i="38"/>
  <c r="L40" i="38"/>
  <c r="L39" i="38"/>
  <c r="L38" i="38"/>
  <c r="L37" i="38"/>
  <c r="L36" i="38"/>
  <c r="L35" i="38"/>
  <c r="L34" i="38"/>
  <c r="L45" i="37"/>
  <c r="L44" i="37"/>
  <c r="L43" i="37"/>
  <c r="L42" i="37"/>
  <c r="L41" i="37"/>
  <c r="L40" i="37"/>
  <c r="L39" i="37"/>
  <c r="L38" i="37"/>
  <c r="L37" i="37"/>
  <c r="L36" i="37"/>
  <c r="L35" i="37"/>
  <c r="L34" i="37"/>
  <c r="J45" i="38"/>
  <c r="B45" i="38"/>
  <c r="J44" i="38"/>
  <c r="B44" i="38"/>
  <c r="J43" i="38"/>
  <c r="B43" i="38"/>
  <c r="J42" i="38"/>
  <c r="B42" i="38"/>
  <c r="J41" i="38"/>
  <c r="B41" i="38"/>
  <c r="J40" i="38"/>
  <c r="B40" i="38"/>
  <c r="B39" i="38"/>
  <c r="B38" i="38"/>
  <c r="B37" i="38"/>
  <c r="J36" i="38"/>
  <c r="B36" i="38"/>
  <c r="B35" i="38"/>
  <c r="B34" i="38"/>
  <c r="I33" i="38"/>
  <c r="B33" i="38"/>
  <c r="I32" i="38"/>
  <c r="B32" i="38"/>
  <c r="I31" i="38"/>
  <c r="B31" i="38"/>
  <c r="I30" i="38"/>
  <c r="B30" i="38"/>
  <c r="I29" i="38"/>
  <c r="B29" i="38"/>
  <c r="I28" i="38"/>
  <c r="B28" i="38"/>
  <c r="I27" i="38"/>
  <c r="B27" i="38"/>
  <c r="I26" i="38"/>
  <c r="B26" i="38"/>
  <c r="I25" i="38"/>
  <c r="B25" i="38"/>
  <c r="I24" i="38"/>
  <c r="B24" i="38"/>
  <c r="I23" i="38"/>
  <c r="B23" i="38"/>
  <c r="I22" i="38"/>
  <c r="B22" i="38"/>
  <c r="I21" i="38"/>
  <c r="B21" i="38"/>
  <c r="I20" i="38"/>
  <c r="B20" i="38"/>
  <c r="I19" i="38"/>
  <c r="B19" i="38"/>
  <c r="I18" i="38"/>
  <c r="B18" i="38"/>
  <c r="I17" i="38"/>
  <c r="B17" i="38"/>
  <c r="I16" i="38"/>
  <c r="B16" i="38"/>
  <c r="I15" i="38"/>
  <c r="B15" i="38"/>
  <c r="I14" i="38"/>
  <c r="B14" i="38"/>
  <c r="I13" i="38"/>
  <c r="B13" i="38"/>
  <c r="I12" i="38"/>
  <c r="B12" i="38"/>
  <c r="I11" i="38"/>
  <c r="B11" i="38"/>
  <c r="I10" i="38"/>
  <c r="B10" i="38"/>
  <c r="I9" i="38"/>
  <c r="B9" i="38"/>
  <c r="I8" i="38"/>
  <c r="B8" i="38"/>
  <c r="I7" i="38"/>
  <c r="B7" i="38"/>
  <c r="I6" i="38"/>
  <c r="B6" i="38"/>
  <c r="I5" i="38"/>
  <c r="B5" i="38"/>
  <c r="I4" i="38"/>
  <c r="B4" i="38"/>
  <c r="G2" i="38"/>
  <c r="J45" i="37"/>
  <c r="B45" i="37"/>
  <c r="J44" i="37"/>
  <c r="B44" i="37"/>
  <c r="J43" i="37"/>
  <c r="B43" i="37"/>
  <c r="J42" i="37"/>
  <c r="B42" i="37"/>
  <c r="J41" i="37"/>
  <c r="B41" i="37"/>
  <c r="J40" i="37"/>
  <c r="B40" i="37"/>
  <c r="J39" i="37"/>
  <c r="B39" i="37"/>
  <c r="J38" i="37"/>
  <c r="B38" i="37"/>
  <c r="J37" i="37"/>
  <c r="B37" i="37"/>
  <c r="J36" i="37"/>
  <c r="I36" i="37"/>
  <c r="B36" i="37"/>
  <c r="J35" i="37"/>
  <c r="I35" i="37"/>
  <c r="B35" i="37"/>
  <c r="J34" i="37"/>
  <c r="I34" i="37"/>
  <c r="B34" i="37"/>
  <c r="I33" i="37"/>
  <c r="B33" i="37"/>
  <c r="I32" i="37"/>
  <c r="B32" i="37"/>
  <c r="I31" i="37"/>
  <c r="B31" i="37"/>
  <c r="I30" i="37"/>
  <c r="B30" i="37"/>
  <c r="I29" i="37"/>
  <c r="B29" i="37"/>
  <c r="I28" i="37"/>
  <c r="B28" i="37"/>
  <c r="I27" i="37"/>
  <c r="B27" i="37"/>
  <c r="I26" i="37"/>
  <c r="B26" i="37"/>
  <c r="I25" i="37"/>
  <c r="B25" i="37"/>
  <c r="I24" i="37"/>
  <c r="B24" i="37"/>
  <c r="I23" i="37"/>
  <c r="B23" i="37"/>
  <c r="I22" i="37"/>
  <c r="B22" i="37"/>
  <c r="I21" i="37"/>
  <c r="B21" i="37"/>
  <c r="I20" i="37"/>
  <c r="B20" i="37"/>
  <c r="I19" i="37"/>
  <c r="B19" i="37"/>
  <c r="I18" i="37"/>
  <c r="B18" i="37"/>
  <c r="I17" i="37"/>
  <c r="B17" i="37"/>
  <c r="I16" i="37"/>
  <c r="B16" i="37"/>
  <c r="I15" i="37"/>
  <c r="B15" i="37"/>
  <c r="I14" i="37"/>
  <c r="B14" i="37"/>
  <c r="I13" i="37"/>
  <c r="B13" i="37"/>
  <c r="I12" i="37"/>
  <c r="B12" i="37"/>
  <c r="I11" i="37"/>
  <c r="B11" i="37"/>
  <c r="I10" i="37"/>
  <c r="B10" i="37"/>
  <c r="I9" i="37"/>
  <c r="B9" i="37"/>
  <c r="I8" i="37"/>
  <c r="B8" i="37"/>
  <c r="I7" i="37"/>
  <c r="B7" i="37"/>
  <c r="I6" i="37"/>
  <c r="B6" i="37"/>
  <c r="I5" i="37"/>
  <c r="B5" i="37"/>
  <c r="I4" i="37"/>
  <c r="B4" i="37"/>
  <c r="G2" i="37"/>
  <c r="J45" i="25"/>
  <c r="J44" i="25"/>
  <c r="J43" i="25"/>
  <c r="J42" i="25"/>
  <c r="J41" i="25"/>
  <c r="J40" i="25"/>
  <c r="J39" i="25"/>
  <c r="J39" i="38" s="1"/>
  <c r="J38" i="25"/>
  <c r="J38" i="38" s="1"/>
  <c r="J33" i="24"/>
  <c r="J33" i="37" s="1"/>
  <c r="I176" i="2"/>
  <c r="F126" i="33" s="1"/>
  <c r="G176" i="2"/>
  <c r="F127" i="33"/>
  <c r="F128" i="33"/>
  <c r="F129" i="33"/>
  <c r="F130" i="33"/>
  <c r="F131" i="33"/>
  <c r="F132" i="33"/>
  <c r="F133" i="33"/>
  <c r="J37" i="25"/>
  <c r="J37" i="38" s="1"/>
  <c r="I175" i="2"/>
  <c r="F125" i="33" s="1"/>
  <c r="G175" i="2"/>
  <c r="J34" i="25"/>
  <c r="J34" i="38" s="1"/>
  <c r="J35" i="25"/>
  <c r="J35" i="38" s="1"/>
  <c r="J36" i="25"/>
  <c r="L35" i="25"/>
  <c r="I174" i="2"/>
  <c r="F124" i="33" s="1"/>
  <c r="G174" i="2"/>
  <c r="B21" i="18"/>
  <c r="A123" i="21"/>
  <c r="B139" i="33"/>
  <c r="B199" i="29"/>
  <c r="J34" i="36" l="1"/>
  <c r="J35" i="36"/>
  <c r="J36" i="36"/>
  <c r="J37" i="36"/>
  <c r="J38" i="36"/>
  <c r="J39" i="36"/>
  <c r="J40" i="36"/>
  <c r="J41" i="36"/>
  <c r="J42" i="36"/>
  <c r="J43" i="36"/>
  <c r="J44" i="36"/>
  <c r="J45" i="36"/>
  <c r="J34" i="35"/>
  <c r="J35" i="35"/>
  <c r="J36" i="35"/>
  <c r="J37" i="35"/>
  <c r="J38" i="35"/>
  <c r="J39" i="35"/>
  <c r="J40" i="35"/>
  <c r="J41" i="35"/>
  <c r="J42" i="35"/>
  <c r="J43" i="35"/>
  <c r="J44" i="35"/>
  <c r="J45" i="35"/>
  <c r="J33" i="35"/>
  <c r="J32" i="24"/>
  <c r="J33" i="25"/>
  <c r="D19" i="18"/>
  <c r="D184" i="32"/>
  <c r="D193" i="32"/>
  <c r="D192" i="32"/>
  <c r="D191" i="32"/>
  <c r="D190" i="32"/>
  <c r="D189" i="32"/>
  <c r="D188" i="32"/>
  <c r="D187" i="32"/>
  <c r="D186" i="32"/>
  <c r="D185" i="32"/>
  <c r="J32" i="25" l="1"/>
  <c r="J33" i="38"/>
  <c r="J31" i="24"/>
  <c r="J31" i="37" s="1"/>
  <c r="J32" i="37"/>
  <c r="J33" i="36"/>
  <c r="J30" i="24"/>
  <c r="J30" i="37" s="1"/>
  <c r="J31" i="35"/>
  <c r="J32" i="35"/>
  <c r="C182" i="32"/>
  <c r="J32" i="36" l="1"/>
  <c r="J32" i="38"/>
  <c r="J31" i="25"/>
  <c r="J31" i="38" s="1"/>
  <c r="J30" i="25"/>
  <c r="J30" i="38" s="1"/>
  <c r="J31" i="36"/>
  <c r="J29" i="24"/>
  <c r="J29" i="37" s="1"/>
  <c r="J30" i="35"/>
  <c r="I173" i="2"/>
  <c r="F123" i="33" s="1"/>
  <c r="G173" i="2"/>
  <c r="J29" i="25" l="1"/>
  <c r="J29" i="38" s="1"/>
  <c r="J30" i="36"/>
  <c r="J28" i="24"/>
  <c r="J28" i="37" s="1"/>
  <c r="J29" i="35"/>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21" i="30"/>
  <c r="C22" i="30" s="1"/>
  <c r="C20" i="30"/>
  <c r="C19" i="30"/>
  <c r="C18" i="30"/>
  <c r="C17" i="30"/>
  <c r="C16" i="30"/>
  <c r="C15" i="30"/>
  <c r="C14" i="30"/>
  <c r="C13" i="30"/>
  <c r="C12" i="30"/>
  <c r="C11" i="30"/>
  <c r="C33" i="30"/>
  <c r="C34" i="30" s="1"/>
  <c r="C32" i="30"/>
  <c r="C31" i="30"/>
  <c r="C30" i="30"/>
  <c r="C29" i="30"/>
  <c r="C28" i="30"/>
  <c r="C27" i="30"/>
  <c r="C26" i="30"/>
  <c r="C25" i="30"/>
  <c r="C24" i="30"/>
  <c r="C23" i="30"/>
  <c r="B45" i="36"/>
  <c r="B44" i="36"/>
  <c r="B43" i="36"/>
  <c r="B42" i="36"/>
  <c r="B41" i="36"/>
  <c r="B40" i="36"/>
  <c r="B39" i="36"/>
  <c r="B38" i="36"/>
  <c r="B37" i="36"/>
  <c r="B36" i="36"/>
  <c r="B35" i="36"/>
  <c r="B34" i="36"/>
  <c r="I33" i="36"/>
  <c r="B33" i="36"/>
  <c r="I32" i="36"/>
  <c r="B32" i="36"/>
  <c r="I31" i="36"/>
  <c r="B31" i="36"/>
  <c r="I30" i="36"/>
  <c r="B30" i="36"/>
  <c r="I29" i="36"/>
  <c r="B29" i="36"/>
  <c r="I28" i="36"/>
  <c r="B28" i="36"/>
  <c r="I27" i="36"/>
  <c r="B27" i="36"/>
  <c r="I26" i="36"/>
  <c r="B26" i="36"/>
  <c r="I25" i="36"/>
  <c r="B25" i="36"/>
  <c r="I24" i="36"/>
  <c r="B24" i="36"/>
  <c r="I23" i="36"/>
  <c r="B23" i="36"/>
  <c r="I22" i="36"/>
  <c r="B22" i="36"/>
  <c r="I21" i="36"/>
  <c r="B21" i="36"/>
  <c r="I20" i="36"/>
  <c r="B20" i="36"/>
  <c r="I19" i="36"/>
  <c r="B19" i="36"/>
  <c r="I18" i="36"/>
  <c r="B18" i="36"/>
  <c r="I17" i="36"/>
  <c r="B17" i="36"/>
  <c r="I16" i="36"/>
  <c r="B16" i="36"/>
  <c r="I15" i="36"/>
  <c r="B15" i="36"/>
  <c r="I14" i="36"/>
  <c r="B14" i="36"/>
  <c r="I13" i="36"/>
  <c r="B13" i="36"/>
  <c r="I12" i="36"/>
  <c r="B12" i="36"/>
  <c r="I11" i="36"/>
  <c r="B11" i="36"/>
  <c r="I10" i="36"/>
  <c r="B10" i="36"/>
  <c r="I9" i="36"/>
  <c r="B9" i="36"/>
  <c r="I8" i="36"/>
  <c r="B8" i="36"/>
  <c r="I7" i="36"/>
  <c r="B7" i="36"/>
  <c r="I6" i="36"/>
  <c r="B6" i="36"/>
  <c r="I5" i="36"/>
  <c r="B5" i="36"/>
  <c r="I4" i="36"/>
  <c r="B4" i="36"/>
  <c r="G2" i="36"/>
  <c r="B45" i="35"/>
  <c r="B44" i="35"/>
  <c r="B43" i="35"/>
  <c r="B42" i="35"/>
  <c r="B41" i="35"/>
  <c r="B40" i="35"/>
  <c r="B39" i="35"/>
  <c r="B38" i="35"/>
  <c r="B37" i="35"/>
  <c r="I36" i="35"/>
  <c r="B36" i="35"/>
  <c r="I35" i="35"/>
  <c r="B35" i="35"/>
  <c r="I34" i="35"/>
  <c r="B34" i="35"/>
  <c r="I33" i="35"/>
  <c r="B33" i="35"/>
  <c r="I32" i="35"/>
  <c r="B32" i="35"/>
  <c r="I31" i="35"/>
  <c r="B31" i="35"/>
  <c r="I30" i="35"/>
  <c r="B30" i="35"/>
  <c r="I29" i="35"/>
  <c r="B29" i="35"/>
  <c r="I28" i="35"/>
  <c r="B28" i="35"/>
  <c r="I27" i="35"/>
  <c r="B27" i="35"/>
  <c r="I26" i="35"/>
  <c r="B26" i="35"/>
  <c r="I25" i="35"/>
  <c r="B25" i="35"/>
  <c r="I24" i="35"/>
  <c r="B24" i="35"/>
  <c r="I23" i="35"/>
  <c r="B23" i="35"/>
  <c r="I22" i="35"/>
  <c r="B22" i="35"/>
  <c r="I21" i="35"/>
  <c r="B21" i="35"/>
  <c r="I20" i="35"/>
  <c r="B20" i="35"/>
  <c r="I19" i="35"/>
  <c r="B19" i="35"/>
  <c r="I18" i="35"/>
  <c r="B18" i="35"/>
  <c r="I17" i="35"/>
  <c r="B17" i="35"/>
  <c r="I16" i="35"/>
  <c r="B16" i="35"/>
  <c r="I15" i="35"/>
  <c r="B15" i="35"/>
  <c r="I14" i="35"/>
  <c r="B14" i="35"/>
  <c r="I13" i="35"/>
  <c r="B13" i="35"/>
  <c r="I12" i="35"/>
  <c r="B12" i="35"/>
  <c r="I11" i="35"/>
  <c r="B11" i="35"/>
  <c r="I10" i="35"/>
  <c r="B10" i="35"/>
  <c r="I9" i="35"/>
  <c r="B9" i="35"/>
  <c r="I8" i="35"/>
  <c r="B8" i="35"/>
  <c r="I7" i="35"/>
  <c r="B7" i="35"/>
  <c r="I6" i="35"/>
  <c r="B6" i="35"/>
  <c r="I5" i="35"/>
  <c r="B5" i="35"/>
  <c r="I4" i="35"/>
  <c r="B4" i="35"/>
  <c r="G2" i="35"/>
  <c r="I6" i="25"/>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5" i="25"/>
  <c r="I4"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5" i="25"/>
  <c r="B4" i="25"/>
  <c r="B4" i="24"/>
  <c r="I4"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C192" i="29"/>
  <c r="C193" i="29" s="1"/>
  <c r="C191" i="29"/>
  <c r="C190" i="29"/>
  <c r="C189" i="29"/>
  <c r="C188" i="29"/>
  <c r="C187" i="29"/>
  <c r="C186" i="29"/>
  <c r="C185" i="29"/>
  <c r="C184" i="29"/>
  <c r="C183" i="29"/>
  <c r="C182" i="29"/>
  <c r="C165" i="29"/>
  <c r="C166" i="29" s="1"/>
  <c r="C164" i="29"/>
  <c r="C163" i="29"/>
  <c r="C162" i="29"/>
  <c r="C161" i="29"/>
  <c r="C160" i="29"/>
  <c r="C159" i="29"/>
  <c r="C158" i="29"/>
  <c r="C157" i="29"/>
  <c r="C156" i="29"/>
  <c r="C155" i="29"/>
  <c r="C153" i="29"/>
  <c r="C154" i="29" s="1"/>
  <c r="C152" i="29"/>
  <c r="C151" i="29"/>
  <c r="C150" i="29"/>
  <c r="C149" i="29"/>
  <c r="C148" i="29"/>
  <c r="C147" i="29"/>
  <c r="C146" i="29"/>
  <c r="C145" i="29"/>
  <c r="C144" i="29"/>
  <c r="C143" i="29"/>
  <c r="C141" i="29"/>
  <c r="C142" i="29" s="1"/>
  <c r="C140" i="29"/>
  <c r="C139" i="29"/>
  <c r="C138" i="29"/>
  <c r="C137" i="29"/>
  <c r="C136" i="29"/>
  <c r="C135" i="29"/>
  <c r="C134" i="29"/>
  <c r="C133" i="29"/>
  <c r="C132" i="29"/>
  <c r="C131" i="29"/>
  <c r="C129" i="29"/>
  <c r="C130" i="29" s="1"/>
  <c r="C128" i="29"/>
  <c r="C127" i="29"/>
  <c r="C126" i="29"/>
  <c r="C125" i="29"/>
  <c r="C124" i="29"/>
  <c r="C123" i="29"/>
  <c r="C122" i="29"/>
  <c r="C121" i="29"/>
  <c r="C120" i="29"/>
  <c r="C119" i="29"/>
  <c r="C117" i="29"/>
  <c r="C118" i="29" s="1"/>
  <c r="C116" i="29"/>
  <c r="C115" i="29"/>
  <c r="C114" i="29"/>
  <c r="C113" i="29"/>
  <c r="C112" i="29"/>
  <c r="C111" i="29"/>
  <c r="C110" i="29"/>
  <c r="C109" i="29"/>
  <c r="C108" i="29"/>
  <c r="C107" i="29"/>
  <c r="C105" i="29"/>
  <c r="C106" i="29" s="1"/>
  <c r="C104" i="29"/>
  <c r="C103" i="29"/>
  <c r="C102" i="29"/>
  <c r="C101" i="29"/>
  <c r="C100" i="29"/>
  <c r="C99" i="29"/>
  <c r="C98" i="29"/>
  <c r="C97" i="29"/>
  <c r="C96" i="29"/>
  <c r="C95" i="29"/>
  <c r="C93" i="29"/>
  <c r="C94" i="29" s="1"/>
  <c r="C92" i="29"/>
  <c r="C91" i="29"/>
  <c r="C90" i="29"/>
  <c r="C89" i="29"/>
  <c r="C88" i="29"/>
  <c r="C87" i="29"/>
  <c r="C86" i="29"/>
  <c r="C85" i="29"/>
  <c r="C84" i="29"/>
  <c r="C83" i="29"/>
  <c r="C81" i="29"/>
  <c r="C82" i="29" s="1"/>
  <c r="C80" i="29"/>
  <c r="C79" i="29"/>
  <c r="C78" i="29"/>
  <c r="C77" i="29"/>
  <c r="C76" i="29"/>
  <c r="C75" i="29"/>
  <c r="C74" i="29"/>
  <c r="C73" i="29"/>
  <c r="C72" i="29"/>
  <c r="C71" i="29"/>
  <c r="C69" i="29"/>
  <c r="C70" i="29" s="1"/>
  <c r="C68" i="29"/>
  <c r="C67" i="29"/>
  <c r="C66" i="29"/>
  <c r="C65" i="29"/>
  <c r="C64" i="29"/>
  <c r="C63" i="29"/>
  <c r="C62" i="29"/>
  <c r="C61" i="29"/>
  <c r="C60" i="29"/>
  <c r="C59" i="29"/>
  <c r="C57" i="29"/>
  <c r="C58" i="29" s="1"/>
  <c r="C56" i="29"/>
  <c r="C55" i="29"/>
  <c r="C54" i="29"/>
  <c r="C53" i="29"/>
  <c r="C52" i="29"/>
  <c r="C51" i="29"/>
  <c r="C50" i="29"/>
  <c r="C49" i="29"/>
  <c r="C48" i="29"/>
  <c r="C47" i="29"/>
  <c r="C45" i="29"/>
  <c r="C46" i="29" s="1"/>
  <c r="C44" i="29"/>
  <c r="C43" i="29"/>
  <c r="C42" i="29"/>
  <c r="C41" i="29"/>
  <c r="C40" i="29"/>
  <c r="C39" i="29"/>
  <c r="C38" i="29"/>
  <c r="C37" i="29"/>
  <c r="C36" i="29"/>
  <c r="C35" i="29"/>
  <c r="C33" i="29"/>
  <c r="C34" i="29" s="1"/>
  <c r="C32" i="29"/>
  <c r="C31" i="29"/>
  <c r="C30" i="29"/>
  <c r="C29" i="29"/>
  <c r="C28" i="29"/>
  <c r="C27" i="29"/>
  <c r="C26" i="29"/>
  <c r="C25" i="29"/>
  <c r="C24" i="29"/>
  <c r="C23" i="29"/>
  <c r="C13" i="29"/>
  <c r="C14" i="29"/>
  <c r="C15" i="29"/>
  <c r="C16" i="29"/>
  <c r="C17" i="29"/>
  <c r="C18" i="29"/>
  <c r="C19" i="29"/>
  <c r="C20" i="29"/>
  <c r="C21" i="29"/>
  <c r="C12" i="29"/>
  <c r="C11" i="29"/>
  <c r="I32" i="24"/>
  <c r="I33" i="24"/>
  <c r="I36" i="24"/>
  <c r="I35" i="24"/>
  <c r="I34"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45" i="24"/>
  <c r="B9" i="24"/>
  <c r="B44" i="24"/>
  <c r="B8" i="24"/>
  <c r="B43" i="24"/>
  <c r="B7" i="24"/>
  <c r="B42" i="24"/>
  <c r="B6" i="24"/>
  <c r="B41" i="24"/>
  <c r="B5" i="24"/>
  <c r="B40" i="24"/>
  <c r="G19" i="18"/>
  <c r="E19" i="18"/>
  <c r="F19" i="18" s="1"/>
  <c r="D111" i="21"/>
  <c r="D112" i="21"/>
  <c r="D113" i="21"/>
  <c r="D114" i="21"/>
  <c r="D115" i="21"/>
  <c r="D116" i="21"/>
  <c r="D117" i="21"/>
  <c r="D118" i="21"/>
  <c r="D119" i="21"/>
  <c r="D120" i="21"/>
  <c r="D110" i="21"/>
  <c r="C24" i="21"/>
  <c r="C25" i="21"/>
  <c r="C26" i="21"/>
  <c r="C27" i="21"/>
  <c r="C28" i="21"/>
  <c r="C29" i="21"/>
  <c r="C30" i="21"/>
  <c r="C31" i="21"/>
  <c r="C32" i="21"/>
  <c r="C33" i="21"/>
  <c r="C34" i="21"/>
  <c r="C35" i="21"/>
  <c r="C36" i="21"/>
  <c r="C37" i="21"/>
  <c r="C38" i="21"/>
  <c r="C39" i="21"/>
  <c r="C40" i="21"/>
  <c r="C41" i="21"/>
  <c r="C42" i="21"/>
  <c r="C43" i="21"/>
  <c r="C44" i="21"/>
  <c r="C45" i="21"/>
  <c r="C46" i="21"/>
  <c r="C47" i="21"/>
  <c r="C119" i="21"/>
  <c r="C120" i="21"/>
  <c r="W23" i="21"/>
  <c r="T23" i="21"/>
  <c r="Q23" i="21"/>
  <c r="N23" i="21"/>
  <c r="Z23" i="21" s="1"/>
  <c r="C23" i="21"/>
  <c r="W22" i="21"/>
  <c r="T22" i="21"/>
  <c r="Q22" i="21"/>
  <c r="N22" i="21"/>
  <c r="Z22" i="21" s="1"/>
  <c r="C22" i="21"/>
  <c r="W21" i="21"/>
  <c r="T21" i="21"/>
  <c r="Q21" i="21"/>
  <c r="N21" i="21"/>
  <c r="Z21" i="21" s="1"/>
  <c r="C21" i="21"/>
  <c r="W20" i="21"/>
  <c r="T20" i="21"/>
  <c r="Q20" i="21"/>
  <c r="N20" i="21"/>
  <c r="Z20" i="21" s="1"/>
  <c r="C20" i="21"/>
  <c r="W19" i="21"/>
  <c r="T19" i="21"/>
  <c r="Q19" i="21"/>
  <c r="N19" i="21"/>
  <c r="Z19" i="21" s="1"/>
  <c r="C19" i="21"/>
  <c r="W18" i="21"/>
  <c r="T18" i="21"/>
  <c r="Q18" i="21"/>
  <c r="N18" i="21"/>
  <c r="Z18" i="21" s="1"/>
  <c r="C18" i="21"/>
  <c r="W17" i="21"/>
  <c r="T17" i="21"/>
  <c r="Q17" i="21"/>
  <c r="N17" i="21"/>
  <c r="Z17" i="21" s="1"/>
  <c r="C17" i="21"/>
  <c r="W16" i="21"/>
  <c r="T16" i="21"/>
  <c r="Q16" i="21"/>
  <c r="N16" i="21"/>
  <c r="Z16" i="21" s="1"/>
  <c r="C16" i="21"/>
  <c r="W15" i="21"/>
  <c r="T15" i="21"/>
  <c r="Q15" i="21"/>
  <c r="N15" i="21"/>
  <c r="Z15" i="21" s="1"/>
  <c r="C15" i="21"/>
  <c r="W14" i="21"/>
  <c r="T14" i="21"/>
  <c r="Q14" i="21"/>
  <c r="N14" i="21"/>
  <c r="Z14" i="21" s="1"/>
  <c r="C14" i="21"/>
  <c r="W13" i="21"/>
  <c r="T13" i="21"/>
  <c r="Q13" i="21"/>
  <c r="N13" i="21"/>
  <c r="Z13" i="21" s="1"/>
  <c r="C13" i="21"/>
  <c r="W12" i="21"/>
  <c r="T12" i="21"/>
  <c r="Q12" i="21"/>
  <c r="N12" i="21"/>
  <c r="Z12" i="21" s="1"/>
  <c r="C12" i="21"/>
  <c r="C118" i="21"/>
  <c r="C117" i="21"/>
  <c r="C116" i="21"/>
  <c r="C115" i="21"/>
  <c r="C114" i="21"/>
  <c r="C113" i="21"/>
  <c r="C112" i="21"/>
  <c r="C111" i="21"/>
  <c r="C110" i="21"/>
  <c r="C109"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F184" i="29"/>
  <c r="F185" i="29"/>
  <c r="F186" i="29"/>
  <c r="F187" i="29"/>
  <c r="F188" i="29"/>
  <c r="F189" i="29"/>
  <c r="F190" i="29"/>
  <c r="F191" i="29"/>
  <c r="F192" i="29"/>
  <c r="F193" i="29"/>
  <c r="F183" i="29"/>
  <c r="D184" i="29"/>
  <c r="D185" i="29"/>
  <c r="D186" i="29"/>
  <c r="D187" i="29"/>
  <c r="D188" i="29"/>
  <c r="D189" i="29"/>
  <c r="D190" i="29"/>
  <c r="D191" i="29"/>
  <c r="D192" i="29"/>
  <c r="D193" i="29"/>
  <c r="D183" i="29"/>
  <c r="G5" i="2"/>
  <c r="G6" i="2"/>
  <c r="G7" i="2"/>
  <c r="G8" i="2"/>
  <c r="D15" i="29" s="1"/>
  <c r="E15" i="29" s="1"/>
  <c r="G9" i="2"/>
  <c r="D16" i="29" s="1"/>
  <c r="G10" i="2"/>
  <c r="G11" i="2"/>
  <c r="D18" i="29" s="1"/>
  <c r="E18" i="29" s="1"/>
  <c r="G12" i="2"/>
  <c r="D19" i="29" s="1"/>
  <c r="G13" i="2"/>
  <c r="G14" i="2"/>
  <c r="D21" i="29" s="1"/>
  <c r="E21" i="29" s="1"/>
  <c r="G15" i="2"/>
  <c r="D22" i="29" s="1"/>
  <c r="G16" i="2"/>
  <c r="D23" i="29" s="1"/>
  <c r="G17" i="2"/>
  <c r="D24" i="29" s="1"/>
  <c r="G18" i="2"/>
  <c r="D25" i="29" s="1"/>
  <c r="G19" i="2"/>
  <c r="D26" i="29" s="1"/>
  <c r="G20" i="2"/>
  <c r="D27" i="29" s="1"/>
  <c r="G21" i="2"/>
  <c r="D28" i="29" s="1"/>
  <c r="G22" i="2"/>
  <c r="D29" i="29" s="1"/>
  <c r="G23" i="2"/>
  <c r="D30" i="29" s="1"/>
  <c r="G24" i="2"/>
  <c r="D31" i="29" s="1"/>
  <c r="G25" i="2"/>
  <c r="D32" i="29" s="1"/>
  <c r="G26" i="2"/>
  <c r="D33" i="29" s="1"/>
  <c r="G27" i="2"/>
  <c r="D34" i="29" s="1"/>
  <c r="G28" i="2"/>
  <c r="D35" i="29" s="1"/>
  <c r="G29" i="2"/>
  <c r="D36" i="29" s="1"/>
  <c r="G30" i="2"/>
  <c r="D37" i="29" s="1"/>
  <c r="G31" i="2"/>
  <c r="D38" i="29" s="1"/>
  <c r="G32" i="2"/>
  <c r="D39" i="29" s="1"/>
  <c r="G33" i="2"/>
  <c r="D40" i="29" s="1"/>
  <c r="G34" i="2"/>
  <c r="D41" i="29" s="1"/>
  <c r="G35" i="2"/>
  <c r="D42" i="29" s="1"/>
  <c r="G36" i="2"/>
  <c r="D43" i="29" s="1"/>
  <c r="G37" i="2"/>
  <c r="D44" i="29" s="1"/>
  <c r="G38" i="2"/>
  <c r="D45" i="29" s="1"/>
  <c r="G39" i="2"/>
  <c r="D46" i="29" s="1"/>
  <c r="G40" i="2"/>
  <c r="D47" i="29" s="1"/>
  <c r="G41" i="2"/>
  <c r="D48" i="29" s="1"/>
  <c r="G42" i="2"/>
  <c r="D49" i="29" s="1"/>
  <c r="G43" i="2"/>
  <c r="D50" i="29" s="1"/>
  <c r="G44" i="2"/>
  <c r="D51" i="29" s="1"/>
  <c r="G45" i="2"/>
  <c r="D52" i="29" s="1"/>
  <c r="G46" i="2"/>
  <c r="D53" i="29" s="1"/>
  <c r="G47" i="2"/>
  <c r="D54" i="29" s="1"/>
  <c r="G48" i="2"/>
  <c r="D55" i="29" s="1"/>
  <c r="G49" i="2"/>
  <c r="D56" i="29" s="1"/>
  <c r="G50" i="2"/>
  <c r="D57" i="29" s="1"/>
  <c r="G51" i="2"/>
  <c r="D58" i="29" s="1"/>
  <c r="G52" i="2"/>
  <c r="D59" i="29" s="1"/>
  <c r="G53" i="2"/>
  <c r="D60" i="29" s="1"/>
  <c r="G54" i="2"/>
  <c r="D61" i="29" s="1"/>
  <c r="G55" i="2"/>
  <c r="D62" i="29" s="1"/>
  <c r="G56" i="2"/>
  <c r="D63" i="29" s="1"/>
  <c r="G57" i="2"/>
  <c r="D64" i="29" s="1"/>
  <c r="G58" i="2"/>
  <c r="D65" i="29" s="1"/>
  <c r="G59" i="2"/>
  <c r="D66" i="29" s="1"/>
  <c r="G60" i="2"/>
  <c r="D67" i="29" s="1"/>
  <c r="G61" i="2"/>
  <c r="D68" i="29" s="1"/>
  <c r="G62" i="2"/>
  <c r="D69" i="29" s="1"/>
  <c r="G63" i="2"/>
  <c r="D70" i="29" s="1"/>
  <c r="G64" i="2"/>
  <c r="D11" i="33" s="1"/>
  <c r="G65" i="2"/>
  <c r="D12" i="33" s="1"/>
  <c r="G66" i="2"/>
  <c r="D13" i="33" s="1"/>
  <c r="G67" i="2"/>
  <c r="D74" i="29" s="1"/>
  <c r="G68" i="2"/>
  <c r="D15" i="33" s="1"/>
  <c r="G69" i="2"/>
  <c r="D16" i="33" s="1"/>
  <c r="G70" i="2"/>
  <c r="D17" i="33" s="1"/>
  <c r="G71" i="2"/>
  <c r="D18" i="33" s="1"/>
  <c r="G72" i="2"/>
  <c r="D19" i="33" s="1"/>
  <c r="G73" i="2"/>
  <c r="D20" i="33" s="1"/>
  <c r="G74" i="2"/>
  <c r="D21" i="33" s="1"/>
  <c r="G75" i="2"/>
  <c r="D82" i="29" s="1"/>
  <c r="G76" i="2"/>
  <c r="G77" i="2"/>
  <c r="D13" i="21" s="1"/>
  <c r="G78" i="2"/>
  <c r="D25" i="33" s="1"/>
  <c r="G79" i="2"/>
  <c r="D15" i="21" s="1"/>
  <c r="G80" i="2"/>
  <c r="D87" i="29" s="1"/>
  <c r="G81" i="2"/>
  <c r="D17" i="21" s="1"/>
  <c r="G82" i="2"/>
  <c r="D89" i="29" s="1"/>
  <c r="G83" i="2"/>
  <c r="D19" i="21" s="1"/>
  <c r="G84" i="2"/>
  <c r="D20" i="21" s="1"/>
  <c r="G85" i="2"/>
  <c r="D21" i="21" s="1"/>
  <c r="G86" i="2"/>
  <c r="G87" i="2"/>
  <c r="D23" i="21" s="1"/>
  <c r="G88" i="2"/>
  <c r="D35" i="33" s="1"/>
  <c r="G89" i="2"/>
  <c r="E12" i="18" s="1"/>
  <c r="G90" i="2"/>
  <c r="D26" i="21" s="1"/>
  <c r="G91" i="2"/>
  <c r="D27" i="21" s="1"/>
  <c r="G92" i="2"/>
  <c r="D99" i="29" s="1"/>
  <c r="G93" i="2"/>
  <c r="D29" i="21" s="1"/>
  <c r="G94" i="2"/>
  <c r="D101" i="29" s="1"/>
  <c r="G95" i="2"/>
  <c r="D31" i="21" s="1"/>
  <c r="G96" i="2"/>
  <c r="D32" i="21" s="1"/>
  <c r="G97" i="2"/>
  <c r="D33" i="21" s="1"/>
  <c r="G98" i="2"/>
  <c r="D45" i="33" s="1"/>
  <c r="G99" i="2"/>
  <c r="D35" i="21" s="1"/>
  <c r="G100" i="2"/>
  <c r="G101" i="2"/>
  <c r="D108" i="29" s="1"/>
  <c r="G102" i="2"/>
  <c r="D38" i="21" s="1"/>
  <c r="G103" i="2"/>
  <c r="D39" i="21" s="1"/>
  <c r="G104" i="2"/>
  <c r="G105" i="2"/>
  <c r="D112" i="29" s="1"/>
  <c r="G106" i="2"/>
  <c r="D53" i="33" s="1"/>
  <c r="G107" i="2"/>
  <c r="D54" i="33" s="1"/>
  <c r="G108" i="2"/>
  <c r="D44" i="21" s="1"/>
  <c r="G109" i="2"/>
  <c r="D45" i="21" s="1"/>
  <c r="G110" i="2"/>
  <c r="D117" i="29" s="1"/>
  <c r="G111" i="2"/>
  <c r="D47" i="21" s="1"/>
  <c r="G112" i="2"/>
  <c r="D119" i="29" s="1"/>
  <c r="G113" i="2"/>
  <c r="E14" i="18" s="1"/>
  <c r="G114" i="2"/>
  <c r="D50" i="21" s="1"/>
  <c r="G115" i="2"/>
  <c r="D51" i="21" s="1"/>
  <c r="G116" i="2"/>
  <c r="D63" i="33" s="1"/>
  <c r="G117" i="2"/>
  <c r="D53" i="21" s="1"/>
  <c r="G118" i="2"/>
  <c r="D125" i="29" s="1"/>
  <c r="G119" i="2"/>
  <c r="D55" i="21" s="1"/>
  <c r="G120" i="2"/>
  <c r="D56" i="21" s="1"/>
  <c r="G121" i="2"/>
  <c r="D57" i="21" s="1"/>
  <c r="G122" i="2"/>
  <c r="D129" i="29" s="1"/>
  <c r="G123" i="2"/>
  <c r="D130" i="29" s="1"/>
  <c r="G124" i="2"/>
  <c r="D71" i="33" s="1"/>
  <c r="G125" i="2"/>
  <c r="E15" i="18" s="1"/>
  <c r="G126" i="2"/>
  <c r="D62" i="21" s="1"/>
  <c r="G127" i="2"/>
  <c r="D63" i="21" s="1"/>
  <c r="G128" i="2"/>
  <c r="D135" i="29" s="1"/>
  <c r="G129" i="2"/>
  <c r="D65" i="21" s="1"/>
  <c r="G130" i="2"/>
  <c r="D137" i="29" s="1"/>
  <c r="G131" i="2"/>
  <c r="D67" i="21" s="1"/>
  <c r="G132" i="2"/>
  <c r="D68" i="21" s="1"/>
  <c r="G133" i="2"/>
  <c r="D69" i="21" s="1"/>
  <c r="G134" i="2"/>
  <c r="D81" i="33" s="1"/>
  <c r="G135" i="2"/>
  <c r="D71" i="21" s="1"/>
  <c r="G136" i="2"/>
  <c r="G137" i="2"/>
  <c r="D73" i="21" s="1"/>
  <c r="G138" i="2"/>
  <c r="D74" i="21" s="1"/>
  <c r="G139" i="2"/>
  <c r="D75" i="21" s="1"/>
  <c r="G140" i="2"/>
  <c r="D147" i="29" s="1"/>
  <c r="G141" i="2"/>
  <c r="D148" i="29" s="1"/>
  <c r="G142" i="2"/>
  <c r="D89" i="33" s="1"/>
  <c r="G143" i="2"/>
  <c r="D90" i="33" s="1"/>
  <c r="G144" i="2"/>
  <c r="D80" i="21" s="1"/>
  <c r="G145" i="2"/>
  <c r="D81" i="21" s="1"/>
  <c r="G146" i="2"/>
  <c r="G147" i="2"/>
  <c r="D83" i="21" s="1"/>
  <c r="G148" i="2"/>
  <c r="G149" i="2"/>
  <c r="E17" i="18" s="1"/>
  <c r="G150" i="2"/>
  <c r="D86" i="21" s="1"/>
  <c r="G151" i="2"/>
  <c r="D87" i="21" s="1"/>
  <c r="G152" i="2"/>
  <c r="D99" i="33" s="1"/>
  <c r="G153" i="2"/>
  <c r="D89" i="21" s="1"/>
  <c r="G154" i="2"/>
  <c r="G155" i="2"/>
  <c r="D91" i="21" s="1"/>
  <c r="G156" i="2"/>
  <c r="D92" i="21" s="1"/>
  <c r="G157" i="2"/>
  <c r="D93" i="21" s="1"/>
  <c r="G158" i="2"/>
  <c r="D165" i="29" s="1"/>
  <c r="G159" i="2"/>
  <c r="D106" i="33" s="1"/>
  <c r="G160" i="2"/>
  <c r="D107" i="33" s="1"/>
  <c r="G161" i="2"/>
  <c r="E18" i="18" s="1"/>
  <c r="G162" i="2"/>
  <c r="D98" i="21" s="1"/>
  <c r="G163" i="2"/>
  <c r="D99" i="21" s="1"/>
  <c r="G164" i="2"/>
  <c r="D171" i="29" s="1"/>
  <c r="G165" i="2"/>
  <c r="D101" i="21" s="1"/>
  <c r="G166" i="2"/>
  <c r="G167" i="2"/>
  <c r="D103" i="21" s="1"/>
  <c r="G168" i="2"/>
  <c r="D104" i="21" s="1"/>
  <c r="G169" i="2"/>
  <c r="D105" i="21" s="1"/>
  <c r="G170" i="2"/>
  <c r="D117" i="33" s="1"/>
  <c r="G171" i="2"/>
  <c r="D107" i="21" s="1"/>
  <c r="G172" i="2"/>
  <c r="D182" i="29" s="1"/>
  <c r="G4" i="2"/>
  <c r="D11" i="29" s="1"/>
  <c r="E11" i="29" s="1"/>
  <c r="C22" i="29"/>
  <c r="D13" i="29"/>
  <c r="E13" i="29" l="1"/>
  <c r="J28" i="25"/>
  <c r="J28" i="38" s="1"/>
  <c r="J29" i="36"/>
  <c r="J27" i="24"/>
  <c r="J27" i="37" s="1"/>
  <c r="J28" i="35"/>
  <c r="D163" i="29"/>
  <c r="D127" i="29"/>
  <c r="D91" i="29"/>
  <c r="D22" i="33"/>
  <c r="D58" i="33"/>
  <c r="D94" i="33"/>
  <c r="D157" i="29"/>
  <c r="D121" i="29"/>
  <c r="D85" i="29"/>
  <c r="D31" i="33"/>
  <c r="D67" i="33"/>
  <c r="D103" i="33"/>
  <c r="D151" i="29"/>
  <c r="D115" i="29"/>
  <c r="D79" i="29"/>
  <c r="D32" i="33"/>
  <c r="D68" i="33"/>
  <c r="D104" i="33"/>
  <c r="D145" i="29"/>
  <c r="D109" i="29"/>
  <c r="D73" i="29"/>
  <c r="D40" i="33"/>
  <c r="D76" i="33"/>
  <c r="D112" i="33"/>
  <c r="D175" i="29"/>
  <c r="D139" i="29"/>
  <c r="D103" i="29"/>
  <c r="D49" i="33"/>
  <c r="D85" i="33"/>
  <c r="D14" i="21"/>
  <c r="E14" i="21" s="1"/>
  <c r="D169" i="29"/>
  <c r="D133" i="29"/>
  <c r="D97" i="29"/>
  <c r="D14" i="33"/>
  <c r="D50" i="33"/>
  <c r="D86" i="33"/>
  <c r="D77" i="21"/>
  <c r="D168" i="29"/>
  <c r="D72" i="29"/>
  <c r="D25" i="21"/>
  <c r="E25" i="21" s="1"/>
  <c r="D176" i="29"/>
  <c r="D164" i="29"/>
  <c r="D152" i="29"/>
  <c r="D140" i="29"/>
  <c r="D128" i="29"/>
  <c r="D116" i="29"/>
  <c r="D104" i="29"/>
  <c r="D92" i="29"/>
  <c r="D80" i="29"/>
  <c r="D38" i="33"/>
  <c r="D56" i="33"/>
  <c r="D74" i="33"/>
  <c r="D92" i="33"/>
  <c r="D110" i="33"/>
  <c r="D41" i="21"/>
  <c r="D95" i="21"/>
  <c r="D144" i="29"/>
  <c r="D132" i="29"/>
  <c r="D96" i="29"/>
  <c r="D43" i="21"/>
  <c r="E43" i="21" s="1"/>
  <c r="D174" i="29"/>
  <c r="D162" i="29"/>
  <c r="D150" i="29"/>
  <c r="D138" i="29"/>
  <c r="D126" i="29"/>
  <c r="D114" i="29"/>
  <c r="D102" i="29"/>
  <c r="D90" i="29"/>
  <c r="D78" i="29"/>
  <c r="D24" i="33"/>
  <c r="D42" i="33"/>
  <c r="D60" i="33"/>
  <c r="D78" i="33"/>
  <c r="D96" i="33"/>
  <c r="D114" i="33"/>
  <c r="D59" i="21"/>
  <c r="D120" i="29"/>
  <c r="D84" i="29"/>
  <c r="D97" i="21"/>
  <c r="E11" i="18"/>
  <c r="E19" i="29"/>
  <c r="D170" i="29"/>
  <c r="D158" i="29"/>
  <c r="D146" i="29"/>
  <c r="D134" i="29"/>
  <c r="D122" i="29"/>
  <c r="D110" i="29"/>
  <c r="D98" i="29"/>
  <c r="D86" i="29"/>
  <c r="D43" i="33"/>
  <c r="D61" i="33"/>
  <c r="D79" i="33"/>
  <c r="D97" i="33"/>
  <c r="D115" i="33"/>
  <c r="D61" i="21"/>
  <c r="D156" i="29"/>
  <c r="D79" i="21"/>
  <c r="D82" i="21"/>
  <c r="D93" i="33"/>
  <c r="D40" i="21"/>
  <c r="E40" i="21" s="1"/>
  <c r="D51" i="33"/>
  <c r="D22" i="21"/>
  <c r="E22" i="21" s="1"/>
  <c r="I22" i="21" s="1"/>
  <c r="D33" i="33"/>
  <c r="D15" i="30"/>
  <c r="E15" i="30" s="1"/>
  <c r="D15" i="31"/>
  <c r="E15" i="31" s="1"/>
  <c r="D160" i="29"/>
  <c r="D142" i="29"/>
  <c r="D124" i="29"/>
  <c r="D106" i="29"/>
  <c r="D88" i="29"/>
  <c r="D76" i="29"/>
  <c r="D34" i="33"/>
  <c r="D52" i="33"/>
  <c r="D70" i="33"/>
  <c r="D88" i="33"/>
  <c r="D20" i="29"/>
  <c r="E20" i="29" s="1"/>
  <c r="D20" i="30"/>
  <c r="E20" i="30" s="1"/>
  <c r="D20" i="31"/>
  <c r="E20" i="31" s="1"/>
  <c r="D14" i="29"/>
  <c r="E14" i="29" s="1"/>
  <c r="D14" i="31"/>
  <c r="E14" i="31" s="1"/>
  <c r="D14" i="30"/>
  <c r="E14" i="30" s="1"/>
  <c r="D177" i="29"/>
  <c r="D159" i="29"/>
  <c r="D153" i="29"/>
  <c r="D141" i="29"/>
  <c r="D123" i="29"/>
  <c r="D111" i="29"/>
  <c r="D105" i="29"/>
  <c r="D93" i="29"/>
  <c r="D81" i="29"/>
  <c r="D75" i="29"/>
  <c r="D26" i="33"/>
  <c r="D36" i="33"/>
  <c r="D44" i="33"/>
  <c r="D62" i="33"/>
  <c r="D72" i="33"/>
  <c r="D80" i="33"/>
  <c r="D98" i="33"/>
  <c r="D108" i="33"/>
  <c r="D116" i="33"/>
  <c r="D49" i="21"/>
  <c r="D85" i="21"/>
  <c r="D84" i="21"/>
  <c r="D95" i="33"/>
  <c r="D47" i="33"/>
  <c r="D36" i="21"/>
  <c r="E36" i="21" s="1"/>
  <c r="D23" i="33"/>
  <c r="D12" i="21"/>
  <c r="E12" i="21" s="1"/>
  <c r="D22" i="31"/>
  <c r="E22" i="31" s="1"/>
  <c r="D22" i="30"/>
  <c r="E22" i="30" s="1"/>
  <c r="D167" i="29"/>
  <c r="D155" i="29"/>
  <c r="D149" i="29"/>
  <c r="D107" i="29"/>
  <c r="D77" i="29"/>
  <c r="D60" i="21"/>
  <c r="D96" i="21"/>
  <c r="D109" i="21"/>
  <c r="D64" i="21"/>
  <c r="D75" i="33"/>
  <c r="D21" i="30"/>
  <c r="E21" i="30" s="1"/>
  <c r="D21" i="31"/>
  <c r="E21" i="31" s="1"/>
  <c r="D172" i="29"/>
  <c r="D118" i="29"/>
  <c r="D94" i="29"/>
  <c r="D19" i="31"/>
  <c r="E19" i="31" s="1"/>
  <c r="D19" i="30"/>
  <c r="E19" i="30" s="1"/>
  <c r="D13" i="30"/>
  <c r="E13" i="30" s="1"/>
  <c r="D13" i="31"/>
  <c r="E13" i="31" s="1"/>
  <c r="D28" i="33"/>
  <c r="D37" i="33"/>
  <c r="D46" i="33"/>
  <c r="D55" i="33"/>
  <c r="D64" i="33"/>
  <c r="D73" i="33"/>
  <c r="D82" i="33"/>
  <c r="D91" i="33"/>
  <c r="D100" i="33"/>
  <c r="D109" i="33"/>
  <c r="D118" i="33"/>
  <c r="D34" i="21"/>
  <c r="E34" i="21" s="1"/>
  <c r="D52" i="21"/>
  <c r="D70" i="21"/>
  <c r="D88" i="21"/>
  <c r="D106" i="21"/>
  <c r="E16" i="18"/>
  <c r="D102" i="21"/>
  <c r="D113" i="33"/>
  <c r="D101" i="33"/>
  <c r="D90" i="21"/>
  <c r="D83" i="33"/>
  <c r="D72" i="21"/>
  <c r="D66" i="21"/>
  <c r="D77" i="33"/>
  <c r="D65" i="33"/>
  <c r="D54" i="21"/>
  <c r="D48" i="21"/>
  <c r="D59" i="33"/>
  <c r="D30" i="21"/>
  <c r="E30" i="21" s="1"/>
  <c r="D41" i="33"/>
  <c r="D29" i="33"/>
  <c r="D18" i="21"/>
  <c r="E18" i="21" s="1"/>
  <c r="D17" i="29"/>
  <c r="E17" i="29" s="1"/>
  <c r="D17" i="31"/>
  <c r="E17" i="31" s="1"/>
  <c r="D17" i="30"/>
  <c r="E17" i="30" s="1"/>
  <c r="D16" i="31"/>
  <c r="E16" i="31" s="1"/>
  <c r="D16" i="30"/>
  <c r="E16" i="30" s="1"/>
  <c r="D173" i="29"/>
  <c r="D161" i="29"/>
  <c r="D143" i="29"/>
  <c r="D131" i="29"/>
  <c r="D113" i="29"/>
  <c r="D95" i="29"/>
  <c r="D83" i="29"/>
  <c r="D71" i="29"/>
  <c r="D24" i="21"/>
  <c r="E24" i="21" s="1"/>
  <c r="D42" i="21"/>
  <c r="E42" i="21" s="1"/>
  <c r="D78" i="21"/>
  <c r="D100" i="21"/>
  <c r="D111" i="33"/>
  <c r="D94" i="21"/>
  <c r="D105" i="33"/>
  <c r="D76" i="21"/>
  <c r="D87" i="33"/>
  <c r="D58" i="21"/>
  <c r="D69" i="33"/>
  <c r="D46" i="21"/>
  <c r="E46" i="21" s="1"/>
  <c r="D57" i="33"/>
  <c r="D28" i="21"/>
  <c r="E28" i="21" s="1"/>
  <c r="D39" i="33"/>
  <c r="D16" i="21"/>
  <c r="E16" i="21" s="1"/>
  <c r="D27" i="33"/>
  <c r="D178" i="29"/>
  <c r="D166" i="29"/>
  <c r="D154" i="29"/>
  <c r="D136" i="29"/>
  <c r="D100" i="29"/>
  <c r="D11" i="30"/>
  <c r="E11" i="30" s="1"/>
  <c r="D11" i="31"/>
  <c r="E11" i="31" s="1"/>
  <c r="D37" i="21"/>
  <c r="E13" i="18"/>
  <c r="D18" i="30"/>
  <c r="E18" i="30" s="1"/>
  <c r="D18" i="31"/>
  <c r="E18" i="31" s="1"/>
  <c r="D12" i="29"/>
  <c r="E12" i="29" s="1"/>
  <c r="D12" i="31"/>
  <c r="E12" i="31" s="1"/>
  <c r="D12" i="30"/>
  <c r="E12" i="30" s="1"/>
  <c r="D30" i="33"/>
  <c r="D48" i="33"/>
  <c r="D66" i="33"/>
  <c r="D84" i="33"/>
  <c r="D102" i="33"/>
  <c r="E37" i="21"/>
  <c r="E45" i="21"/>
  <c r="E39" i="21"/>
  <c r="E33" i="21"/>
  <c r="E27" i="21"/>
  <c r="E32" i="21"/>
  <c r="E26" i="21"/>
  <c r="E47" i="21"/>
  <c r="E41" i="21"/>
  <c r="E29" i="21"/>
  <c r="E35" i="21"/>
  <c r="E13" i="21"/>
  <c r="E31" i="21"/>
  <c r="E38" i="21"/>
  <c r="E44" i="21"/>
  <c r="H19" i="18"/>
  <c r="I19" i="18" s="1"/>
  <c r="J19" i="18" s="1"/>
  <c r="E19" i="21"/>
  <c r="E23" i="21"/>
  <c r="I23" i="21" s="1"/>
  <c r="E15" i="21"/>
  <c r="E17" i="21"/>
  <c r="I17" i="21" s="1"/>
  <c r="E20" i="21"/>
  <c r="I20" i="21" s="1"/>
  <c r="E21" i="21"/>
  <c r="E16" i="29"/>
  <c r="E22" i="29"/>
  <c r="J27" i="25" l="1"/>
  <c r="J27" i="38" s="1"/>
  <c r="J28" i="36"/>
  <c r="J26" i="24"/>
  <c r="J26" i="37" s="1"/>
  <c r="J27" i="35"/>
  <c r="I12" i="21"/>
  <c r="I18" i="21"/>
  <c r="I19" i="21"/>
  <c r="I13" i="21"/>
  <c r="I14" i="21"/>
  <c r="O19" i="18"/>
  <c r="N19" i="18"/>
  <c r="M19" i="18"/>
  <c r="L19" i="18"/>
  <c r="K19" i="18"/>
  <c r="I21" i="21"/>
  <c r="I15" i="21"/>
  <c r="I16" i="21"/>
  <c r="J26" i="25" l="1"/>
  <c r="J26" i="38" s="1"/>
  <c r="J27" i="36"/>
  <c r="J25" i="24"/>
  <c r="J25" i="37" s="1"/>
  <c r="J26" i="35"/>
  <c r="C192" i="32"/>
  <c r="C193" i="32" s="1"/>
  <c r="C191" i="32"/>
  <c r="C190" i="32"/>
  <c r="C189" i="32"/>
  <c r="C188" i="32"/>
  <c r="C187" i="32"/>
  <c r="C186" i="32"/>
  <c r="C185" i="32"/>
  <c r="C184" i="32"/>
  <c r="C183" i="32"/>
  <c r="C165" i="32"/>
  <c r="C166" i="32" s="1"/>
  <c r="C164" i="32"/>
  <c r="C163" i="32"/>
  <c r="C162" i="32"/>
  <c r="C161" i="32"/>
  <c r="C160" i="32"/>
  <c r="C159" i="32"/>
  <c r="C158" i="32"/>
  <c r="C157" i="32"/>
  <c r="C156" i="32"/>
  <c r="C155" i="32"/>
  <c r="C153" i="32"/>
  <c r="C152" i="32"/>
  <c r="C151" i="32"/>
  <c r="C150" i="32"/>
  <c r="C149" i="32"/>
  <c r="C148" i="32"/>
  <c r="C147" i="32"/>
  <c r="C146" i="32"/>
  <c r="C145" i="32"/>
  <c r="C144" i="32"/>
  <c r="C143" i="32"/>
  <c r="C141" i="32"/>
  <c r="C140" i="32"/>
  <c r="C139" i="32"/>
  <c r="C138" i="32"/>
  <c r="C137" i="32"/>
  <c r="C136" i="32"/>
  <c r="C135" i="32"/>
  <c r="C134" i="32"/>
  <c r="C133" i="32"/>
  <c r="C132" i="32"/>
  <c r="C131" i="32"/>
  <c r="C129" i="32"/>
  <c r="C130" i="32" s="1"/>
  <c r="C128" i="32"/>
  <c r="C127" i="32"/>
  <c r="C126" i="32"/>
  <c r="C125" i="32"/>
  <c r="C124" i="32"/>
  <c r="C123" i="32"/>
  <c r="C122" i="32"/>
  <c r="C121" i="32"/>
  <c r="C120" i="32"/>
  <c r="C119" i="32"/>
  <c r="C117" i="32"/>
  <c r="C118" i="32" s="1"/>
  <c r="C116" i="32"/>
  <c r="C115" i="32"/>
  <c r="C114" i="32"/>
  <c r="C113" i="32"/>
  <c r="C112" i="32"/>
  <c r="C111" i="32"/>
  <c r="C110" i="32"/>
  <c r="C109" i="32"/>
  <c r="C108" i="32"/>
  <c r="C107" i="32"/>
  <c r="C105" i="32"/>
  <c r="C106" i="32" s="1"/>
  <c r="C104" i="32"/>
  <c r="C103" i="32"/>
  <c r="C102" i="32"/>
  <c r="C101" i="32"/>
  <c r="C100" i="32"/>
  <c r="C99" i="32"/>
  <c r="C98" i="32"/>
  <c r="C97" i="32"/>
  <c r="C96" i="32"/>
  <c r="C95" i="32"/>
  <c r="C93" i="32"/>
  <c r="C94" i="32" s="1"/>
  <c r="C92" i="32"/>
  <c r="C91" i="32"/>
  <c r="C90" i="32"/>
  <c r="C89" i="32"/>
  <c r="C88" i="32"/>
  <c r="C87" i="32"/>
  <c r="C86" i="32"/>
  <c r="C85" i="32"/>
  <c r="C84" i="32"/>
  <c r="C83" i="32"/>
  <c r="C81" i="32"/>
  <c r="C82" i="32" s="1"/>
  <c r="C80" i="32"/>
  <c r="C79" i="32"/>
  <c r="C78" i="32"/>
  <c r="C77" i="32"/>
  <c r="C76" i="32"/>
  <c r="C75" i="32"/>
  <c r="C74" i="32"/>
  <c r="C73" i="32"/>
  <c r="C72" i="32"/>
  <c r="C71" i="32"/>
  <c r="C69" i="32"/>
  <c r="C70" i="32" s="1"/>
  <c r="C68" i="32"/>
  <c r="C67" i="32"/>
  <c r="C66" i="32"/>
  <c r="C65" i="32"/>
  <c r="C64" i="32"/>
  <c r="C63" i="32"/>
  <c r="C62" i="32"/>
  <c r="C61" i="32"/>
  <c r="C60" i="32"/>
  <c r="C59" i="32"/>
  <c r="C57" i="32"/>
  <c r="C58" i="32" s="1"/>
  <c r="C56" i="32"/>
  <c r="C55" i="32"/>
  <c r="C54" i="32"/>
  <c r="C53" i="32"/>
  <c r="C52" i="32"/>
  <c r="C51" i="32"/>
  <c r="C50" i="32"/>
  <c r="C49" i="32"/>
  <c r="C48" i="32"/>
  <c r="C47" i="32"/>
  <c r="C45" i="32"/>
  <c r="C46" i="32" s="1"/>
  <c r="C44" i="32"/>
  <c r="C43" i="32"/>
  <c r="C42" i="32"/>
  <c r="C41" i="32"/>
  <c r="C40" i="32"/>
  <c r="C39" i="32"/>
  <c r="C38" i="32"/>
  <c r="C37" i="32"/>
  <c r="C36" i="32"/>
  <c r="C35" i="32"/>
  <c r="C33" i="32"/>
  <c r="C34" i="32" s="1"/>
  <c r="C32" i="32"/>
  <c r="C31" i="32"/>
  <c r="C30" i="32"/>
  <c r="C29" i="32"/>
  <c r="C28" i="32"/>
  <c r="C27" i="32"/>
  <c r="C26" i="32"/>
  <c r="C25" i="32"/>
  <c r="C24" i="32"/>
  <c r="C23" i="32"/>
  <c r="C21" i="32"/>
  <c r="C22" i="32" s="1"/>
  <c r="C20" i="32"/>
  <c r="C19" i="32"/>
  <c r="C18" i="32"/>
  <c r="C17" i="32"/>
  <c r="C16" i="32"/>
  <c r="C15" i="32"/>
  <c r="C14" i="32"/>
  <c r="C13" i="32"/>
  <c r="C12" i="32"/>
  <c r="C11" i="32"/>
  <c r="C15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24" i="32"/>
  <c r="D23" i="32"/>
  <c r="D22" i="32"/>
  <c r="D13" i="32"/>
  <c r="D14" i="32"/>
  <c r="D15" i="32"/>
  <c r="D16" i="32"/>
  <c r="D17" i="32"/>
  <c r="D18" i="32"/>
  <c r="D19" i="32"/>
  <c r="D20" i="32"/>
  <c r="D21" i="32"/>
  <c r="D12" i="32"/>
  <c r="D11" i="32"/>
  <c r="C142" i="32"/>
  <c r="I4" i="2"/>
  <c r="I5" i="2"/>
  <c r="I6" i="2"/>
  <c r="I7" i="2"/>
  <c r="I8" i="2"/>
  <c r="I9" i="2"/>
  <c r="I10" i="2"/>
  <c r="I11" i="2"/>
  <c r="I12" i="2"/>
  <c r="I13" i="2"/>
  <c r="I14" i="2"/>
  <c r="I15" i="2"/>
  <c r="I172" i="2"/>
  <c r="J25" i="25" l="1"/>
  <c r="J25" i="38" s="1"/>
  <c r="J26" i="36"/>
  <c r="J24" i="24"/>
  <c r="J24" i="37" s="1"/>
  <c r="J25" i="35"/>
  <c r="F18" i="30"/>
  <c r="G18" i="30" s="1"/>
  <c r="H18" i="30" s="1"/>
  <c r="F18" i="31"/>
  <c r="G18" i="31" s="1"/>
  <c r="H18" i="31" s="1"/>
  <c r="F17" i="31"/>
  <c r="G17" i="31" s="1"/>
  <c r="H17" i="31" s="1"/>
  <c r="F17" i="30"/>
  <c r="G17" i="30" s="1"/>
  <c r="H17" i="30" s="1"/>
  <c r="F21" i="31"/>
  <c r="G21" i="31" s="1"/>
  <c r="H21" i="31" s="1"/>
  <c r="F21" i="30"/>
  <c r="G21" i="30" s="1"/>
  <c r="H21" i="30" s="1"/>
  <c r="F15" i="30"/>
  <c r="G15" i="30" s="1"/>
  <c r="H15" i="30" s="1"/>
  <c r="F15" i="31"/>
  <c r="G15" i="31" s="1"/>
  <c r="H15" i="31" s="1"/>
  <c r="F11" i="31"/>
  <c r="G11" i="31" s="1"/>
  <c r="H11" i="31" s="1"/>
  <c r="F11" i="30"/>
  <c r="G11" i="30" s="1"/>
  <c r="H11" i="30" s="1"/>
  <c r="F22" i="31"/>
  <c r="G22" i="31" s="1"/>
  <c r="H22" i="31" s="1"/>
  <c r="F22" i="30"/>
  <c r="G22" i="30" s="1"/>
  <c r="H22" i="30" s="1"/>
  <c r="F14" i="31"/>
  <c r="G14" i="31" s="1"/>
  <c r="H14" i="31" s="1"/>
  <c r="F14" i="30"/>
  <c r="G14" i="30" s="1"/>
  <c r="H14" i="30" s="1"/>
  <c r="F12" i="30"/>
  <c r="G12" i="30" s="1"/>
  <c r="H12" i="30" s="1"/>
  <c r="F12" i="31"/>
  <c r="G12" i="31" s="1"/>
  <c r="H12" i="31" s="1"/>
  <c r="F122" i="33"/>
  <c r="F182" i="29"/>
  <c r="I197" i="32"/>
  <c r="I197" i="29"/>
  <c r="F16" i="31"/>
  <c r="G16" i="31" s="1"/>
  <c r="H16" i="31" s="1"/>
  <c r="F16" i="30"/>
  <c r="G16" i="30" s="1"/>
  <c r="H16" i="30" s="1"/>
  <c r="F20" i="30"/>
  <c r="G20" i="30" s="1"/>
  <c r="H20" i="30" s="1"/>
  <c r="F20" i="31"/>
  <c r="G20" i="31" s="1"/>
  <c r="H20" i="31" s="1"/>
  <c r="F19" i="31"/>
  <c r="G19" i="31" s="1"/>
  <c r="H19" i="31" s="1"/>
  <c r="F19" i="30"/>
  <c r="G19" i="30" s="1"/>
  <c r="H19" i="30" s="1"/>
  <c r="F13" i="31"/>
  <c r="G13" i="31" s="1"/>
  <c r="H13" i="31" s="1"/>
  <c r="F13" i="30"/>
  <c r="G13" i="30" s="1"/>
  <c r="H13" i="30" s="1"/>
  <c r="I171" i="2"/>
  <c r="C171" i="2"/>
  <c r="I170" i="2"/>
  <c r="C170" i="2"/>
  <c r="I169" i="2"/>
  <c r="C169" i="2"/>
  <c r="I168" i="2"/>
  <c r="C168" i="2"/>
  <c r="I167" i="2"/>
  <c r="C167" i="2"/>
  <c r="I166" i="2"/>
  <c r="C166" i="2"/>
  <c r="I165" i="2"/>
  <c r="C165" i="2"/>
  <c r="I164" i="2"/>
  <c r="C164" i="2"/>
  <c r="I163" i="2"/>
  <c r="C163" i="2"/>
  <c r="I162" i="2"/>
  <c r="C162" i="2"/>
  <c r="I161" i="2"/>
  <c r="C161" i="2"/>
  <c r="I160" i="2"/>
  <c r="C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J24" i="25" l="1"/>
  <c r="J24" i="38" s="1"/>
  <c r="J25" i="36"/>
  <c r="J23" i="24"/>
  <c r="J23" i="37" s="1"/>
  <c r="J24" i="35"/>
  <c r="F93" i="21"/>
  <c r="F104" i="33"/>
  <c r="F164" i="29"/>
  <c r="F164" i="32"/>
  <c r="G18" i="18"/>
  <c r="F168" i="29"/>
  <c r="F108" i="33"/>
  <c r="F97" i="21"/>
  <c r="F168" i="32"/>
  <c r="F103" i="21"/>
  <c r="F174" i="29"/>
  <c r="F114" i="33"/>
  <c r="F174" i="32"/>
  <c r="F106" i="21"/>
  <c r="F117" i="33"/>
  <c r="F177" i="29"/>
  <c r="F177" i="32"/>
  <c r="F88" i="21"/>
  <c r="F99" i="33"/>
  <c r="F159" i="29"/>
  <c r="F159" i="32"/>
  <c r="C169" i="29"/>
  <c r="C98" i="21"/>
  <c r="C109" i="33"/>
  <c r="C169" i="31"/>
  <c r="C169" i="32"/>
  <c r="E169" i="32" s="1"/>
  <c r="C178" i="31"/>
  <c r="C107" i="21"/>
  <c r="C118" i="33"/>
  <c r="G15" i="18"/>
  <c r="G12" i="18"/>
  <c r="F81" i="21"/>
  <c r="F75" i="21"/>
  <c r="F69" i="21"/>
  <c r="F63" i="21"/>
  <c r="F57" i="21"/>
  <c r="F51" i="21"/>
  <c r="F45" i="21"/>
  <c r="G45" i="21" s="1"/>
  <c r="H45" i="21" s="1"/>
  <c r="F39" i="21"/>
  <c r="G39" i="21" s="1"/>
  <c r="H39" i="21" s="1"/>
  <c r="F33" i="21"/>
  <c r="G33" i="21" s="1"/>
  <c r="H33" i="21" s="1"/>
  <c r="F27" i="21"/>
  <c r="G27" i="21" s="1"/>
  <c r="H27" i="21" s="1"/>
  <c r="F21" i="21"/>
  <c r="G21" i="21" s="1"/>
  <c r="H21" i="21" s="1"/>
  <c r="J21" i="21" s="1"/>
  <c r="F15" i="21"/>
  <c r="G15" i="21" s="1"/>
  <c r="H15" i="21" s="1"/>
  <c r="J15" i="21" s="1"/>
  <c r="F92" i="33"/>
  <c r="F86" i="33"/>
  <c r="F80" i="33"/>
  <c r="F74" i="33"/>
  <c r="F68" i="33"/>
  <c r="F62" i="33"/>
  <c r="F56" i="33"/>
  <c r="F50" i="33"/>
  <c r="F44" i="33"/>
  <c r="F38" i="33"/>
  <c r="F32" i="33"/>
  <c r="F26" i="33"/>
  <c r="F20" i="33"/>
  <c r="F80" i="21"/>
  <c r="F74" i="21"/>
  <c r="F68" i="21"/>
  <c r="F62" i="21"/>
  <c r="F56" i="21"/>
  <c r="F50" i="21"/>
  <c r="F44" i="21"/>
  <c r="G44" i="21" s="1"/>
  <c r="H44" i="21" s="1"/>
  <c r="F38" i="21"/>
  <c r="G38" i="21" s="1"/>
  <c r="H38" i="21" s="1"/>
  <c r="F32" i="21"/>
  <c r="G32" i="21" s="1"/>
  <c r="H32" i="21" s="1"/>
  <c r="F26" i="21"/>
  <c r="G26" i="21" s="1"/>
  <c r="H26" i="21" s="1"/>
  <c r="F20" i="21"/>
  <c r="G20" i="21" s="1"/>
  <c r="H20" i="21" s="1"/>
  <c r="J20" i="21" s="1"/>
  <c r="F14" i="21"/>
  <c r="G14" i="21" s="1"/>
  <c r="H14" i="21" s="1"/>
  <c r="J14" i="21" s="1"/>
  <c r="F91" i="33"/>
  <c r="F85" i="33"/>
  <c r="F79" i="33"/>
  <c r="F73" i="33"/>
  <c r="F67" i="33"/>
  <c r="F61" i="33"/>
  <c r="F55" i="33"/>
  <c r="F49" i="33"/>
  <c r="F43" i="33"/>
  <c r="F37" i="33"/>
  <c r="F31" i="33"/>
  <c r="F25" i="33"/>
  <c r="F19" i="33"/>
  <c r="F78" i="21"/>
  <c r="F70" i="21"/>
  <c r="F60" i="21"/>
  <c r="F52" i="21"/>
  <c r="F42" i="21"/>
  <c r="G42" i="21" s="1"/>
  <c r="H42" i="21" s="1"/>
  <c r="F34" i="21"/>
  <c r="G34" i="21" s="1"/>
  <c r="H34" i="21" s="1"/>
  <c r="F24" i="21"/>
  <c r="G24" i="21" s="1"/>
  <c r="H24" i="21" s="1"/>
  <c r="F16" i="21"/>
  <c r="G16" i="21" s="1"/>
  <c r="H16" i="21" s="1"/>
  <c r="J16" i="21" s="1"/>
  <c r="F89" i="33"/>
  <c r="F81" i="33"/>
  <c r="F71" i="33"/>
  <c r="F63" i="33"/>
  <c r="F53" i="33"/>
  <c r="F45" i="33"/>
  <c r="F35" i="33"/>
  <c r="F27" i="33"/>
  <c r="F17" i="33"/>
  <c r="F11" i="33"/>
  <c r="F28" i="29"/>
  <c r="F34" i="29"/>
  <c r="F40" i="29"/>
  <c r="F46" i="29"/>
  <c r="F52" i="29"/>
  <c r="G13" i="18"/>
  <c r="F77" i="21"/>
  <c r="F67" i="21"/>
  <c r="F59" i="21"/>
  <c r="F49" i="21"/>
  <c r="F41" i="21"/>
  <c r="G41" i="21" s="1"/>
  <c r="H41" i="21" s="1"/>
  <c r="F31" i="21"/>
  <c r="G31" i="21" s="1"/>
  <c r="H31" i="21" s="1"/>
  <c r="F23" i="21"/>
  <c r="G23" i="21" s="1"/>
  <c r="H23" i="21" s="1"/>
  <c r="J23" i="21" s="1"/>
  <c r="F13" i="21"/>
  <c r="G13" i="21" s="1"/>
  <c r="H13" i="21" s="1"/>
  <c r="J13" i="21" s="1"/>
  <c r="F76" i="21"/>
  <c r="F66" i="21"/>
  <c r="F58" i="21"/>
  <c r="F48" i="21"/>
  <c r="F40" i="21"/>
  <c r="G40" i="21" s="1"/>
  <c r="H40" i="21" s="1"/>
  <c r="F30" i="21"/>
  <c r="G30" i="21" s="1"/>
  <c r="H30" i="21" s="1"/>
  <c r="F22" i="21"/>
  <c r="G22" i="21" s="1"/>
  <c r="H22" i="21" s="1"/>
  <c r="J22" i="21" s="1"/>
  <c r="F12" i="21"/>
  <c r="G12" i="21" s="1"/>
  <c r="H12" i="21" s="1"/>
  <c r="J12" i="21" s="1"/>
  <c r="F87" i="33"/>
  <c r="F77" i="33"/>
  <c r="F69" i="33"/>
  <c r="F59" i="33"/>
  <c r="F51" i="33"/>
  <c r="F41" i="33"/>
  <c r="F33" i="33"/>
  <c r="F23" i="33"/>
  <c r="F15" i="33"/>
  <c r="F24" i="29"/>
  <c r="F30" i="29"/>
  <c r="F36" i="29"/>
  <c r="F42" i="29"/>
  <c r="F48" i="29"/>
  <c r="F54" i="29"/>
  <c r="F60" i="29"/>
  <c r="G16" i="18"/>
  <c r="F83" i="21"/>
  <c r="F65" i="21"/>
  <c r="F47" i="21"/>
  <c r="G47" i="21" s="1"/>
  <c r="H47" i="21" s="1"/>
  <c r="F29" i="21"/>
  <c r="G29" i="21" s="1"/>
  <c r="H29" i="21" s="1"/>
  <c r="F90" i="33"/>
  <c r="F76" i="33"/>
  <c r="F64" i="33"/>
  <c r="F48" i="33"/>
  <c r="F36" i="33"/>
  <c r="F22" i="33"/>
  <c r="F12" i="33"/>
  <c r="F26" i="29"/>
  <c r="F35" i="29"/>
  <c r="F44" i="29"/>
  <c r="F53" i="29"/>
  <c r="F61" i="29"/>
  <c r="F67" i="29"/>
  <c r="F73" i="29"/>
  <c r="F79" i="29"/>
  <c r="F85" i="29"/>
  <c r="F91" i="29"/>
  <c r="F97" i="29"/>
  <c r="F103" i="29"/>
  <c r="F109" i="29"/>
  <c r="F115" i="29"/>
  <c r="F121" i="29"/>
  <c r="F127" i="29"/>
  <c r="F133" i="29"/>
  <c r="F139" i="29"/>
  <c r="F145" i="29"/>
  <c r="F151" i="29"/>
  <c r="F20" i="29"/>
  <c r="G20" i="29" s="1"/>
  <c r="H20" i="29" s="1"/>
  <c r="F17" i="29"/>
  <c r="G17" i="29" s="1"/>
  <c r="H17" i="29" s="1"/>
  <c r="F13" i="29"/>
  <c r="G13" i="29" s="1"/>
  <c r="H13" i="29" s="1"/>
  <c r="F39" i="29"/>
  <c r="F70" i="29"/>
  <c r="F88" i="29"/>
  <c r="F106" i="29"/>
  <c r="F112" i="29"/>
  <c r="F130" i="29"/>
  <c r="F142" i="29"/>
  <c r="F154" i="29"/>
  <c r="F12" i="29"/>
  <c r="G12" i="29" s="1"/>
  <c r="H12" i="29" s="1"/>
  <c r="F72" i="21"/>
  <c r="F36" i="21"/>
  <c r="G36" i="21" s="1"/>
  <c r="H36" i="21" s="1"/>
  <c r="F18" i="21"/>
  <c r="G18" i="21" s="1"/>
  <c r="H18" i="21" s="1"/>
  <c r="J18" i="21" s="1"/>
  <c r="F14" i="33"/>
  <c r="F23" i="29"/>
  <c r="F41" i="29"/>
  <c r="F58" i="29"/>
  <c r="F71" i="29"/>
  <c r="F83" i="29"/>
  <c r="F101" i="29"/>
  <c r="F113" i="29"/>
  <c r="F125" i="29"/>
  <c r="F137" i="29"/>
  <c r="F149" i="29"/>
  <c r="F11" i="29"/>
  <c r="G11" i="29" s="1"/>
  <c r="H11" i="29" s="1"/>
  <c r="F53" i="21"/>
  <c r="F93" i="33"/>
  <c r="F65" i="33"/>
  <c r="F39" i="33"/>
  <c r="F13" i="33"/>
  <c r="F33" i="29"/>
  <c r="F51" i="29"/>
  <c r="F66" i="29"/>
  <c r="F78" i="29"/>
  <c r="F90" i="29"/>
  <c r="F102" i="29"/>
  <c r="F114" i="29"/>
  <c r="F126" i="29"/>
  <c r="F138" i="29"/>
  <c r="F150" i="29"/>
  <c r="F82" i="21"/>
  <c r="F64" i="21"/>
  <c r="F46" i="21"/>
  <c r="G46" i="21" s="1"/>
  <c r="H46" i="21" s="1"/>
  <c r="F28" i="21"/>
  <c r="G28" i="21" s="1"/>
  <c r="H28" i="21" s="1"/>
  <c r="F88" i="33"/>
  <c r="F75" i="33"/>
  <c r="F60" i="33"/>
  <c r="F47" i="33"/>
  <c r="F34" i="33"/>
  <c r="F21" i="33"/>
  <c r="F27" i="29"/>
  <c r="F37" i="29"/>
  <c r="F45" i="29"/>
  <c r="F55" i="29"/>
  <c r="F62" i="29"/>
  <c r="F68" i="29"/>
  <c r="F74" i="29"/>
  <c r="F80" i="29"/>
  <c r="F86" i="29"/>
  <c r="F92" i="29"/>
  <c r="F98" i="29"/>
  <c r="F104" i="29"/>
  <c r="F110" i="29"/>
  <c r="F116" i="29"/>
  <c r="F122" i="29"/>
  <c r="F128" i="29"/>
  <c r="F134" i="29"/>
  <c r="F140" i="29"/>
  <c r="F146" i="29"/>
  <c r="F152" i="29"/>
  <c r="F22" i="29"/>
  <c r="G22" i="29" s="1"/>
  <c r="H22" i="29" s="1"/>
  <c r="F19" i="29"/>
  <c r="G19" i="29" s="1"/>
  <c r="H19" i="29" s="1"/>
  <c r="F16" i="29"/>
  <c r="G16" i="29" s="1"/>
  <c r="H16" i="29" s="1"/>
  <c r="F73" i="21"/>
  <c r="F55" i="21"/>
  <c r="F19" i="21"/>
  <c r="G19" i="21" s="1"/>
  <c r="H19" i="21" s="1"/>
  <c r="J19" i="21" s="1"/>
  <c r="F16" i="33"/>
  <c r="F31" i="29"/>
  <c r="F57" i="29"/>
  <c r="F76" i="29"/>
  <c r="F94" i="29"/>
  <c r="F118" i="29"/>
  <c r="F136" i="29"/>
  <c r="F54" i="21"/>
  <c r="F94" i="33"/>
  <c r="F82" i="33"/>
  <c r="F66" i="33"/>
  <c r="F54" i="33"/>
  <c r="F40" i="33"/>
  <c r="F28" i="33"/>
  <c r="F32" i="29"/>
  <c r="F50" i="29"/>
  <c r="F65" i="29"/>
  <c r="F77" i="29"/>
  <c r="F89" i="29"/>
  <c r="F95" i="29"/>
  <c r="F107" i="29"/>
  <c r="F119" i="29"/>
  <c r="F131" i="29"/>
  <c r="F143" i="29"/>
  <c r="F18" i="29"/>
  <c r="G18" i="29" s="1"/>
  <c r="H18" i="29" s="1"/>
  <c r="F71" i="21"/>
  <c r="F35" i="21"/>
  <c r="G35" i="21" s="1"/>
  <c r="H35" i="21" s="1"/>
  <c r="F17" i="21"/>
  <c r="G17" i="21" s="1"/>
  <c r="H17" i="21" s="1"/>
  <c r="J17" i="21" s="1"/>
  <c r="F78" i="33"/>
  <c r="F52" i="33"/>
  <c r="F24" i="33"/>
  <c r="F25" i="29"/>
  <c r="F43" i="29"/>
  <c r="F59" i="29"/>
  <c r="F72" i="29"/>
  <c r="F84" i="29"/>
  <c r="F96" i="29"/>
  <c r="F108" i="29"/>
  <c r="F120" i="29"/>
  <c r="F132" i="29"/>
  <c r="F144" i="29"/>
  <c r="F14" i="29"/>
  <c r="G14" i="29" s="1"/>
  <c r="H14" i="29" s="1"/>
  <c r="G14" i="18"/>
  <c r="F79" i="21"/>
  <c r="F61" i="21"/>
  <c r="F43" i="21"/>
  <c r="G43" i="21" s="1"/>
  <c r="H43" i="21" s="1"/>
  <c r="F25" i="21"/>
  <c r="G25" i="21" s="1"/>
  <c r="H25" i="21" s="1"/>
  <c r="F84" i="33"/>
  <c r="F72" i="33"/>
  <c r="F58" i="33"/>
  <c r="F46" i="33"/>
  <c r="F30" i="33"/>
  <c r="F18" i="33"/>
  <c r="F29" i="29"/>
  <c r="F38" i="29"/>
  <c r="F47" i="29"/>
  <c r="F56" i="29"/>
  <c r="F63" i="29"/>
  <c r="F69" i="29"/>
  <c r="F75" i="29"/>
  <c r="F81" i="29"/>
  <c r="F87" i="29"/>
  <c r="F93" i="29"/>
  <c r="F99" i="29"/>
  <c r="F105" i="29"/>
  <c r="F111" i="29"/>
  <c r="F117" i="29"/>
  <c r="F123" i="29"/>
  <c r="F129" i="29"/>
  <c r="F135" i="29"/>
  <c r="F141" i="29"/>
  <c r="F147" i="29"/>
  <c r="F153" i="29"/>
  <c r="G11" i="18"/>
  <c r="F37" i="21"/>
  <c r="G37" i="21" s="1"/>
  <c r="H37" i="21" s="1"/>
  <c r="F83" i="33"/>
  <c r="F70" i="33"/>
  <c r="F57" i="33"/>
  <c r="F42" i="33"/>
  <c r="F29" i="33"/>
  <c r="F49" i="29"/>
  <c r="F64" i="29"/>
  <c r="F82" i="29"/>
  <c r="F100" i="29"/>
  <c r="F124" i="29"/>
  <c r="F148" i="29"/>
  <c r="F21" i="29"/>
  <c r="G21" i="29" s="1"/>
  <c r="H21" i="29" s="1"/>
  <c r="F15" i="29"/>
  <c r="G15" i="29" s="1"/>
  <c r="H15" i="29" s="1"/>
  <c r="F154" i="32"/>
  <c r="F148" i="32"/>
  <c r="F142" i="32"/>
  <c r="F136" i="32"/>
  <c r="F130" i="32"/>
  <c r="F124" i="32"/>
  <c r="F118" i="32"/>
  <c r="F112" i="32"/>
  <c r="F106" i="32"/>
  <c r="F100" i="32"/>
  <c r="F94" i="32"/>
  <c r="F88" i="32"/>
  <c r="F82" i="32"/>
  <c r="F76" i="32"/>
  <c r="F70" i="32"/>
  <c r="F64" i="32"/>
  <c r="F58" i="32"/>
  <c r="F52" i="32"/>
  <c r="F46" i="32"/>
  <c r="F40" i="32"/>
  <c r="F34" i="32"/>
  <c r="F28" i="32"/>
  <c r="F22" i="32"/>
  <c r="F16" i="32"/>
  <c r="F145" i="32"/>
  <c r="F133" i="32"/>
  <c r="F115" i="32"/>
  <c r="F103" i="32"/>
  <c r="F85" i="32"/>
  <c r="F67" i="32"/>
  <c r="F49" i="32"/>
  <c r="F31" i="32"/>
  <c r="F25" i="32"/>
  <c r="F144" i="32"/>
  <c r="F120" i="32"/>
  <c r="F96" i="32"/>
  <c r="F72" i="32"/>
  <c r="F54" i="32"/>
  <c r="F30" i="32"/>
  <c r="F12" i="32"/>
  <c r="F149" i="32"/>
  <c r="F119" i="32"/>
  <c r="F95" i="32"/>
  <c r="F77" i="32"/>
  <c r="F53" i="32"/>
  <c r="F35" i="32"/>
  <c r="F17" i="32"/>
  <c r="F153" i="32"/>
  <c r="F147" i="32"/>
  <c r="F141" i="32"/>
  <c r="F135" i="32"/>
  <c r="F129" i="32"/>
  <c r="F123" i="32"/>
  <c r="F117" i="32"/>
  <c r="F111" i="32"/>
  <c r="F105" i="32"/>
  <c r="F99" i="32"/>
  <c r="F93" i="32"/>
  <c r="F87" i="32"/>
  <c r="F81" i="32"/>
  <c r="F75" i="32"/>
  <c r="F69" i="32"/>
  <c r="F63" i="32"/>
  <c r="F57" i="32"/>
  <c r="F51" i="32"/>
  <c r="F45" i="32"/>
  <c r="F39" i="32"/>
  <c r="F33" i="32"/>
  <c r="F27" i="32"/>
  <c r="F21" i="32"/>
  <c r="F15" i="32"/>
  <c r="F139" i="32"/>
  <c r="F121" i="32"/>
  <c r="F97" i="32"/>
  <c r="F79" i="32"/>
  <c r="F61" i="32"/>
  <c r="F43" i="32"/>
  <c r="F19" i="32"/>
  <c r="F138" i="32"/>
  <c r="F126" i="32"/>
  <c r="F108" i="32"/>
  <c r="F90" i="32"/>
  <c r="F78" i="32"/>
  <c r="F60" i="32"/>
  <c r="F48" i="32"/>
  <c r="F36" i="32"/>
  <c r="F18" i="32"/>
  <c r="F143" i="32"/>
  <c r="F125" i="32"/>
  <c r="F107" i="32"/>
  <c r="F83" i="32"/>
  <c r="F65" i="32"/>
  <c r="F41" i="32"/>
  <c r="F11" i="32"/>
  <c r="F152" i="32"/>
  <c r="F146" i="32"/>
  <c r="F140" i="32"/>
  <c r="F134" i="32"/>
  <c r="F128" i="32"/>
  <c r="F122" i="32"/>
  <c r="F116" i="32"/>
  <c r="F110" i="32"/>
  <c r="F104" i="32"/>
  <c r="F98" i="32"/>
  <c r="F92" i="32"/>
  <c r="F86" i="32"/>
  <c r="F80" i="32"/>
  <c r="F74" i="32"/>
  <c r="F68" i="32"/>
  <c r="F62" i="32"/>
  <c r="F56" i="32"/>
  <c r="F50" i="32"/>
  <c r="F44" i="32"/>
  <c r="F38" i="32"/>
  <c r="F32" i="32"/>
  <c r="F26" i="32"/>
  <c r="F20" i="32"/>
  <c r="F14" i="32"/>
  <c r="F151" i="32"/>
  <c r="F127" i="32"/>
  <c r="F109" i="32"/>
  <c r="F91" i="32"/>
  <c r="F73" i="32"/>
  <c r="F55" i="32"/>
  <c r="F37" i="32"/>
  <c r="F13" i="32"/>
  <c r="F150" i="32"/>
  <c r="F132" i="32"/>
  <c r="F114" i="32"/>
  <c r="F102" i="32"/>
  <c r="F84" i="32"/>
  <c r="F66" i="32"/>
  <c r="F42" i="32"/>
  <c r="F24" i="32"/>
  <c r="F137" i="32"/>
  <c r="F131" i="32"/>
  <c r="F113" i="32"/>
  <c r="F101" i="32"/>
  <c r="F89" i="32"/>
  <c r="F71" i="32"/>
  <c r="F59" i="32"/>
  <c r="F47" i="32"/>
  <c r="F29" i="32"/>
  <c r="F23" i="32"/>
  <c r="F166" i="29"/>
  <c r="F95" i="21"/>
  <c r="F106" i="33"/>
  <c r="F166" i="32"/>
  <c r="F98" i="21"/>
  <c r="F109" i="33"/>
  <c r="F169" i="29"/>
  <c r="F169" i="32"/>
  <c r="F172" i="29"/>
  <c r="F101" i="21"/>
  <c r="F112" i="33"/>
  <c r="F172" i="32"/>
  <c r="F118" i="33"/>
  <c r="F178" i="29"/>
  <c r="F107" i="21"/>
  <c r="F178" i="32"/>
  <c r="F90" i="21"/>
  <c r="F161" i="29"/>
  <c r="F101" i="33"/>
  <c r="F161" i="32"/>
  <c r="C173" i="31"/>
  <c r="C173" i="29"/>
  <c r="C113" i="33"/>
  <c r="C102" i="21"/>
  <c r="C173" i="32"/>
  <c r="E173" i="32" s="1"/>
  <c r="G17" i="18"/>
  <c r="F85" i="21"/>
  <c r="F156" i="29"/>
  <c r="F96" i="33"/>
  <c r="F156" i="32"/>
  <c r="F162" i="29"/>
  <c r="F102" i="33"/>
  <c r="F91" i="21"/>
  <c r="F162" i="32"/>
  <c r="F96" i="21"/>
  <c r="F107" i="33"/>
  <c r="F167" i="29"/>
  <c r="F167" i="32"/>
  <c r="F99" i="21"/>
  <c r="F110" i="33"/>
  <c r="F170" i="29"/>
  <c r="F170" i="32"/>
  <c r="F102" i="21"/>
  <c r="F113" i="33"/>
  <c r="F173" i="29"/>
  <c r="F173" i="32"/>
  <c r="F105" i="21"/>
  <c r="F116" i="33"/>
  <c r="F176" i="29"/>
  <c r="F176" i="32"/>
  <c r="F87" i="21"/>
  <c r="F98" i="33"/>
  <c r="F158" i="29"/>
  <c r="F158" i="32"/>
  <c r="F171" i="29"/>
  <c r="F100" i="21"/>
  <c r="F111" i="33"/>
  <c r="F171" i="32"/>
  <c r="F94" i="21"/>
  <c r="F105" i="33"/>
  <c r="F165" i="29"/>
  <c r="F165" i="32"/>
  <c r="C172" i="31"/>
  <c r="C172" i="29"/>
  <c r="C112" i="33"/>
  <c r="C101" i="21"/>
  <c r="C172" i="32"/>
  <c r="E172" i="32" s="1"/>
  <c r="C175" i="29"/>
  <c r="C175" i="31"/>
  <c r="C104" i="21"/>
  <c r="C115" i="33"/>
  <c r="C175" i="32"/>
  <c r="E175" i="32" s="1"/>
  <c r="G175" i="32" s="1"/>
  <c r="H175" i="32" s="1"/>
  <c r="F160" i="29"/>
  <c r="F100" i="33"/>
  <c r="F89" i="21"/>
  <c r="F160" i="32"/>
  <c r="F104" i="21"/>
  <c r="F115" i="33"/>
  <c r="F175" i="29"/>
  <c r="F175" i="32"/>
  <c r="F155" i="29"/>
  <c r="F84" i="21"/>
  <c r="F95" i="33"/>
  <c r="F155" i="32"/>
  <c r="C167" i="31"/>
  <c r="C167" i="29"/>
  <c r="C96" i="21"/>
  <c r="C107" i="33"/>
  <c r="C167" i="32"/>
  <c r="E167" i="32" s="1"/>
  <c r="G167" i="32" s="1"/>
  <c r="H167" i="32" s="1"/>
  <c r="C170" i="31"/>
  <c r="C99" i="21"/>
  <c r="C110" i="33"/>
  <c r="C170" i="29"/>
  <c r="C170" i="32"/>
  <c r="E170" i="32" s="1"/>
  <c r="C176" i="31"/>
  <c r="C176" i="29"/>
  <c r="C105" i="21"/>
  <c r="C116" i="33"/>
  <c r="C176" i="32"/>
  <c r="E176" i="32" s="1"/>
  <c r="F97" i="33"/>
  <c r="F86" i="21"/>
  <c r="F157" i="29"/>
  <c r="F157" i="32"/>
  <c r="F103" i="33"/>
  <c r="F92" i="21"/>
  <c r="F163" i="29"/>
  <c r="F163" i="32"/>
  <c r="C168" i="29"/>
  <c r="C168" i="31"/>
  <c r="C97" i="21"/>
  <c r="C108" i="33"/>
  <c r="C168" i="32"/>
  <c r="E168" i="32" s="1"/>
  <c r="G168" i="32" s="1"/>
  <c r="H168" i="32" s="1"/>
  <c r="C171" i="31"/>
  <c r="C171" i="29"/>
  <c r="C100" i="21"/>
  <c r="C111" i="33"/>
  <c r="C171" i="32"/>
  <c r="E171" i="32" s="1"/>
  <c r="C174" i="29"/>
  <c r="C174" i="31"/>
  <c r="C103" i="21"/>
  <c r="C114" i="33"/>
  <c r="C174" i="32"/>
  <c r="E174" i="32" s="1"/>
  <c r="G174" i="32" s="1"/>
  <c r="H174" i="32" s="1"/>
  <c r="C177" i="31"/>
  <c r="C177" i="29"/>
  <c r="C178" i="29" s="1"/>
  <c r="C106" i="21"/>
  <c r="C117" i="33"/>
  <c r="C177" i="32"/>
  <c r="Y133" i="33"/>
  <c r="V133" i="33"/>
  <c r="S133" i="33"/>
  <c r="P133" i="33"/>
  <c r="L45" i="25" s="1"/>
  <c r="M133" i="33"/>
  <c r="L45" i="36" s="1"/>
  <c r="D133" i="33"/>
  <c r="C133" i="33"/>
  <c r="Y132" i="33"/>
  <c r="V132" i="33"/>
  <c r="S132" i="33"/>
  <c r="P132" i="33"/>
  <c r="L44" i="25" s="1"/>
  <c r="M132" i="33"/>
  <c r="L44" i="36" s="1"/>
  <c r="D132" i="33"/>
  <c r="C132" i="33"/>
  <c r="Y131" i="33"/>
  <c r="V131" i="33"/>
  <c r="S131" i="33"/>
  <c r="P131" i="33"/>
  <c r="L43" i="25" s="1"/>
  <c r="M131" i="33"/>
  <c r="L43" i="36" s="1"/>
  <c r="D131" i="33"/>
  <c r="C131" i="33"/>
  <c r="Y130" i="33"/>
  <c r="V130" i="33"/>
  <c r="S130" i="33"/>
  <c r="P130" i="33"/>
  <c r="L42" i="25" s="1"/>
  <c r="M130" i="33"/>
  <c r="L42" i="36" s="1"/>
  <c r="D130" i="33"/>
  <c r="C130" i="33"/>
  <c r="Y129" i="33"/>
  <c r="V129" i="33"/>
  <c r="S129" i="33"/>
  <c r="P129" i="33"/>
  <c r="L41" i="25" s="1"/>
  <c r="M129" i="33"/>
  <c r="L41" i="36" s="1"/>
  <c r="D129" i="33"/>
  <c r="C129" i="33"/>
  <c r="Y128" i="33"/>
  <c r="V128" i="33"/>
  <c r="S128" i="33"/>
  <c r="P128" i="33"/>
  <c r="L40" i="25" s="1"/>
  <c r="M128" i="33"/>
  <c r="L40" i="36" s="1"/>
  <c r="D128" i="33"/>
  <c r="C128" i="33"/>
  <c r="Y127" i="33"/>
  <c r="V127" i="33"/>
  <c r="S127" i="33"/>
  <c r="P127" i="33"/>
  <c r="L39" i="25" s="1"/>
  <c r="M127" i="33"/>
  <c r="L39" i="36" s="1"/>
  <c r="D127" i="33"/>
  <c r="C127" i="33"/>
  <c r="Y126" i="33"/>
  <c r="V126" i="33"/>
  <c r="S126" i="33"/>
  <c r="P126" i="33"/>
  <c r="L38" i="25" s="1"/>
  <c r="M126" i="33"/>
  <c r="L38" i="36" s="1"/>
  <c r="D126" i="33"/>
  <c r="C126" i="33"/>
  <c r="Y125" i="33"/>
  <c r="V125" i="33"/>
  <c r="S125" i="33"/>
  <c r="P125" i="33"/>
  <c r="L37" i="25" s="1"/>
  <c r="M125" i="33"/>
  <c r="L37" i="36" s="1"/>
  <c r="D125" i="33"/>
  <c r="C125" i="33"/>
  <c r="Y124" i="33"/>
  <c r="V124" i="33"/>
  <c r="S124" i="33"/>
  <c r="P124" i="33"/>
  <c r="L36" i="25" s="1"/>
  <c r="M124" i="33"/>
  <c r="L36" i="36" s="1"/>
  <c r="D124" i="33"/>
  <c r="C124" i="33"/>
  <c r="Y123" i="33"/>
  <c r="V123" i="33"/>
  <c r="S123" i="33"/>
  <c r="P123" i="33"/>
  <c r="M123" i="33"/>
  <c r="L35" i="36" s="1"/>
  <c r="D123" i="33"/>
  <c r="C123" i="33"/>
  <c r="Y122" i="33"/>
  <c r="V122" i="33"/>
  <c r="S122" i="33"/>
  <c r="P122" i="33"/>
  <c r="L34" i="25" s="1"/>
  <c r="M122" i="33"/>
  <c r="L34" i="36" s="1"/>
  <c r="D122" i="33"/>
  <c r="C122" i="33"/>
  <c r="I137" i="33" s="1"/>
  <c r="W7" i="33"/>
  <c r="I8" i="33" s="1"/>
  <c r="Y193" i="32"/>
  <c r="V193" i="32"/>
  <c r="S193" i="32"/>
  <c r="P193" i="32"/>
  <c r="L45" i="24" s="1"/>
  <c r="M193" i="32"/>
  <c r="L45" i="35" s="1"/>
  <c r="F193" i="32"/>
  <c r="E193" i="32"/>
  <c r="Y192" i="32"/>
  <c r="V192" i="32"/>
  <c r="S192" i="32"/>
  <c r="P192" i="32"/>
  <c r="L44" i="24" s="1"/>
  <c r="M192" i="32"/>
  <c r="L44" i="35" s="1"/>
  <c r="F192" i="32"/>
  <c r="E192" i="32"/>
  <c r="Y191" i="32"/>
  <c r="V191" i="32"/>
  <c r="S191" i="32"/>
  <c r="P191" i="32"/>
  <c r="L43" i="24" s="1"/>
  <c r="M191" i="32"/>
  <c r="L43" i="35" s="1"/>
  <c r="F191" i="32"/>
  <c r="E191" i="32"/>
  <c r="Y190" i="32"/>
  <c r="V190" i="32"/>
  <c r="S190" i="32"/>
  <c r="P190" i="32"/>
  <c r="L42" i="24" s="1"/>
  <c r="M190" i="32"/>
  <c r="L42" i="35" s="1"/>
  <c r="F190" i="32"/>
  <c r="E190" i="32"/>
  <c r="Y189" i="32"/>
  <c r="V189" i="32"/>
  <c r="S189" i="32"/>
  <c r="P189" i="32"/>
  <c r="L41" i="24" s="1"/>
  <c r="M189" i="32"/>
  <c r="L41" i="35" s="1"/>
  <c r="F189" i="32"/>
  <c r="E189" i="32"/>
  <c r="Y188" i="32"/>
  <c r="V188" i="32"/>
  <c r="S188" i="32"/>
  <c r="P188" i="32"/>
  <c r="L40" i="24" s="1"/>
  <c r="M188" i="32"/>
  <c r="L40" i="35" s="1"/>
  <c r="F188" i="32"/>
  <c r="E188" i="32"/>
  <c r="Y187" i="32"/>
  <c r="V187" i="32"/>
  <c r="S187" i="32"/>
  <c r="P187" i="32"/>
  <c r="L39" i="24" s="1"/>
  <c r="M187" i="32"/>
  <c r="L39" i="35" s="1"/>
  <c r="F187" i="32"/>
  <c r="E187" i="32"/>
  <c r="Y186" i="32"/>
  <c r="V186" i="32"/>
  <c r="S186" i="32"/>
  <c r="P186" i="32"/>
  <c r="L38" i="24" s="1"/>
  <c r="M186" i="32"/>
  <c r="L38" i="35" s="1"/>
  <c r="F186" i="32"/>
  <c r="E186" i="32"/>
  <c r="Y185" i="32"/>
  <c r="V185" i="32"/>
  <c r="S185" i="32"/>
  <c r="P185" i="32"/>
  <c r="L37" i="24" s="1"/>
  <c r="M185" i="32"/>
  <c r="L37" i="35" s="1"/>
  <c r="F185" i="32"/>
  <c r="E185" i="32"/>
  <c r="Y184" i="32"/>
  <c r="V184" i="32"/>
  <c r="S184" i="32"/>
  <c r="P184" i="32"/>
  <c r="L36" i="24" s="1"/>
  <c r="M184" i="32"/>
  <c r="L36" i="35" s="1"/>
  <c r="F184" i="32"/>
  <c r="E184" i="32"/>
  <c r="Y183" i="32"/>
  <c r="V183" i="32"/>
  <c r="S183" i="32"/>
  <c r="P183" i="32"/>
  <c r="L35" i="24" s="1"/>
  <c r="M183" i="32"/>
  <c r="L35" i="35" s="1"/>
  <c r="F183" i="32"/>
  <c r="D183" i="32"/>
  <c r="E183" i="32" s="1"/>
  <c r="Y182" i="32"/>
  <c r="V182" i="32"/>
  <c r="S182" i="32"/>
  <c r="P182" i="32"/>
  <c r="L34" i="24" s="1"/>
  <c r="M182" i="32"/>
  <c r="L34" i="35" s="1"/>
  <c r="F182" i="32"/>
  <c r="D182" i="32"/>
  <c r="E182" i="32" s="1"/>
  <c r="W7" i="32"/>
  <c r="G171" i="32" l="1"/>
  <c r="H171" i="32" s="1"/>
  <c r="G176" i="32"/>
  <c r="H176" i="32" s="1"/>
  <c r="J23" i="25"/>
  <c r="J23" i="38" s="1"/>
  <c r="J24" i="36"/>
  <c r="J22" i="24"/>
  <c r="J22" i="37" s="1"/>
  <c r="J23" i="35"/>
  <c r="G172" i="32"/>
  <c r="H172" i="32" s="1"/>
  <c r="G173" i="32"/>
  <c r="H173" i="32" s="1"/>
  <c r="C178" i="32"/>
  <c r="E178" i="32" s="1"/>
  <c r="G178" i="32" s="1"/>
  <c r="H178" i="32" s="1"/>
  <c r="E177" i="32"/>
  <c r="G177" i="32" s="1"/>
  <c r="H177" i="32" s="1"/>
  <c r="M21" i="21"/>
  <c r="O21" i="21" s="1"/>
  <c r="L21" i="21"/>
  <c r="V21" i="21"/>
  <c r="X21" i="21" s="1"/>
  <c r="S21" i="21"/>
  <c r="U21" i="21" s="1"/>
  <c r="Y21" i="21"/>
  <c r="AA21" i="21" s="1"/>
  <c r="P21" i="21"/>
  <c r="R21" i="21" s="1"/>
  <c r="S17" i="21"/>
  <c r="U17" i="21" s="1"/>
  <c r="M17" i="21"/>
  <c r="O17" i="21" s="1"/>
  <c r="L17" i="21"/>
  <c r="Y17" i="21"/>
  <c r="AA17" i="21" s="1"/>
  <c r="V17" i="21"/>
  <c r="X17" i="21" s="1"/>
  <c r="P17" i="21"/>
  <c r="R17" i="21" s="1"/>
  <c r="P13" i="21"/>
  <c r="R13" i="21" s="1"/>
  <c r="V13" i="21"/>
  <c r="X13" i="21" s="1"/>
  <c r="M13" i="21"/>
  <c r="O13" i="21" s="1"/>
  <c r="S13" i="21"/>
  <c r="U13" i="21" s="1"/>
  <c r="Y13" i="21"/>
  <c r="AA13" i="21" s="1"/>
  <c r="L13" i="21"/>
  <c r="L16" i="21"/>
  <c r="P16" i="21"/>
  <c r="R16" i="21" s="1"/>
  <c r="Y16" i="21"/>
  <c r="AA16" i="21" s="1"/>
  <c r="S16" i="21"/>
  <c r="U16" i="21" s="1"/>
  <c r="V16" i="21"/>
  <c r="X16" i="21" s="1"/>
  <c r="M16" i="21"/>
  <c r="O16" i="21" s="1"/>
  <c r="G170" i="32"/>
  <c r="H170" i="32" s="1"/>
  <c r="P14" i="21"/>
  <c r="R14" i="21" s="1"/>
  <c r="M14" i="21"/>
  <c r="O14" i="21" s="1"/>
  <c r="S14" i="21"/>
  <c r="U14" i="21" s="1"/>
  <c r="L14" i="21"/>
  <c r="Y14" i="21"/>
  <c r="AA14" i="21" s="1"/>
  <c r="V14" i="21"/>
  <c r="X14" i="21" s="1"/>
  <c r="G169" i="32"/>
  <c r="H169" i="32" s="1"/>
  <c r="P22" i="21"/>
  <c r="R22" i="21" s="1"/>
  <c r="M22" i="21"/>
  <c r="O22" i="21" s="1"/>
  <c r="S22" i="21"/>
  <c r="U22" i="21" s="1"/>
  <c r="V22" i="21"/>
  <c r="X22" i="21" s="1"/>
  <c r="L22" i="21"/>
  <c r="Y22" i="21"/>
  <c r="AA22" i="21" s="1"/>
  <c r="P18" i="21"/>
  <c r="R18" i="21" s="1"/>
  <c r="S18" i="21"/>
  <c r="U18" i="21" s="1"/>
  <c r="V18" i="21"/>
  <c r="X18" i="21" s="1"/>
  <c r="M18" i="21"/>
  <c r="O18" i="21" s="1"/>
  <c r="Y18" i="21"/>
  <c r="AA18" i="21" s="1"/>
  <c r="L18" i="21"/>
  <c r="L23" i="21"/>
  <c r="M23" i="21"/>
  <c r="O23" i="21" s="1"/>
  <c r="S23" i="21"/>
  <c r="U23" i="21" s="1"/>
  <c r="P23" i="21"/>
  <c r="R23" i="21" s="1"/>
  <c r="V23" i="21"/>
  <c r="X23" i="21" s="1"/>
  <c r="Y23" i="21"/>
  <c r="AA23" i="21" s="1"/>
  <c r="L19" i="21"/>
  <c r="P19" i="21"/>
  <c r="R19" i="21" s="1"/>
  <c r="V19" i="21"/>
  <c r="X19" i="21" s="1"/>
  <c r="S19" i="21"/>
  <c r="U19" i="21" s="1"/>
  <c r="Y19" i="21"/>
  <c r="AA19" i="21" s="1"/>
  <c r="M19" i="21"/>
  <c r="O19" i="21" s="1"/>
  <c r="S12" i="21"/>
  <c r="U12" i="21" s="1"/>
  <c r="M12" i="21"/>
  <c r="O12" i="21" s="1"/>
  <c r="V12" i="21"/>
  <c r="X12" i="21" s="1"/>
  <c r="L12" i="21"/>
  <c r="P12" i="21"/>
  <c r="R12" i="21" s="1"/>
  <c r="Y12" i="21"/>
  <c r="AA12" i="21" s="1"/>
  <c r="P20" i="21"/>
  <c r="R20" i="21" s="1"/>
  <c r="S20" i="21"/>
  <c r="U20" i="21" s="1"/>
  <c r="L20" i="21"/>
  <c r="Y20" i="21"/>
  <c r="AA20" i="21" s="1"/>
  <c r="V20" i="21"/>
  <c r="X20" i="21" s="1"/>
  <c r="M20" i="21"/>
  <c r="O20" i="21" s="1"/>
  <c r="Y15" i="21"/>
  <c r="AA15" i="21" s="1"/>
  <c r="S15" i="21"/>
  <c r="U15" i="21" s="1"/>
  <c r="V15" i="21"/>
  <c r="X15" i="21" s="1"/>
  <c r="M15" i="21"/>
  <c r="O15" i="21" s="1"/>
  <c r="L15" i="21"/>
  <c r="P15" i="21"/>
  <c r="R15" i="21" s="1"/>
  <c r="E124" i="33"/>
  <c r="E131" i="33"/>
  <c r="E130" i="33"/>
  <c r="E123" i="33"/>
  <c r="E122" i="33"/>
  <c r="E128" i="33"/>
  <c r="E127" i="33"/>
  <c r="E129" i="33"/>
  <c r="E125" i="33"/>
  <c r="E132" i="33"/>
  <c r="E126" i="33"/>
  <c r="E133" i="33"/>
  <c r="F136" i="33"/>
  <c r="F119" i="33"/>
  <c r="F196" i="32"/>
  <c r="F179" i="32"/>
  <c r="I8" i="32"/>
  <c r="J22" i="25" l="1"/>
  <c r="J22" i="38" s="1"/>
  <c r="J23" i="36"/>
  <c r="J21" i="24"/>
  <c r="J21" i="37" s="1"/>
  <c r="J22" i="35"/>
  <c r="E11" i="32"/>
  <c r="G11" i="32" s="1"/>
  <c r="H11" i="32" s="1"/>
  <c r="J21" i="25" l="1"/>
  <c r="J21" i="38" s="1"/>
  <c r="J22" i="36"/>
  <c r="J20" i="24"/>
  <c r="J20" i="37" s="1"/>
  <c r="J21" i="35"/>
  <c r="C193" i="31"/>
  <c r="Y193" i="31"/>
  <c r="V193" i="31"/>
  <c r="S193" i="31"/>
  <c r="P193" i="31"/>
  <c r="M193" i="31"/>
  <c r="F193" i="31"/>
  <c r="D193" i="31"/>
  <c r="Y192" i="31"/>
  <c r="V192" i="31"/>
  <c r="S192" i="31"/>
  <c r="P192" i="31"/>
  <c r="M192" i="31"/>
  <c r="F192" i="31"/>
  <c r="D192" i="31"/>
  <c r="C192" i="31"/>
  <c r="Y191" i="31"/>
  <c r="V191" i="31"/>
  <c r="S191" i="31"/>
  <c r="P191" i="31"/>
  <c r="M191" i="31"/>
  <c r="F191" i="31"/>
  <c r="D191" i="31"/>
  <c r="C191" i="31"/>
  <c r="Y190" i="31"/>
  <c r="V190" i="31"/>
  <c r="S190" i="31"/>
  <c r="P190" i="31"/>
  <c r="M190" i="31"/>
  <c r="F190" i="31"/>
  <c r="D190" i="31"/>
  <c r="C190" i="31"/>
  <c r="Y189" i="31"/>
  <c r="V189" i="31"/>
  <c r="S189" i="31"/>
  <c r="P189" i="31"/>
  <c r="M189" i="31"/>
  <c r="F189" i="31"/>
  <c r="D189" i="31"/>
  <c r="C189" i="31"/>
  <c r="Y188" i="31"/>
  <c r="V188" i="31"/>
  <c r="S188" i="31"/>
  <c r="P188" i="31"/>
  <c r="M188" i="31"/>
  <c r="F188" i="31"/>
  <c r="D188" i="31"/>
  <c r="C188" i="31"/>
  <c r="Y187" i="31"/>
  <c r="V187" i="31"/>
  <c r="S187" i="31"/>
  <c r="P187" i="31"/>
  <c r="M187" i="31"/>
  <c r="F187" i="31"/>
  <c r="D187" i="31"/>
  <c r="C187" i="31"/>
  <c r="Y186" i="31"/>
  <c r="V186" i="31"/>
  <c r="S186" i="31"/>
  <c r="P186" i="31"/>
  <c r="M186" i="31"/>
  <c r="F186" i="31"/>
  <c r="D186" i="31"/>
  <c r="C186" i="31"/>
  <c r="I197" i="31" s="1"/>
  <c r="Y185" i="31"/>
  <c r="V185" i="31"/>
  <c r="S185" i="31"/>
  <c r="P185" i="31"/>
  <c r="M185" i="31"/>
  <c r="F185" i="31"/>
  <c r="D185" i="31"/>
  <c r="C185" i="31"/>
  <c r="Y184" i="31"/>
  <c r="V184" i="31"/>
  <c r="S184" i="31"/>
  <c r="P184" i="31"/>
  <c r="M184" i="31"/>
  <c r="F184" i="31"/>
  <c r="D184" i="31"/>
  <c r="C184" i="31"/>
  <c r="Y183" i="31"/>
  <c r="V183" i="31"/>
  <c r="S183" i="31"/>
  <c r="P183" i="31"/>
  <c r="M183" i="31"/>
  <c r="F183" i="31"/>
  <c r="D183" i="31"/>
  <c r="C183" i="31"/>
  <c r="Y182" i="31"/>
  <c r="V182" i="31"/>
  <c r="S182" i="31"/>
  <c r="P182" i="31"/>
  <c r="M182" i="31"/>
  <c r="F182" i="31"/>
  <c r="D182" i="31"/>
  <c r="C182" i="31"/>
  <c r="F178" i="31"/>
  <c r="D178" i="31"/>
  <c r="F177" i="31"/>
  <c r="D177" i="31"/>
  <c r="F176" i="31"/>
  <c r="D176" i="31"/>
  <c r="F175" i="31"/>
  <c r="D175" i="31"/>
  <c r="F174" i="31"/>
  <c r="D174" i="31"/>
  <c r="F173" i="31"/>
  <c r="D173" i="31"/>
  <c r="F172" i="31"/>
  <c r="D172" i="31"/>
  <c r="F171" i="31"/>
  <c r="D171" i="31"/>
  <c r="F170" i="31"/>
  <c r="D170" i="31"/>
  <c r="F169" i="31"/>
  <c r="D169" i="31"/>
  <c r="F168" i="31"/>
  <c r="D168" i="31"/>
  <c r="F167" i="31"/>
  <c r="D167" i="31"/>
  <c r="F166" i="31"/>
  <c r="D166" i="31"/>
  <c r="F165" i="31"/>
  <c r="D165" i="31"/>
  <c r="F164" i="31"/>
  <c r="D164" i="31"/>
  <c r="F163" i="31"/>
  <c r="D163" i="31"/>
  <c r="F162" i="31"/>
  <c r="D162" i="31"/>
  <c r="F161" i="31"/>
  <c r="D161" i="31"/>
  <c r="F160" i="31"/>
  <c r="D160" i="31"/>
  <c r="F159" i="31"/>
  <c r="D159" i="31"/>
  <c r="F158" i="31"/>
  <c r="D158" i="31"/>
  <c r="F157" i="31"/>
  <c r="D157" i="31"/>
  <c r="F156" i="31"/>
  <c r="D156" i="31"/>
  <c r="F155" i="31"/>
  <c r="D155" i="31"/>
  <c r="F154" i="31"/>
  <c r="D154" i="31"/>
  <c r="F153" i="31"/>
  <c r="D153" i="31"/>
  <c r="F152" i="31"/>
  <c r="D152" i="31"/>
  <c r="F151" i="31"/>
  <c r="D151" i="31"/>
  <c r="F150" i="31"/>
  <c r="D150" i="31"/>
  <c r="F149" i="31"/>
  <c r="D149" i="31"/>
  <c r="F148" i="31"/>
  <c r="D148" i="31"/>
  <c r="F147" i="31"/>
  <c r="D147" i="31"/>
  <c r="F146" i="31"/>
  <c r="D146" i="31"/>
  <c r="F145" i="31"/>
  <c r="D145" i="31"/>
  <c r="F144" i="31"/>
  <c r="D144" i="31"/>
  <c r="F143" i="31"/>
  <c r="D143" i="31"/>
  <c r="F142" i="31"/>
  <c r="D142" i="31"/>
  <c r="F141" i="31"/>
  <c r="D141" i="31"/>
  <c r="F140" i="31"/>
  <c r="D140" i="31"/>
  <c r="F139" i="31"/>
  <c r="D139" i="31"/>
  <c r="F138" i="31"/>
  <c r="D138" i="31"/>
  <c r="F137" i="31"/>
  <c r="D137" i="31"/>
  <c r="F136" i="31"/>
  <c r="D136" i="31"/>
  <c r="F135" i="31"/>
  <c r="D135" i="31"/>
  <c r="F134" i="31"/>
  <c r="D134" i="31"/>
  <c r="F133" i="31"/>
  <c r="D133" i="31"/>
  <c r="F132" i="31"/>
  <c r="D132" i="31"/>
  <c r="F131" i="31"/>
  <c r="D131" i="31"/>
  <c r="F130" i="31"/>
  <c r="D130" i="31"/>
  <c r="F129" i="31"/>
  <c r="D129" i="31"/>
  <c r="F128" i="31"/>
  <c r="D128" i="31"/>
  <c r="F127" i="31"/>
  <c r="D127" i="31"/>
  <c r="F126" i="31"/>
  <c r="D126" i="31"/>
  <c r="F125" i="31"/>
  <c r="D125" i="31"/>
  <c r="F124" i="31"/>
  <c r="D124" i="31"/>
  <c r="F123" i="31"/>
  <c r="D123" i="31"/>
  <c r="F122" i="31"/>
  <c r="D122" i="31"/>
  <c r="F121" i="31"/>
  <c r="D121" i="31"/>
  <c r="F120" i="31"/>
  <c r="D120" i="31"/>
  <c r="F119" i="31"/>
  <c r="D119" i="31"/>
  <c r="F118" i="31"/>
  <c r="D118" i="31"/>
  <c r="F117" i="31"/>
  <c r="D117" i="31"/>
  <c r="F116" i="31"/>
  <c r="D116" i="31"/>
  <c r="F115" i="31"/>
  <c r="D115" i="31"/>
  <c r="F114" i="31"/>
  <c r="D114" i="31"/>
  <c r="F113" i="31"/>
  <c r="D113" i="31"/>
  <c r="F112" i="31"/>
  <c r="D112" i="31"/>
  <c r="F111" i="31"/>
  <c r="D111" i="31"/>
  <c r="F110" i="31"/>
  <c r="D110" i="31"/>
  <c r="F109" i="31"/>
  <c r="D109" i="31"/>
  <c r="F108" i="31"/>
  <c r="D108" i="31"/>
  <c r="F107" i="31"/>
  <c r="D107" i="31"/>
  <c r="F106" i="31"/>
  <c r="D106" i="31"/>
  <c r="F105" i="31"/>
  <c r="D105" i="31"/>
  <c r="F104" i="31"/>
  <c r="D104" i="31"/>
  <c r="F103" i="31"/>
  <c r="D103" i="31"/>
  <c r="F102" i="31"/>
  <c r="D102" i="31"/>
  <c r="F101" i="31"/>
  <c r="D101" i="31"/>
  <c r="F100" i="31"/>
  <c r="D100" i="31"/>
  <c r="F99" i="31"/>
  <c r="D99" i="31"/>
  <c r="F98" i="31"/>
  <c r="D98" i="31"/>
  <c r="F97" i="31"/>
  <c r="D97" i="31"/>
  <c r="F96" i="31"/>
  <c r="D96" i="31"/>
  <c r="F95" i="31"/>
  <c r="D95" i="31"/>
  <c r="F94" i="31"/>
  <c r="D94" i="31"/>
  <c r="F93" i="31"/>
  <c r="D93" i="31"/>
  <c r="F92" i="31"/>
  <c r="D92" i="31"/>
  <c r="F91" i="31"/>
  <c r="D91" i="31"/>
  <c r="F90" i="31"/>
  <c r="D90" i="31"/>
  <c r="F89" i="31"/>
  <c r="D89" i="31"/>
  <c r="F88" i="31"/>
  <c r="D88" i="31"/>
  <c r="F87" i="31"/>
  <c r="D87" i="31"/>
  <c r="F86" i="31"/>
  <c r="D86" i="31"/>
  <c r="F85" i="31"/>
  <c r="D85" i="31"/>
  <c r="F84" i="31"/>
  <c r="D84" i="31"/>
  <c r="F83" i="31"/>
  <c r="D83" i="31"/>
  <c r="F82" i="31"/>
  <c r="D82" i="31"/>
  <c r="F81" i="31"/>
  <c r="D81" i="31"/>
  <c r="F80" i="31"/>
  <c r="D80" i="31"/>
  <c r="F79" i="31"/>
  <c r="D79" i="31"/>
  <c r="F78" i="31"/>
  <c r="D78" i="31"/>
  <c r="F77" i="31"/>
  <c r="D77" i="31"/>
  <c r="F76" i="31"/>
  <c r="D76" i="31"/>
  <c r="F75" i="31"/>
  <c r="D75" i="31"/>
  <c r="F74" i="31"/>
  <c r="D74" i="31"/>
  <c r="E74" i="31" s="1"/>
  <c r="F73" i="31"/>
  <c r="D73" i="31"/>
  <c r="F72" i="31"/>
  <c r="D72" i="31"/>
  <c r="F71" i="31"/>
  <c r="D71" i="31"/>
  <c r="F70" i="31"/>
  <c r="D70" i="31"/>
  <c r="F69" i="31"/>
  <c r="D69" i="31"/>
  <c r="F68" i="31"/>
  <c r="D68" i="31"/>
  <c r="F67" i="31"/>
  <c r="D67" i="31"/>
  <c r="F66" i="31"/>
  <c r="D66" i="31"/>
  <c r="F65" i="31"/>
  <c r="D65" i="31"/>
  <c r="F64" i="31"/>
  <c r="D64" i="31"/>
  <c r="F63" i="31"/>
  <c r="D63" i="31"/>
  <c r="F62" i="31"/>
  <c r="D62" i="31"/>
  <c r="F61" i="31"/>
  <c r="D61" i="31"/>
  <c r="F60" i="31"/>
  <c r="D60" i="31"/>
  <c r="F59" i="31"/>
  <c r="D59" i="31"/>
  <c r="F58" i="31"/>
  <c r="D58" i="31"/>
  <c r="F57" i="31"/>
  <c r="D57" i="31"/>
  <c r="F56" i="31"/>
  <c r="D56" i="31"/>
  <c r="F55" i="31"/>
  <c r="D55" i="31"/>
  <c r="F54" i="31"/>
  <c r="D54" i="31"/>
  <c r="F53" i="31"/>
  <c r="D53" i="31"/>
  <c r="F52" i="31"/>
  <c r="D52" i="31"/>
  <c r="F51" i="31"/>
  <c r="D51" i="31"/>
  <c r="F50" i="31"/>
  <c r="D50" i="31"/>
  <c r="F49" i="31"/>
  <c r="D49" i="31"/>
  <c r="F48" i="31"/>
  <c r="D48" i="31"/>
  <c r="F47" i="31"/>
  <c r="D47" i="31"/>
  <c r="F46" i="31"/>
  <c r="D46" i="31"/>
  <c r="F45" i="31"/>
  <c r="D45" i="31"/>
  <c r="F44" i="31"/>
  <c r="D44" i="31"/>
  <c r="F43" i="31"/>
  <c r="D43" i="31"/>
  <c r="F42" i="31"/>
  <c r="D42" i="31"/>
  <c r="F41" i="31"/>
  <c r="D41" i="31"/>
  <c r="F40" i="31"/>
  <c r="D40" i="31"/>
  <c r="F39" i="31"/>
  <c r="D39" i="31"/>
  <c r="F38" i="31"/>
  <c r="D38" i="31"/>
  <c r="E38" i="31" s="1"/>
  <c r="F37" i="31"/>
  <c r="D37" i="31"/>
  <c r="F36" i="31"/>
  <c r="D36" i="31"/>
  <c r="F35" i="31"/>
  <c r="D35" i="31"/>
  <c r="F34" i="31"/>
  <c r="D34" i="31"/>
  <c r="F33" i="31"/>
  <c r="D33" i="31"/>
  <c r="F32" i="31"/>
  <c r="D32" i="31"/>
  <c r="F31" i="31"/>
  <c r="D31" i="31"/>
  <c r="F30" i="31"/>
  <c r="D30" i="31"/>
  <c r="F29" i="31"/>
  <c r="D29" i="31"/>
  <c r="F28" i="31"/>
  <c r="D28" i="31"/>
  <c r="F27" i="31"/>
  <c r="D27" i="31"/>
  <c r="F26" i="31"/>
  <c r="D26" i="31"/>
  <c r="F25" i="31"/>
  <c r="D25" i="31"/>
  <c r="F24" i="31"/>
  <c r="D24" i="31"/>
  <c r="E24" i="31" s="1"/>
  <c r="F23" i="31"/>
  <c r="D23" i="31"/>
  <c r="Y7" i="31"/>
  <c r="I8" i="31" s="1"/>
  <c r="Y193" i="30"/>
  <c r="V193" i="30"/>
  <c r="S193" i="30"/>
  <c r="P193" i="30"/>
  <c r="M193" i="30"/>
  <c r="F193" i="30"/>
  <c r="D193" i="30"/>
  <c r="C193" i="30"/>
  <c r="Y192" i="30"/>
  <c r="V192" i="30"/>
  <c r="S192" i="30"/>
  <c r="P192" i="30"/>
  <c r="M192" i="30"/>
  <c r="F192" i="30"/>
  <c r="D192" i="30"/>
  <c r="C192" i="30"/>
  <c r="Y191" i="30"/>
  <c r="V191" i="30"/>
  <c r="S191" i="30"/>
  <c r="P191" i="30"/>
  <c r="M191" i="30"/>
  <c r="F191" i="30"/>
  <c r="D191" i="30"/>
  <c r="C191" i="30"/>
  <c r="Y190" i="30"/>
  <c r="V190" i="30"/>
  <c r="S190" i="30"/>
  <c r="P190" i="30"/>
  <c r="M190" i="30"/>
  <c r="F190" i="30"/>
  <c r="D190" i="30"/>
  <c r="C190" i="30"/>
  <c r="Y189" i="30"/>
  <c r="V189" i="30"/>
  <c r="S189" i="30"/>
  <c r="P189" i="30"/>
  <c r="M189" i="30"/>
  <c r="F189" i="30"/>
  <c r="D189" i="30"/>
  <c r="C189" i="30"/>
  <c r="Y188" i="30"/>
  <c r="V188" i="30"/>
  <c r="S188" i="30"/>
  <c r="P188" i="30"/>
  <c r="M188" i="30"/>
  <c r="F188" i="30"/>
  <c r="D188" i="30"/>
  <c r="C188" i="30"/>
  <c r="Y187" i="30"/>
  <c r="V187" i="30"/>
  <c r="S187" i="30"/>
  <c r="P187" i="30"/>
  <c r="M187" i="30"/>
  <c r="F187" i="30"/>
  <c r="D187" i="30"/>
  <c r="C187" i="30"/>
  <c r="Y186" i="30"/>
  <c r="V186" i="30"/>
  <c r="S186" i="30"/>
  <c r="P186" i="30"/>
  <c r="M186" i="30"/>
  <c r="F186" i="30"/>
  <c r="D186" i="30"/>
  <c r="C186" i="30"/>
  <c r="I197" i="30" s="1"/>
  <c r="Y185" i="30"/>
  <c r="V185" i="30"/>
  <c r="S185" i="30"/>
  <c r="P185" i="30"/>
  <c r="M185" i="30"/>
  <c r="F185" i="30"/>
  <c r="D185" i="30"/>
  <c r="C185" i="30"/>
  <c r="Y184" i="30"/>
  <c r="V184" i="30"/>
  <c r="S184" i="30"/>
  <c r="P184" i="30"/>
  <c r="M184" i="30"/>
  <c r="F184" i="30"/>
  <c r="D184" i="30"/>
  <c r="C184" i="30"/>
  <c r="Y183" i="30"/>
  <c r="V183" i="30"/>
  <c r="S183" i="30"/>
  <c r="P183" i="30"/>
  <c r="M183" i="30"/>
  <c r="F183" i="30"/>
  <c r="D183" i="30"/>
  <c r="C183" i="30"/>
  <c r="Y182" i="30"/>
  <c r="V182" i="30"/>
  <c r="S182" i="30"/>
  <c r="P182" i="30"/>
  <c r="M182" i="30"/>
  <c r="F182" i="30"/>
  <c r="D182" i="30"/>
  <c r="C182" i="30"/>
  <c r="F178" i="30"/>
  <c r="D178" i="30"/>
  <c r="C178" i="30"/>
  <c r="F177" i="30"/>
  <c r="D177" i="30"/>
  <c r="C177" i="30"/>
  <c r="F176" i="30"/>
  <c r="D176" i="30"/>
  <c r="C176" i="30"/>
  <c r="F175" i="30"/>
  <c r="D175" i="30"/>
  <c r="C175" i="30"/>
  <c r="F174" i="30"/>
  <c r="D174" i="30"/>
  <c r="C174" i="30"/>
  <c r="F173" i="30"/>
  <c r="D173" i="30"/>
  <c r="C173" i="30"/>
  <c r="F172" i="30"/>
  <c r="D172" i="30"/>
  <c r="C172" i="30"/>
  <c r="F171" i="30"/>
  <c r="D171" i="30"/>
  <c r="C171" i="30"/>
  <c r="F170" i="30"/>
  <c r="D170" i="30"/>
  <c r="C170" i="30"/>
  <c r="F169" i="30"/>
  <c r="D169" i="30"/>
  <c r="C169" i="30"/>
  <c r="F168" i="30"/>
  <c r="D168" i="30"/>
  <c r="C168" i="30"/>
  <c r="F167" i="30"/>
  <c r="D167" i="30"/>
  <c r="C167" i="30"/>
  <c r="F166" i="30"/>
  <c r="D166" i="30"/>
  <c r="C166" i="30"/>
  <c r="F165" i="30"/>
  <c r="D165" i="30"/>
  <c r="C165" i="30"/>
  <c r="F164" i="30"/>
  <c r="D164" i="30"/>
  <c r="C164" i="30"/>
  <c r="F163" i="30"/>
  <c r="D163" i="30"/>
  <c r="C163" i="30"/>
  <c r="F162" i="30"/>
  <c r="D162" i="30"/>
  <c r="C162" i="30"/>
  <c r="F161" i="30"/>
  <c r="D161" i="30"/>
  <c r="C161" i="30"/>
  <c r="F160" i="30"/>
  <c r="D160" i="30"/>
  <c r="C160" i="30"/>
  <c r="F159" i="30"/>
  <c r="D159" i="30"/>
  <c r="C159" i="30"/>
  <c r="F158" i="30"/>
  <c r="D158" i="30"/>
  <c r="C158" i="30"/>
  <c r="F157" i="30"/>
  <c r="D157" i="30"/>
  <c r="C157" i="30"/>
  <c r="F156" i="30"/>
  <c r="D156" i="30"/>
  <c r="C156" i="30"/>
  <c r="F155" i="30"/>
  <c r="D155" i="30"/>
  <c r="C155" i="30"/>
  <c r="F154" i="30"/>
  <c r="D154" i="30"/>
  <c r="C154" i="30"/>
  <c r="F153" i="30"/>
  <c r="D153" i="30"/>
  <c r="C153" i="30"/>
  <c r="F152" i="30"/>
  <c r="D152" i="30"/>
  <c r="C152" i="30"/>
  <c r="F151" i="30"/>
  <c r="D151" i="30"/>
  <c r="C151" i="30"/>
  <c r="F150" i="30"/>
  <c r="D150" i="30"/>
  <c r="C150" i="30"/>
  <c r="F149" i="30"/>
  <c r="D149" i="30"/>
  <c r="C149" i="30"/>
  <c r="F148" i="30"/>
  <c r="D148" i="30"/>
  <c r="C148" i="30"/>
  <c r="F147" i="30"/>
  <c r="D147" i="30"/>
  <c r="C147" i="30"/>
  <c r="F146" i="30"/>
  <c r="D146" i="30"/>
  <c r="C146" i="30"/>
  <c r="F145" i="30"/>
  <c r="D145" i="30"/>
  <c r="C145" i="30"/>
  <c r="F144" i="30"/>
  <c r="D144" i="30"/>
  <c r="C144" i="30"/>
  <c r="F143" i="30"/>
  <c r="D143" i="30"/>
  <c r="C143" i="30"/>
  <c r="F142" i="30"/>
  <c r="D142" i="30"/>
  <c r="C142" i="30"/>
  <c r="F141" i="30"/>
  <c r="D141" i="30"/>
  <c r="C141" i="30"/>
  <c r="F140" i="30"/>
  <c r="D140" i="30"/>
  <c r="C140" i="30"/>
  <c r="F139" i="30"/>
  <c r="D139" i="30"/>
  <c r="C139" i="30"/>
  <c r="F138" i="30"/>
  <c r="D138" i="30"/>
  <c r="C138" i="30"/>
  <c r="F137" i="30"/>
  <c r="D137" i="30"/>
  <c r="C137" i="30"/>
  <c r="F136" i="30"/>
  <c r="D136" i="30"/>
  <c r="C136" i="30"/>
  <c r="F135" i="30"/>
  <c r="D135" i="30"/>
  <c r="C135" i="30"/>
  <c r="F134" i="30"/>
  <c r="D134" i="30"/>
  <c r="C134" i="30"/>
  <c r="F133" i="30"/>
  <c r="D133" i="30"/>
  <c r="C133" i="30"/>
  <c r="F132" i="30"/>
  <c r="D132" i="30"/>
  <c r="C132" i="30"/>
  <c r="F131" i="30"/>
  <c r="D131" i="30"/>
  <c r="C131" i="30"/>
  <c r="F130" i="30"/>
  <c r="D130" i="30"/>
  <c r="C130" i="30"/>
  <c r="F129" i="30"/>
  <c r="D129" i="30"/>
  <c r="C129" i="30"/>
  <c r="F128" i="30"/>
  <c r="D128" i="30"/>
  <c r="C128" i="30"/>
  <c r="F127" i="30"/>
  <c r="D127" i="30"/>
  <c r="C127" i="30"/>
  <c r="F126" i="30"/>
  <c r="D126" i="30"/>
  <c r="C126" i="30"/>
  <c r="F125" i="30"/>
  <c r="D125" i="30"/>
  <c r="C125" i="30"/>
  <c r="F124" i="30"/>
  <c r="D124" i="30"/>
  <c r="C124" i="30"/>
  <c r="F123" i="30"/>
  <c r="D123" i="30"/>
  <c r="C123" i="30"/>
  <c r="F122" i="30"/>
  <c r="D122" i="30"/>
  <c r="C122" i="30"/>
  <c r="F121" i="30"/>
  <c r="D121" i="30"/>
  <c r="C121" i="30"/>
  <c r="F120" i="30"/>
  <c r="D120" i="30"/>
  <c r="C120" i="30"/>
  <c r="F119" i="30"/>
  <c r="D119" i="30"/>
  <c r="C119" i="30"/>
  <c r="F118" i="30"/>
  <c r="D118" i="30"/>
  <c r="C118" i="30"/>
  <c r="F117" i="30"/>
  <c r="D117" i="30"/>
  <c r="C117" i="30"/>
  <c r="F116" i="30"/>
  <c r="D116" i="30"/>
  <c r="C116" i="30"/>
  <c r="F115" i="30"/>
  <c r="D115" i="30"/>
  <c r="C115" i="30"/>
  <c r="F114" i="30"/>
  <c r="D114" i="30"/>
  <c r="C114" i="30"/>
  <c r="F113" i="30"/>
  <c r="D113" i="30"/>
  <c r="C113" i="30"/>
  <c r="F112" i="30"/>
  <c r="D112" i="30"/>
  <c r="C112" i="30"/>
  <c r="F111" i="30"/>
  <c r="D111" i="30"/>
  <c r="C111" i="30"/>
  <c r="F110" i="30"/>
  <c r="D110" i="30"/>
  <c r="C110" i="30"/>
  <c r="F109" i="30"/>
  <c r="D109" i="30"/>
  <c r="C109" i="30"/>
  <c r="F108" i="30"/>
  <c r="D108" i="30"/>
  <c r="C108" i="30"/>
  <c r="F107" i="30"/>
  <c r="D107" i="30"/>
  <c r="C107" i="30"/>
  <c r="F106" i="30"/>
  <c r="D106" i="30"/>
  <c r="C106" i="30"/>
  <c r="F105" i="30"/>
  <c r="D105" i="30"/>
  <c r="C105" i="30"/>
  <c r="F104" i="30"/>
  <c r="D104" i="30"/>
  <c r="C104" i="30"/>
  <c r="F103" i="30"/>
  <c r="D103" i="30"/>
  <c r="C103" i="30"/>
  <c r="F102" i="30"/>
  <c r="D102" i="30"/>
  <c r="C102" i="30"/>
  <c r="F101" i="30"/>
  <c r="D101" i="30"/>
  <c r="C101" i="30"/>
  <c r="F100" i="30"/>
  <c r="D100" i="30"/>
  <c r="C100" i="30"/>
  <c r="F99" i="30"/>
  <c r="D99" i="30"/>
  <c r="C99" i="30"/>
  <c r="F98" i="30"/>
  <c r="D98" i="30"/>
  <c r="C98" i="30"/>
  <c r="F97" i="30"/>
  <c r="D97" i="30"/>
  <c r="C97" i="30"/>
  <c r="F96" i="30"/>
  <c r="D96" i="30"/>
  <c r="C96" i="30"/>
  <c r="F95" i="30"/>
  <c r="D95" i="30"/>
  <c r="C95" i="30"/>
  <c r="F94" i="30"/>
  <c r="D94" i="30"/>
  <c r="C94" i="30"/>
  <c r="F93" i="30"/>
  <c r="D93" i="30"/>
  <c r="C93" i="30"/>
  <c r="F92" i="30"/>
  <c r="D92" i="30"/>
  <c r="C92" i="30"/>
  <c r="F91" i="30"/>
  <c r="D91" i="30"/>
  <c r="C91" i="30"/>
  <c r="F90" i="30"/>
  <c r="D90" i="30"/>
  <c r="C90" i="30"/>
  <c r="F89" i="30"/>
  <c r="D89" i="30"/>
  <c r="C89" i="30"/>
  <c r="F88" i="30"/>
  <c r="D88" i="30"/>
  <c r="C88" i="30"/>
  <c r="F87" i="30"/>
  <c r="D87" i="30"/>
  <c r="C87" i="30"/>
  <c r="F86" i="30"/>
  <c r="D86" i="30"/>
  <c r="C86" i="30"/>
  <c r="F85" i="30"/>
  <c r="D85" i="30"/>
  <c r="C85" i="30"/>
  <c r="F84" i="30"/>
  <c r="D84" i="30"/>
  <c r="C84" i="30"/>
  <c r="F83" i="30"/>
  <c r="D83" i="30"/>
  <c r="C83" i="30"/>
  <c r="F82" i="30"/>
  <c r="D82" i="30"/>
  <c r="C82" i="30"/>
  <c r="F81" i="30"/>
  <c r="D81" i="30"/>
  <c r="C81" i="30"/>
  <c r="F80" i="30"/>
  <c r="D80" i="30"/>
  <c r="C80" i="30"/>
  <c r="F79" i="30"/>
  <c r="D79" i="30"/>
  <c r="C79" i="30"/>
  <c r="F78" i="30"/>
  <c r="D78" i="30"/>
  <c r="C78" i="30"/>
  <c r="F77" i="30"/>
  <c r="D77" i="30"/>
  <c r="C77" i="30"/>
  <c r="F76" i="30"/>
  <c r="D76" i="30"/>
  <c r="C76" i="30"/>
  <c r="F75" i="30"/>
  <c r="D75" i="30"/>
  <c r="C75" i="30"/>
  <c r="F74" i="30"/>
  <c r="D74" i="30"/>
  <c r="C74" i="30"/>
  <c r="F73" i="30"/>
  <c r="D73" i="30"/>
  <c r="C73" i="30"/>
  <c r="F72" i="30"/>
  <c r="D72" i="30"/>
  <c r="C72" i="30"/>
  <c r="F71" i="30"/>
  <c r="D71" i="30"/>
  <c r="C71" i="30"/>
  <c r="F70" i="30"/>
  <c r="D70" i="30"/>
  <c r="C70" i="30"/>
  <c r="F69" i="30"/>
  <c r="D69" i="30"/>
  <c r="C69" i="30"/>
  <c r="F68" i="30"/>
  <c r="D68" i="30"/>
  <c r="C68" i="30"/>
  <c r="F67" i="30"/>
  <c r="D67" i="30"/>
  <c r="C67" i="30"/>
  <c r="F66" i="30"/>
  <c r="D66" i="30"/>
  <c r="C66" i="30"/>
  <c r="F65" i="30"/>
  <c r="D65" i="30"/>
  <c r="C65" i="30"/>
  <c r="F64" i="30"/>
  <c r="D64" i="30"/>
  <c r="C64" i="30"/>
  <c r="F63" i="30"/>
  <c r="D63" i="30"/>
  <c r="C63" i="30"/>
  <c r="F62" i="30"/>
  <c r="D62" i="30"/>
  <c r="C62" i="30"/>
  <c r="F61" i="30"/>
  <c r="D61" i="30"/>
  <c r="C61" i="30"/>
  <c r="F60" i="30"/>
  <c r="D60" i="30"/>
  <c r="C60" i="30"/>
  <c r="F59" i="30"/>
  <c r="D59" i="30"/>
  <c r="C59" i="30"/>
  <c r="F58" i="30"/>
  <c r="D58" i="30"/>
  <c r="C58" i="30"/>
  <c r="F57" i="30"/>
  <c r="D57" i="30"/>
  <c r="C57" i="30"/>
  <c r="F56" i="30"/>
  <c r="D56" i="30"/>
  <c r="C56" i="30"/>
  <c r="F55" i="30"/>
  <c r="D55" i="30"/>
  <c r="C55" i="30"/>
  <c r="F54" i="30"/>
  <c r="D54" i="30"/>
  <c r="C54" i="30"/>
  <c r="F53" i="30"/>
  <c r="D53" i="30"/>
  <c r="C53" i="30"/>
  <c r="F52" i="30"/>
  <c r="D52" i="30"/>
  <c r="C52" i="30"/>
  <c r="F51" i="30"/>
  <c r="D51" i="30"/>
  <c r="C51" i="30"/>
  <c r="F50" i="30"/>
  <c r="D50" i="30"/>
  <c r="C50" i="30"/>
  <c r="F49" i="30"/>
  <c r="D49" i="30"/>
  <c r="C49" i="30"/>
  <c r="F48" i="30"/>
  <c r="D48" i="30"/>
  <c r="C48" i="30"/>
  <c r="F47" i="30"/>
  <c r="D47" i="30"/>
  <c r="C47" i="30"/>
  <c r="F46" i="30"/>
  <c r="D46" i="30"/>
  <c r="C46" i="30"/>
  <c r="F45" i="30"/>
  <c r="D45" i="30"/>
  <c r="C45" i="30"/>
  <c r="F44" i="30"/>
  <c r="D44" i="30"/>
  <c r="C44" i="30"/>
  <c r="F43" i="30"/>
  <c r="D43" i="30"/>
  <c r="C43" i="30"/>
  <c r="F42" i="30"/>
  <c r="D42" i="30"/>
  <c r="C42" i="30"/>
  <c r="F41" i="30"/>
  <c r="D41" i="30"/>
  <c r="C41" i="30"/>
  <c r="F40" i="30"/>
  <c r="D40" i="30"/>
  <c r="C40" i="30"/>
  <c r="F39" i="30"/>
  <c r="D39" i="30"/>
  <c r="C39" i="30"/>
  <c r="F38" i="30"/>
  <c r="D38" i="30"/>
  <c r="C38" i="30"/>
  <c r="F37" i="30"/>
  <c r="D37" i="30"/>
  <c r="C37" i="30"/>
  <c r="F36" i="30"/>
  <c r="D36" i="30"/>
  <c r="C36" i="30"/>
  <c r="F35" i="30"/>
  <c r="D35" i="30"/>
  <c r="C35" i="30"/>
  <c r="F34" i="30"/>
  <c r="D34" i="30"/>
  <c r="F33" i="30"/>
  <c r="D33" i="30"/>
  <c r="F32" i="30"/>
  <c r="D32" i="30"/>
  <c r="F31" i="30"/>
  <c r="D31" i="30"/>
  <c r="F30" i="30"/>
  <c r="D30" i="30"/>
  <c r="F29" i="30"/>
  <c r="D29" i="30"/>
  <c r="F28" i="30"/>
  <c r="D28" i="30"/>
  <c r="F27" i="30"/>
  <c r="D27" i="30"/>
  <c r="F26" i="30"/>
  <c r="D26" i="30"/>
  <c r="F25" i="30"/>
  <c r="D25" i="30"/>
  <c r="F24" i="30"/>
  <c r="D24" i="30"/>
  <c r="F23" i="30"/>
  <c r="D23" i="30"/>
  <c r="Y7" i="30"/>
  <c r="I8" i="30" s="1"/>
  <c r="G193" i="32"/>
  <c r="H193" i="32" s="1"/>
  <c r="G192" i="32"/>
  <c r="H192" i="32" s="1"/>
  <c r="G191" i="32"/>
  <c r="H191" i="32" s="1"/>
  <c r="G190" i="32"/>
  <c r="H190" i="32" s="1"/>
  <c r="G189" i="32"/>
  <c r="H189" i="32" s="1"/>
  <c r="G188" i="32"/>
  <c r="H188" i="32" s="1"/>
  <c r="G187" i="32"/>
  <c r="H187" i="32" s="1"/>
  <c r="G186" i="32"/>
  <c r="H186" i="32" s="1"/>
  <c r="G183" i="32"/>
  <c r="H183" i="32" s="1"/>
  <c r="G131" i="33"/>
  <c r="H131" i="33" s="1"/>
  <c r="G132" i="33"/>
  <c r="H132" i="33" s="1"/>
  <c r="G133" i="33"/>
  <c r="H133" i="33" s="1"/>
  <c r="E58" i="32"/>
  <c r="G58" i="32" s="1"/>
  <c r="H58" i="32" s="1"/>
  <c r="E57" i="32"/>
  <c r="E56" i="32"/>
  <c r="G56" i="32" s="1"/>
  <c r="H56" i="32" s="1"/>
  <c r="E55" i="32"/>
  <c r="E54" i="32"/>
  <c r="G54" i="32" s="1"/>
  <c r="H54" i="32" s="1"/>
  <c r="E53" i="32"/>
  <c r="G53" i="32" s="1"/>
  <c r="H53" i="32" s="1"/>
  <c r="E52" i="32"/>
  <c r="G52" i="32" s="1"/>
  <c r="H52" i="32" s="1"/>
  <c r="E51" i="32"/>
  <c r="G51" i="32" s="1"/>
  <c r="H51" i="32" s="1"/>
  <c r="E50" i="32"/>
  <c r="G50" i="32" s="1"/>
  <c r="H50" i="32" s="1"/>
  <c r="E49" i="32"/>
  <c r="G49" i="32" s="1"/>
  <c r="H49" i="32" s="1"/>
  <c r="E48" i="32"/>
  <c r="G48" i="32" s="1"/>
  <c r="H48" i="32" s="1"/>
  <c r="E47" i="32"/>
  <c r="G47" i="32" s="1"/>
  <c r="H47" i="32" s="1"/>
  <c r="E46" i="32"/>
  <c r="G46" i="32" s="1"/>
  <c r="H46" i="32" s="1"/>
  <c r="E45" i="32"/>
  <c r="G45" i="32" s="1"/>
  <c r="H45" i="32" s="1"/>
  <c r="E44" i="32"/>
  <c r="G44" i="32" s="1"/>
  <c r="H44" i="32" s="1"/>
  <c r="E43" i="32"/>
  <c r="G43" i="32" s="1"/>
  <c r="H43" i="32" s="1"/>
  <c r="E42" i="32"/>
  <c r="G42" i="32" s="1"/>
  <c r="H42" i="32" s="1"/>
  <c r="E41" i="32"/>
  <c r="G41" i="32" s="1"/>
  <c r="H41" i="32" s="1"/>
  <c r="E40" i="32"/>
  <c r="G40" i="32" s="1"/>
  <c r="H40" i="32" s="1"/>
  <c r="E39" i="32"/>
  <c r="E38" i="32"/>
  <c r="G38" i="32" s="1"/>
  <c r="H38" i="32" s="1"/>
  <c r="E37" i="32"/>
  <c r="G37" i="32" s="1"/>
  <c r="H37" i="32" s="1"/>
  <c r="E36" i="32"/>
  <c r="G36" i="32" s="1"/>
  <c r="H36" i="32" s="1"/>
  <c r="E35" i="32"/>
  <c r="E34" i="32"/>
  <c r="G34" i="32" s="1"/>
  <c r="H34" i="32" s="1"/>
  <c r="E33" i="32"/>
  <c r="E32" i="32"/>
  <c r="G32" i="32" s="1"/>
  <c r="H32" i="32" s="1"/>
  <c r="E31" i="32"/>
  <c r="G31" i="32" s="1"/>
  <c r="H31" i="32" s="1"/>
  <c r="E30" i="32"/>
  <c r="G30" i="32" s="1"/>
  <c r="H30" i="32" s="1"/>
  <c r="E29" i="32"/>
  <c r="G29" i="32" s="1"/>
  <c r="H29" i="32" s="1"/>
  <c r="E28" i="32"/>
  <c r="G28" i="32" s="1"/>
  <c r="H28" i="32" s="1"/>
  <c r="E27" i="32"/>
  <c r="G27" i="32" s="1"/>
  <c r="H27" i="32" s="1"/>
  <c r="E26" i="32"/>
  <c r="G26" i="32" s="1"/>
  <c r="H26" i="32" s="1"/>
  <c r="E25" i="32"/>
  <c r="G25" i="32" s="1"/>
  <c r="H25" i="32" s="1"/>
  <c r="E24" i="32"/>
  <c r="G24" i="32" s="1"/>
  <c r="H24" i="32" s="1"/>
  <c r="E23" i="32"/>
  <c r="G23" i="32" s="1"/>
  <c r="H23" i="32" s="1"/>
  <c r="J20" i="25" l="1"/>
  <c r="J20" i="38" s="1"/>
  <c r="J21" i="36"/>
  <c r="J19" i="24"/>
  <c r="J19" i="37" s="1"/>
  <c r="J20" i="35"/>
  <c r="E37" i="30"/>
  <c r="G37" i="30" s="1"/>
  <c r="H37" i="30" s="1"/>
  <c r="E41" i="30"/>
  <c r="G41" i="30" s="1"/>
  <c r="H41" i="30" s="1"/>
  <c r="E45" i="30"/>
  <c r="G45" i="30" s="1"/>
  <c r="H45" i="30" s="1"/>
  <c r="E47" i="30"/>
  <c r="G47" i="30" s="1"/>
  <c r="H47" i="30" s="1"/>
  <c r="E51" i="30"/>
  <c r="G51" i="30" s="1"/>
  <c r="H51" i="30" s="1"/>
  <c r="E53" i="30"/>
  <c r="G53" i="30" s="1"/>
  <c r="H53" i="30" s="1"/>
  <c r="E69" i="30"/>
  <c r="G69" i="30" s="1"/>
  <c r="H69" i="30" s="1"/>
  <c r="E71" i="30"/>
  <c r="G71" i="30" s="1"/>
  <c r="H71" i="30" s="1"/>
  <c r="E73" i="30"/>
  <c r="E81" i="30"/>
  <c r="G81" i="30" s="1"/>
  <c r="H81" i="30" s="1"/>
  <c r="E83" i="30"/>
  <c r="G83" i="30" s="1"/>
  <c r="H83" i="30" s="1"/>
  <c r="E85" i="30"/>
  <c r="E101" i="30"/>
  <c r="G101" i="30" s="1"/>
  <c r="H101" i="30" s="1"/>
  <c r="E105" i="30"/>
  <c r="G105" i="30" s="1"/>
  <c r="H105" i="30" s="1"/>
  <c r="E109" i="30"/>
  <c r="G109" i="30" s="1"/>
  <c r="H109" i="30" s="1"/>
  <c r="E111" i="30"/>
  <c r="G111" i="30" s="1"/>
  <c r="H111" i="30" s="1"/>
  <c r="E113" i="30"/>
  <c r="G113" i="30" s="1"/>
  <c r="H113" i="30" s="1"/>
  <c r="E115" i="30"/>
  <c r="G115" i="30" s="1"/>
  <c r="H115" i="30" s="1"/>
  <c r="E117" i="30"/>
  <c r="G117" i="30" s="1"/>
  <c r="H117" i="30" s="1"/>
  <c r="E135" i="30"/>
  <c r="G135" i="30" s="1"/>
  <c r="H135" i="30" s="1"/>
  <c r="E141" i="30"/>
  <c r="E145" i="30"/>
  <c r="G145" i="30" s="1"/>
  <c r="H145" i="30" s="1"/>
  <c r="E149" i="30"/>
  <c r="G149" i="30" s="1"/>
  <c r="H149" i="30" s="1"/>
  <c r="E159" i="30"/>
  <c r="G159" i="30" s="1"/>
  <c r="H159" i="30" s="1"/>
  <c r="E167" i="30"/>
  <c r="G167" i="30" s="1"/>
  <c r="H167" i="30" s="1"/>
  <c r="E169" i="30"/>
  <c r="E173" i="30"/>
  <c r="G173" i="30" s="1"/>
  <c r="H173" i="30" s="1"/>
  <c r="E146" i="31"/>
  <c r="G146" i="31" s="1"/>
  <c r="H146" i="31" s="1"/>
  <c r="E148" i="31"/>
  <c r="G148" i="31" s="1"/>
  <c r="H148" i="31" s="1"/>
  <c r="E150" i="31"/>
  <c r="G150" i="31" s="1"/>
  <c r="H150" i="31" s="1"/>
  <c r="E152" i="31"/>
  <c r="G152" i="31" s="1"/>
  <c r="H152" i="31" s="1"/>
  <c r="G129" i="33"/>
  <c r="H129" i="33" s="1"/>
  <c r="G128" i="33"/>
  <c r="H128" i="33" s="1"/>
  <c r="G130" i="33"/>
  <c r="H130" i="33" s="1"/>
  <c r="E12" i="33"/>
  <c r="G12" i="33" s="1"/>
  <c r="H12" i="33" s="1"/>
  <c r="E60" i="32"/>
  <c r="E38" i="33"/>
  <c r="G38" i="33" s="1"/>
  <c r="H38" i="33" s="1"/>
  <c r="E86" i="32"/>
  <c r="E53" i="33"/>
  <c r="G53" i="33" s="1"/>
  <c r="H53" i="33" s="1"/>
  <c r="E101" i="32"/>
  <c r="G101" i="32" s="1"/>
  <c r="H101" i="32" s="1"/>
  <c r="E65" i="33"/>
  <c r="G65" i="33" s="1"/>
  <c r="H65" i="33" s="1"/>
  <c r="E113" i="32"/>
  <c r="E128" i="32"/>
  <c r="G128" i="32" s="1"/>
  <c r="H128" i="32" s="1"/>
  <c r="E80" i="33"/>
  <c r="G80" i="33" s="1"/>
  <c r="H80" i="33" s="1"/>
  <c r="E18" i="32"/>
  <c r="G35" i="32"/>
  <c r="H35" i="32" s="1"/>
  <c r="E13" i="33"/>
  <c r="G13" i="33" s="1"/>
  <c r="H13" i="33" s="1"/>
  <c r="E61" i="32"/>
  <c r="G61" i="32" s="1"/>
  <c r="H61" i="32" s="1"/>
  <c r="E31" i="33"/>
  <c r="G31" i="33" s="1"/>
  <c r="H31" i="33" s="1"/>
  <c r="E79" i="32"/>
  <c r="G185" i="32"/>
  <c r="H185" i="32" s="1"/>
  <c r="E59" i="32"/>
  <c r="G59" i="32" s="1"/>
  <c r="H59" i="32" s="1"/>
  <c r="E29" i="33"/>
  <c r="G29" i="33" s="1"/>
  <c r="H29" i="33" s="1"/>
  <c r="E77" i="32"/>
  <c r="G77" i="32" s="1"/>
  <c r="H77" i="32" s="1"/>
  <c r="E37" i="33"/>
  <c r="G37" i="33" s="1"/>
  <c r="H37" i="33" s="1"/>
  <c r="E85" i="32"/>
  <c r="G85" i="32" s="1"/>
  <c r="H85" i="32" s="1"/>
  <c r="E43" i="33"/>
  <c r="G43" i="33" s="1"/>
  <c r="H43" i="33" s="1"/>
  <c r="E91" i="32"/>
  <c r="G91" i="32" s="1"/>
  <c r="H91" i="32" s="1"/>
  <c r="E49" i="33"/>
  <c r="G49" i="33" s="1"/>
  <c r="H49" i="33" s="1"/>
  <c r="E97" i="32"/>
  <c r="G97" i="32" s="1"/>
  <c r="H97" i="32" s="1"/>
  <c r="E55" i="33"/>
  <c r="G55" i="33" s="1"/>
  <c r="H55" i="33" s="1"/>
  <c r="E103" i="32"/>
  <c r="G103" i="32" s="1"/>
  <c r="H103" i="32" s="1"/>
  <c r="E61" i="33"/>
  <c r="G61" i="33" s="1"/>
  <c r="H61" i="33" s="1"/>
  <c r="E109" i="32"/>
  <c r="G109" i="32" s="1"/>
  <c r="H109" i="32" s="1"/>
  <c r="E115" i="32"/>
  <c r="G115" i="32" s="1"/>
  <c r="H115" i="32" s="1"/>
  <c r="E76" i="33"/>
  <c r="G76" i="33" s="1"/>
  <c r="H76" i="33" s="1"/>
  <c r="E124" i="32"/>
  <c r="G124" i="32" s="1"/>
  <c r="H124" i="32" s="1"/>
  <c r="E21" i="32"/>
  <c r="G21" i="32" s="1"/>
  <c r="H21" i="32" s="1"/>
  <c r="E15" i="32"/>
  <c r="G39" i="32"/>
  <c r="H39" i="32" s="1"/>
  <c r="G57" i="32"/>
  <c r="H57" i="32" s="1"/>
  <c r="E14" i="33"/>
  <c r="G14" i="33" s="1"/>
  <c r="H14" i="33" s="1"/>
  <c r="E62" i="32"/>
  <c r="G62" i="32" s="1"/>
  <c r="H62" i="32" s="1"/>
  <c r="E19" i="33"/>
  <c r="E67" i="32"/>
  <c r="G67" i="32" s="1"/>
  <c r="H67" i="32" s="1"/>
  <c r="E22" i="33"/>
  <c r="G22" i="33" s="1"/>
  <c r="H22" i="33" s="1"/>
  <c r="E70" i="32"/>
  <c r="E75" i="32"/>
  <c r="G75" i="32" s="1"/>
  <c r="H75" i="32" s="1"/>
  <c r="E27" i="33"/>
  <c r="G27" i="33" s="1"/>
  <c r="H27" i="33" s="1"/>
  <c r="E32" i="33"/>
  <c r="G32" i="33" s="1"/>
  <c r="H32" i="33" s="1"/>
  <c r="E80" i="32"/>
  <c r="G80" i="32" s="1"/>
  <c r="H80" i="32" s="1"/>
  <c r="E41" i="33"/>
  <c r="G41" i="33" s="1"/>
  <c r="H41" i="33" s="1"/>
  <c r="E89" i="32"/>
  <c r="G89" i="32" s="1"/>
  <c r="H89" i="32" s="1"/>
  <c r="E56" i="33"/>
  <c r="G56" i="33" s="1"/>
  <c r="H56" i="33" s="1"/>
  <c r="E104" i="32"/>
  <c r="G104" i="32" s="1"/>
  <c r="H104" i="32" s="1"/>
  <c r="E71" i="33"/>
  <c r="G71" i="33" s="1"/>
  <c r="H71" i="33" s="1"/>
  <c r="E119" i="32"/>
  <c r="G119" i="32" s="1"/>
  <c r="H119" i="32" s="1"/>
  <c r="E77" i="33"/>
  <c r="G77" i="33" s="1"/>
  <c r="H77" i="33" s="1"/>
  <c r="E125" i="32"/>
  <c r="E89" i="33"/>
  <c r="G89" i="33" s="1"/>
  <c r="H89" i="33" s="1"/>
  <c r="E137" i="32"/>
  <c r="G137" i="32" s="1"/>
  <c r="H137" i="32" s="1"/>
  <c r="E140" i="32"/>
  <c r="G140" i="32" s="1"/>
  <c r="H140" i="32" s="1"/>
  <c r="E95" i="33"/>
  <c r="E143" i="32"/>
  <c r="G143" i="32" s="1"/>
  <c r="H143" i="32" s="1"/>
  <c r="E98" i="33"/>
  <c r="E146" i="32"/>
  <c r="G146" i="32" s="1"/>
  <c r="H146" i="32" s="1"/>
  <c r="E101" i="33"/>
  <c r="E149" i="32"/>
  <c r="G149" i="32" s="1"/>
  <c r="H149" i="32" s="1"/>
  <c r="E92" i="33"/>
  <c r="G92" i="33" s="1"/>
  <c r="H92" i="33" s="1"/>
  <c r="E152" i="32"/>
  <c r="G152" i="32" s="1"/>
  <c r="H152" i="32" s="1"/>
  <c r="E104" i="33"/>
  <c r="E107" i="33"/>
  <c r="E155" i="32"/>
  <c r="E110" i="33"/>
  <c r="E158" i="32"/>
  <c r="G158" i="32" s="1"/>
  <c r="H158" i="32" s="1"/>
  <c r="E116" i="33"/>
  <c r="E164" i="32"/>
  <c r="G164" i="32" s="1"/>
  <c r="H164" i="32" s="1"/>
  <c r="E113" i="33"/>
  <c r="E161" i="32"/>
  <c r="G161" i="32" s="1"/>
  <c r="H161" i="32" s="1"/>
  <c r="G182" i="32"/>
  <c r="H182" i="32" s="1"/>
  <c r="E19" i="32"/>
  <c r="G19" i="32" s="1"/>
  <c r="H19" i="32" s="1"/>
  <c r="E13" i="32"/>
  <c r="G13" i="32" s="1"/>
  <c r="H13" i="32" s="1"/>
  <c r="G55" i="32"/>
  <c r="H55" i="32" s="1"/>
  <c r="E63" i="32"/>
  <c r="G63" i="32" s="1"/>
  <c r="H63" i="32" s="1"/>
  <c r="E15" i="33"/>
  <c r="G15" i="33" s="1"/>
  <c r="H15" i="33" s="1"/>
  <c r="E20" i="33"/>
  <c r="E68" i="32"/>
  <c r="G68" i="32" s="1"/>
  <c r="H68" i="32" s="1"/>
  <c r="E25" i="33"/>
  <c r="G25" i="33" s="1"/>
  <c r="H25" i="33" s="1"/>
  <c r="E73" i="32"/>
  <c r="G73" i="32" s="1"/>
  <c r="H73" i="32" s="1"/>
  <c r="E28" i="33"/>
  <c r="G28" i="33" s="1"/>
  <c r="H28" i="33" s="1"/>
  <c r="E76" i="32"/>
  <c r="G76" i="32" s="1"/>
  <c r="H76" i="32" s="1"/>
  <c r="E33" i="33"/>
  <c r="G33" i="33" s="1"/>
  <c r="H33" i="33" s="1"/>
  <c r="E81" i="32"/>
  <c r="G81" i="32" s="1"/>
  <c r="H81" i="32" s="1"/>
  <c r="E20" i="32"/>
  <c r="G20" i="32" s="1"/>
  <c r="H20" i="32" s="1"/>
  <c r="E44" i="33"/>
  <c r="G44" i="33" s="1"/>
  <c r="H44" i="33" s="1"/>
  <c r="E92" i="32"/>
  <c r="E59" i="33"/>
  <c r="G59" i="33" s="1"/>
  <c r="H59" i="33" s="1"/>
  <c r="E107" i="32"/>
  <c r="G107" i="32" s="1"/>
  <c r="H107" i="32" s="1"/>
  <c r="E74" i="33"/>
  <c r="G74" i="33" s="1"/>
  <c r="H74" i="33" s="1"/>
  <c r="E122" i="32"/>
  <c r="G122" i="32" s="1"/>
  <c r="H122" i="32" s="1"/>
  <c r="E23" i="33"/>
  <c r="G23" i="33" s="1"/>
  <c r="H23" i="33" s="1"/>
  <c r="E71" i="32"/>
  <c r="G71" i="32" s="1"/>
  <c r="H71" i="32" s="1"/>
  <c r="E84" i="32"/>
  <c r="G84" i="32" s="1"/>
  <c r="H84" i="32" s="1"/>
  <c r="E39" i="33"/>
  <c r="G39" i="33" s="1"/>
  <c r="H39" i="33" s="1"/>
  <c r="E87" i="32"/>
  <c r="G87" i="32" s="1"/>
  <c r="H87" i="32" s="1"/>
  <c r="E42" i="33"/>
  <c r="G42" i="33" s="1"/>
  <c r="H42" i="33" s="1"/>
  <c r="E90" i="32"/>
  <c r="E45" i="33"/>
  <c r="G45" i="33" s="1"/>
  <c r="H45" i="33" s="1"/>
  <c r="E93" i="32"/>
  <c r="G93" i="32" s="1"/>
  <c r="H93" i="32" s="1"/>
  <c r="E36" i="33"/>
  <c r="G36" i="33" s="1"/>
  <c r="H36" i="33" s="1"/>
  <c r="E48" i="33"/>
  <c r="G48" i="33" s="1"/>
  <c r="H48" i="33" s="1"/>
  <c r="E96" i="32"/>
  <c r="G96" i="32" s="1"/>
  <c r="H96" i="32" s="1"/>
  <c r="E51" i="33"/>
  <c r="G51" i="33" s="1"/>
  <c r="H51" i="33" s="1"/>
  <c r="E99" i="32"/>
  <c r="G99" i="32" s="1"/>
  <c r="H99" i="32" s="1"/>
  <c r="E54" i="33"/>
  <c r="G54" i="33" s="1"/>
  <c r="H54" i="33" s="1"/>
  <c r="E102" i="32"/>
  <c r="G102" i="32" s="1"/>
  <c r="H102" i="32" s="1"/>
  <c r="E57" i="33"/>
  <c r="G57" i="33" s="1"/>
  <c r="H57" i="33" s="1"/>
  <c r="E105" i="32"/>
  <c r="G105" i="32" s="1"/>
  <c r="H105" i="32" s="1"/>
  <c r="E108" i="32"/>
  <c r="G108" i="32" s="1"/>
  <c r="H108" i="32" s="1"/>
  <c r="E63" i="33"/>
  <c r="G63" i="33" s="1"/>
  <c r="H63" i="33" s="1"/>
  <c r="E111" i="32"/>
  <c r="G111" i="32" s="1"/>
  <c r="H111" i="32" s="1"/>
  <c r="E66" i="33"/>
  <c r="G66" i="33" s="1"/>
  <c r="H66" i="33" s="1"/>
  <c r="E114" i="32"/>
  <c r="G114" i="32" s="1"/>
  <c r="H114" i="32" s="1"/>
  <c r="E117" i="32"/>
  <c r="G117" i="32" s="1"/>
  <c r="H117" i="32" s="1"/>
  <c r="E69" i="33"/>
  <c r="G69" i="33" s="1"/>
  <c r="H69" i="33" s="1"/>
  <c r="E60" i="33"/>
  <c r="G60" i="33" s="1"/>
  <c r="H60" i="33" s="1"/>
  <c r="E120" i="32"/>
  <c r="G120" i="32" s="1"/>
  <c r="H120" i="32" s="1"/>
  <c r="E123" i="32"/>
  <c r="G123" i="32" s="1"/>
  <c r="H123" i="32" s="1"/>
  <c r="E75" i="33"/>
  <c r="G75" i="33" s="1"/>
  <c r="H75" i="33" s="1"/>
  <c r="E78" i="33"/>
  <c r="G78" i="33" s="1"/>
  <c r="H78" i="33" s="1"/>
  <c r="E126" i="32"/>
  <c r="G126" i="32" s="1"/>
  <c r="H126" i="32" s="1"/>
  <c r="E129" i="32"/>
  <c r="E81" i="33"/>
  <c r="G81" i="33" s="1"/>
  <c r="H81" i="33" s="1"/>
  <c r="E72" i="33"/>
  <c r="G72" i="33" s="1"/>
  <c r="H72" i="33" s="1"/>
  <c r="E84" i="33"/>
  <c r="G84" i="33" s="1"/>
  <c r="H84" i="33" s="1"/>
  <c r="E132" i="32"/>
  <c r="E87" i="33"/>
  <c r="G87" i="33" s="1"/>
  <c r="H87" i="33" s="1"/>
  <c r="E135" i="32"/>
  <c r="G135" i="32" s="1"/>
  <c r="H135" i="32" s="1"/>
  <c r="E90" i="33"/>
  <c r="G90" i="33" s="1"/>
  <c r="H90" i="33" s="1"/>
  <c r="E138" i="32"/>
  <c r="G138" i="32" s="1"/>
  <c r="H138" i="32" s="1"/>
  <c r="E93" i="33"/>
  <c r="G93" i="33" s="1"/>
  <c r="H93" i="33" s="1"/>
  <c r="E141" i="32"/>
  <c r="G141" i="32" s="1"/>
  <c r="H141" i="32" s="1"/>
  <c r="E144" i="32"/>
  <c r="G144" i="32" s="1"/>
  <c r="H144" i="32" s="1"/>
  <c r="E99" i="33"/>
  <c r="E147" i="32"/>
  <c r="G147" i="32" s="1"/>
  <c r="H147" i="32" s="1"/>
  <c r="E102" i="33"/>
  <c r="E150" i="32"/>
  <c r="E105" i="33"/>
  <c r="E153" i="32"/>
  <c r="G153" i="32" s="1"/>
  <c r="H153" i="32" s="1"/>
  <c r="E96" i="33"/>
  <c r="E156" i="32"/>
  <c r="G156" i="32" s="1"/>
  <c r="H156" i="32" s="1"/>
  <c r="E108" i="33"/>
  <c r="G108" i="33" s="1"/>
  <c r="H108" i="33" s="1"/>
  <c r="E111" i="33"/>
  <c r="E159" i="32"/>
  <c r="G159" i="32" s="1"/>
  <c r="H159" i="32" s="1"/>
  <c r="E162" i="32"/>
  <c r="G162" i="32" s="1"/>
  <c r="H162" i="32" s="1"/>
  <c r="E114" i="33"/>
  <c r="E117" i="33"/>
  <c r="E165" i="32"/>
  <c r="G165" i="32" s="1"/>
  <c r="H165" i="32" s="1"/>
  <c r="G184" i="32"/>
  <c r="H184" i="32" s="1"/>
  <c r="E14" i="32"/>
  <c r="G14" i="32" s="1"/>
  <c r="H14" i="32" s="1"/>
  <c r="E17" i="33"/>
  <c r="E65" i="32"/>
  <c r="E35" i="33"/>
  <c r="G35" i="33" s="1"/>
  <c r="H35" i="33" s="1"/>
  <c r="E83" i="32"/>
  <c r="G83" i="32" s="1"/>
  <c r="H83" i="32" s="1"/>
  <c r="E98" i="32"/>
  <c r="G98" i="32" s="1"/>
  <c r="H98" i="32" s="1"/>
  <c r="E50" i="33"/>
  <c r="G50" i="33" s="1"/>
  <c r="H50" i="33" s="1"/>
  <c r="E110" i="32"/>
  <c r="G110" i="32" s="1"/>
  <c r="H110" i="32" s="1"/>
  <c r="E62" i="33"/>
  <c r="G62" i="33" s="1"/>
  <c r="H62" i="33" s="1"/>
  <c r="E83" i="33"/>
  <c r="G83" i="33" s="1"/>
  <c r="H83" i="33" s="1"/>
  <c r="E131" i="32"/>
  <c r="G131" i="32" s="1"/>
  <c r="H131" i="32" s="1"/>
  <c r="E12" i="32"/>
  <c r="G12" i="32" s="1"/>
  <c r="H12" i="32" s="1"/>
  <c r="E17" i="32"/>
  <c r="G17" i="32" s="1"/>
  <c r="H17" i="32" s="1"/>
  <c r="G33" i="32"/>
  <c r="H33" i="32" s="1"/>
  <c r="E21" i="33"/>
  <c r="E69" i="32"/>
  <c r="G69" i="32" s="1"/>
  <c r="H69" i="32" s="1"/>
  <c r="E34" i="33"/>
  <c r="G34" i="33" s="1"/>
  <c r="H34" i="33" s="1"/>
  <c r="E82" i="32"/>
  <c r="G82" i="32" s="1"/>
  <c r="H82" i="32" s="1"/>
  <c r="E30" i="33"/>
  <c r="G30" i="33" s="1"/>
  <c r="H30" i="33" s="1"/>
  <c r="E78" i="32"/>
  <c r="G78" i="32" s="1"/>
  <c r="H78" i="32" s="1"/>
  <c r="E47" i="33"/>
  <c r="G47" i="33" s="1"/>
  <c r="H47" i="33" s="1"/>
  <c r="E95" i="32"/>
  <c r="G95" i="32" s="1"/>
  <c r="H95" i="32" s="1"/>
  <c r="E116" i="32"/>
  <c r="G116" i="32" s="1"/>
  <c r="H116" i="32" s="1"/>
  <c r="E68" i="33"/>
  <c r="G68" i="33" s="1"/>
  <c r="H68" i="33" s="1"/>
  <c r="E134" i="32"/>
  <c r="G134" i="32" s="1"/>
  <c r="H134" i="32" s="1"/>
  <c r="E86" i="33"/>
  <c r="G86" i="33" s="1"/>
  <c r="H86" i="33" s="1"/>
  <c r="E18" i="33"/>
  <c r="G18" i="33" s="1"/>
  <c r="H18" i="33" s="1"/>
  <c r="E66" i="32"/>
  <c r="G66" i="32" s="1"/>
  <c r="H66" i="32" s="1"/>
  <c r="E22" i="32"/>
  <c r="E16" i="33"/>
  <c r="G16" i="33" s="1"/>
  <c r="H16" i="33" s="1"/>
  <c r="E64" i="32"/>
  <c r="G64" i="32" s="1"/>
  <c r="H64" i="32" s="1"/>
  <c r="E74" i="32"/>
  <c r="G74" i="32" s="1"/>
  <c r="H74" i="32" s="1"/>
  <c r="E26" i="33"/>
  <c r="G26" i="33" s="1"/>
  <c r="H26" i="33" s="1"/>
  <c r="E16" i="32"/>
  <c r="E24" i="33"/>
  <c r="G24" i="33" s="1"/>
  <c r="H24" i="33" s="1"/>
  <c r="E72" i="32"/>
  <c r="G72" i="32" s="1"/>
  <c r="H72" i="32" s="1"/>
  <c r="E40" i="33"/>
  <c r="G40" i="33" s="1"/>
  <c r="H40" i="33" s="1"/>
  <c r="E88" i="32"/>
  <c r="G88" i="32" s="1"/>
  <c r="H88" i="32" s="1"/>
  <c r="E46" i="33"/>
  <c r="G46" i="33" s="1"/>
  <c r="H46" i="33" s="1"/>
  <c r="E94" i="32"/>
  <c r="G94" i="32" s="1"/>
  <c r="H94" i="32" s="1"/>
  <c r="E52" i="33"/>
  <c r="G52" i="33" s="1"/>
  <c r="H52" i="33" s="1"/>
  <c r="E100" i="32"/>
  <c r="G100" i="32" s="1"/>
  <c r="H100" i="32" s="1"/>
  <c r="E58" i="33"/>
  <c r="G58" i="33" s="1"/>
  <c r="H58" i="33" s="1"/>
  <c r="E106" i="32"/>
  <c r="G106" i="32" s="1"/>
  <c r="H106" i="32" s="1"/>
  <c r="E64" i="33"/>
  <c r="G64" i="33" s="1"/>
  <c r="H64" i="33" s="1"/>
  <c r="E112" i="32"/>
  <c r="G112" i="32" s="1"/>
  <c r="H112" i="32" s="1"/>
  <c r="E70" i="33"/>
  <c r="G70" i="33" s="1"/>
  <c r="H70" i="33" s="1"/>
  <c r="E118" i="32"/>
  <c r="E73" i="33"/>
  <c r="G73" i="33" s="1"/>
  <c r="H73" i="33" s="1"/>
  <c r="E121" i="32"/>
  <c r="G121" i="32" s="1"/>
  <c r="H121" i="32" s="1"/>
  <c r="E67" i="33"/>
  <c r="G67" i="33" s="1"/>
  <c r="H67" i="33" s="1"/>
  <c r="E79" i="33"/>
  <c r="G79" i="33" s="1"/>
  <c r="H79" i="33" s="1"/>
  <c r="E127" i="32"/>
  <c r="G127" i="32" s="1"/>
  <c r="H127" i="32" s="1"/>
  <c r="E82" i="33"/>
  <c r="G82" i="33" s="1"/>
  <c r="H82" i="33" s="1"/>
  <c r="E130" i="32"/>
  <c r="G130" i="32" s="1"/>
  <c r="H130" i="32" s="1"/>
  <c r="E85" i="33"/>
  <c r="G85" i="33" s="1"/>
  <c r="H85" i="33" s="1"/>
  <c r="E133" i="32"/>
  <c r="G133" i="32" s="1"/>
  <c r="H133" i="32" s="1"/>
  <c r="E88" i="33"/>
  <c r="G88" i="33" s="1"/>
  <c r="H88" i="33" s="1"/>
  <c r="E136" i="32"/>
  <c r="G136" i="32" s="1"/>
  <c r="H136" i="32" s="1"/>
  <c r="E91" i="33"/>
  <c r="G91" i="33" s="1"/>
  <c r="H91" i="33" s="1"/>
  <c r="E139" i="32"/>
  <c r="G139" i="32" s="1"/>
  <c r="H139" i="32" s="1"/>
  <c r="E94" i="33"/>
  <c r="G94" i="33" s="1"/>
  <c r="H94" i="33" s="1"/>
  <c r="E142" i="32"/>
  <c r="E97" i="33"/>
  <c r="E145" i="32"/>
  <c r="E100" i="33"/>
  <c r="E148" i="32"/>
  <c r="G148" i="32" s="1"/>
  <c r="H148" i="32" s="1"/>
  <c r="E103" i="33"/>
  <c r="E151" i="32"/>
  <c r="G151" i="32" s="1"/>
  <c r="H151" i="32" s="1"/>
  <c r="E154" i="32"/>
  <c r="G154" i="32" s="1"/>
  <c r="H154" i="32" s="1"/>
  <c r="E109" i="33"/>
  <c r="E157" i="32"/>
  <c r="G157" i="32" s="1"/>
  <c r="H157" i="32" s="1"/>
  <c r="E112" i="33"/>
  <c r="E160" i="32"/>
  <c r="G160" i="32" s="1"/>
  <c r="H160" i="32" s="1"/>
  <c r="E115" i="33"/>
  <c r="E163" i="32"/>
  <c r="E118" i="33"/>
  <c r="E106" i="33"/>
  <c r="E166" i="32"/>
  <c r="G166" i="32" s="1"/>
  <c r="H166" i="32" s="1"/>
  <c r="E144" i="31"/>
  <c r="G144" i="31" s="1"/>
  <c r="H144" i="31" s="1"/>
  <c r="E142" i="31"/>
  <c r="G142" i="31" s="1"/>
  <c r="H142" i="31" s="1"/>
  <c r="E11" i="33"/>
  <c r="G11" i="33" s="1"/>
  <c r="H11" i="33" s="1"/>
  <c r="E34" i="31"/>
  <c r="G34" i="31" s="1"/>
  <c r="H34" i="31" s="1"/>
  <c r="E32" i="31"/>
  <c r="G32" i="31" s="1"/>
  <c r="H32" i="31" s="1"/>
  <c r="E139" i="31"/>
  <c r="G139" i="31" s="1"/>
  <c r="H139" i="31" s="1"/>
  <c r="E137" i="31"/>
  <c r="G137" i="31" s="1"/>
  <c r="H137" i="31" s="1"/>
  <c r="E84" i="31"/>
  <c r="G84" i="31" s="1"/>
  <c r="H84" i="31" s="1"/>
  <c r="E46" i="31"/>
  <c r="G46" i="31" s="1"/>
  <c r="H46" i="31" s="1"/>
  <c r="E136" i="31"/>
  <c r="E132" i="31"/>
  <c r="G132" i="31" s="1"/>
  <c r="H132" i="31" s="1"/>
  <c r="E138" i="31"/>
  <c r="G138" i="31" s="1"/>
  <c r="H138" i="31" s="1"/>
  <c r="E166" i="31"/>
  <c r="G166" i="31" s="1"/>
  <c r="H166" i="31" s="1"/>
  <c r="E94" i="31"/>
  <c r="G94" i="31" s="1"/>
  <c r="H94" i="31" s="1"/>
  <c r="E115" i="31"/>
  <c r="G115" i="31" s="1"/>
  <c r="H115" i="31" s="1"/>
  <c r="E26" i="31"/>
  <c r="G26" i="31" s="1"/>
  <c r="H26" i="31" s="1"/>
  <c r="E28" i="31"/>
  <c r="G28" i="31" s="1"/>
  <c r="H28" i="31" s="1"/>
  <c r="E30" i="31"/>
  <c r="G30" i="31" s="1"/>
  <c r="H30" i="31" s="1"/>
  <c r="E54" i="31"/>
  <c r="G54" i="31" s="1"/>
  <c r="H54" i="31" s="1"/>
  <c r="E124" i="31"/>
  <c r="G124" i="31" s="1"/>
  <c r="H124" i="31" s="1"/>
  <c r="E154" i="31"/>
  <c r="G154" i="31" s="1"/>
  <c r="H154" i="31" s="1"/>
  <c r="E104" i="31"/>
  <c r="G104" i="31" s="1"/>
  <c r="H104" i="31" s="1"/>
  <c r="E44" i="31"/>
  <c r="G44" i="31" s="1"/>
  <c r="H44" i="31" s="1"/>
  <c r="E140" i="31"/>
  <c r="G140" i="31" s="1"/>
  <c r="H140" i="31" s="1"/>
  <c r="E192" i="30"/>
  <c r="G192" i="30" s="1"/>
  <c r="H192" i="30" s="1"/>
  <c r="E188" i="30"/>
  <c r="G188" i="30" s="1"/>
  <c r="H188" i="30" s="1"/>
  <c r="E23" i="30"/>
  <c r="G23" i="30" s="1"/>
  <c r="E65" i="31"/>
  <c r="G65" i="31" s="1"/>
  <c r="H65" i="31" s="1"/>
  <c r="E67" i="31"/>
  <c r="G67" i="31" s="1"/>
  <c r="H67" i="31" s="1"/>
  <c r="E69" i="31"/>
  <c r="G69" i="31" s="1"/>
  <c r="H69" i="31" s="1"/>
  <c r="E86" i="31"/>
  <c r="G86" i="31" s="1"/>
  <c r="H86" i="31" s="1"/>
  <c r="E88" i="31"/>
  <c r="G88" i="31" s="1"/>
  <c r="H88" i="31" s="1"/>
  <c r="E90" i="31"/>
  <c r="G90" i="31" s="1"/>
  <c r="H90" i="31" s="1"/>
  <c r="E92" i="31"/>
  <c r="G92" i="31" s="1"/>
  <c r="H92" i="31" s="1"/>
  <c r="E96" i="31"/>
  <c r="G96" i="31" s="1"/>
  <c r="H96" i="31" s="1"/>
  <c r="E98" i="31"/>
  <c r="G98" i="31" s="1"/>
  <c r="H98" i="31" s="1"/>
  <c r="E100" i="31"/>
  <c r="G100" i="31" s="1"/>
  <c r="H100" i="31" s="1"/>
  <c r="E102" i="31"/>
  <c r="G102" i="31" s="1"/>
  <c r="H102" i="31" s="1"/>
  <c r="E119" i="31"/>
  <c r="G119" i="31" s="1"/>
  <c r="H119" i="31" s="1"/>
  <c r="E121" i="31"/>
  <c r="G121" i="31" s="1"/>
  <c r="H121" i="31" s="1"/>
  <c r="E123" i="31"/>
  <c r="G123" i="31" s="1"/>
  <c r="H123" i="31" s="1"/>
  <c r="E59" i="31"/>
  <c r="G59" i="31" s="1"/>
  <c r="H59" i="31" s="1"/>
  <c r="E61" i="31"/>
  <c r="G61" i="31" s="1"/>
  <c r="H61" i="31" s="1"/>
  <c r="E63" i="31"/>
  <c r="G63" i="31" s="1"/>
  <c r="H63" i="31" s="1"/>
  <c r="E117" i="31"/>
  <c r="G117" i="31" s="1"/>
  <c r="H117" i="31" s="1"/>
  <c r="E135" i="31"/>
  <c r="G135" i="31" s="1"/>
  <c r="H135" i="31" s="1"/>
  <c r="E141" i="31"/>
  <c r="G141" i="31" s="1"/>
  <c r="H141" i="31" s="1"/>
  <c r="E26" i="30"/>
  <c r="G26" i="30" s="1"/>
  <c r="H26" i="30" s="1"/>
  <c r="E28" i="30"/>
  <c r="G28" i="30" s="1"/>
  <c r="H28" i="30" s="1"/>
  <c r="E32" i="30"/>
  <c r="G32" i="30" s="1"/>
  <c r="H32" i="30" s="1"/>
  <c r="E34" i="30"/>
  <c r="G34" i="30" s="1"/>
  <c r="H34" i="30" s="1"/>
  <c r="E36" i="30"/>
  <c r="G36" i="30" s="1"/>
  <c r="H36" i="30" s="1"/>
  <c r="E56" i="30"/>
  <c r="G56" i="30" s="1"/>
  <c r="H56" i="30" s="1"/>
  <c r="E60" i="30"/>
  <c r="G60" i="30" s="1"/>
  <c r="H60" i="30" s="1"/>
  <c r="E62" i="30"/>
  <c r="G62" i="30" s="1"/>
  <c r="H62" i="30" s="1"/>
  <c r="E64" i="30"/>
  <c r="G64" i="30" s="1"/>
  <c r="H64" i="30" s="1"/>
  <c r="E66" i="30"/>
  <c r="G66" i="30" s="1"/>
  <c r="H66" i="30" s="1"/>
  <c r="E74" i="30"/>
  <c r="G74" i="30" s="1"/>
  <c r="H74" i="30" s="1"/>
  <c r="E76" i="30"/>
  <c r="G76" i="30" s="1"/>
  <c r="H76" i="30" s="1"/>
  <c r="E78" i="30"/>
  <c r="G78" i="30" s="1"/>
  <c r="H78" i="30" s="1"/>
  <c r="E86" i="30"/>
  <c r="G86" i="30" s="1"/>
  <c r="H86" i="30" s="1"/>
  <c r="E88" i="30"/>
  <c r="G88" i="30" s="1"/>
  <c r="E90" i="30"/>
  <c r="G90" i="30" s="1"/>
  <c r="H90" i="30" s="1"/>
  <c r="E92" i="30"/>
  <c r="G92" i="30" s="1"/>
  <c r="H92" i="30" s="1"/>
  <c r="E96" i="30"/>
  <c r="G96" i="30" s="1"/>
  <c r="H96" i="30" s="1"/>
  <c r="E104" i="30"/>
  <c r="G104" i="30" s="1"/>
  <c r="H104" i="30" s="1"/>
  <c r="E106" i="30"/>
  <c r="G106" i="30" s="1"/>
  <c r="H106" i="30" s="1"/>
  <c r="E118" i="30"/>
  <c r="G118" i="30" s="1"/>
  <c r="H118" i="30" s="1"/>
  <c r="E122" i="30"/>
  <c r="G122" i="30" s="1"/>
  <c r="E128" i="30"/>
  <c r="G128" i="30" s="1"/>
  <c r="H128" i="30" s="1"/>
  <c r="E130" i="30"/>
  <c r="G130" i="30" s="1"/>
  <c r="H130" i="30" s="1"/>
  <c r="E138" i="30"/>
  <c r="G138" i="30" s="1"/>
  <c r="H138" i="30" s="1"/>
  <c r="E142" i="30"/>
  <c r="G142" i="30" s="1"/>
  <c r="H142" i="30" s="1"/>
  <c r="E146" i="30"/>
  <c r="G146" i="30" s="1"/>
  <c r="E154" i="30"/>
  <c r="G154" i="30" s="1"/>
  <c r="H154" i="30" s="1"/>
  <c r="E156" i="30"/>
  <c r="G156" i="30" s="1"/>
  <c r="H156" i="30" s="1"/>
  <c r="E158" i="30"/>
  <c r="G158" i="30" s="1"/>
  <c r="H158" i="30" s="1"/>
  <c r="E162" i="30"/>
  <c r="G162" i="30" s="1"/>
  <c r="H162" i="30" s="1"/>
  <c r="E168" i="30"/>
  <c r="G168" i="30" s="1"/>
  <c r="H168" i="30" s="1"/>
  <c r="E170" i="30"/>
  <c r="G170" i="30" s="1"/>
  <c r="H170" i="30" s="1"/>
  <c r="E172" i="30"/>
  <c r="G172" i="30" s="1"/>
  <c r="H172" i="30" s="1"/>
  <c r="E75" i="31"/>
  <c r="G75" i="31" s="1"/>
  <c r="H75" i="31" s="1"/>
  <c r="E77" i="31"/>
  <c r="G77" i="31" s="1"/>
  <c r="H77" i="31" s="1"/>
  <c r="E79" i="31"/>
  <c r="G79" i="31" s="1"/>
  <c r="H79" i="31" s="1"/>
  <c r="E81" i="31"/>
  <c r="G81" i="31" s="1"/>
  <c r="H81" i="31" s="1"/>
  <c r="E175" i="31"/>
  <c r="G175" i="31" s="1"/>
  <c r="H175" i="31" s="1"/>
  <c r="E177" i="31"/>
  <c r="G177" i="31" s="1"/>
  <c r="H177" i="31" s="1"/>
  <c r="E103" i="30"/>
  <c r="G103" i="30" s="1"/>
  <c r="H103" i="30" s="1"/>
  <c r="E155" i="30"/>
  <c r="G155" i="30" s="1"/>
  <c r="H155" i="30" s="1"/>
  <c r="E107" i="31"/>
  <c r="G107" i="31" s="1"/>
  <c r="H107" i="31" s="1"/>
  <c r="E109" i="31"/>
  <c r="G109" i="31" s="1"/>
  <c r="H109" i="31" s="1"/>
  <c r="E111" i="31"/>
  <c r="G111" i="31" s="1"/>
  <c r="H111" i="31" s="1"/>
  <c r="E113" i="31"/>
  <c r="G113" i="31" s="1"/>
  <c r="H113" i="31" s="1"/>
  <c r="E36" i="31"/>
  <c r="G36" i="31" s="1"/>
  <c r="H36" i="31" s="1"/>
  <c r="E114" i="31"/>
  <c r="G114" i="31" s="1"/>
  <c r="H114" i="31" s="1"/>
  <c r="E70" i="31"/>
  <c r="G70" i="31" s="1"/>
  <c r="H70" i="31" s="1"/>
  <c r="E176" i="30"/>
  <c r="G176" i="30" s="1"/>
  <c r="E178" i="30"/>
  <c r="G178" i="30" s="1"/>
  <c r="H178" i="30" s="1"/>
  <c r="E187" i="30"/>
  <c r="G187" i="30" s="1"/>
  <c r="H187" i="30" s="1"/>
  <c r="E42" i="31"/>
  <c r="G42" i="31" s="1"/>
  <c r="H42" i="31" s="1"/>
  <c r="E48" i="31"/>
  <c r="G48" i="31" s="1"/>
  <c r="H48" i="31" s="1"/>
  <c r="E50" i="31"/>
  <c r="G50" i="31" s="1"/>
  <c r="H50" i="31" s="1"/>
  <c r="E52" i="31"/>
  <c r="G52" i="31" s="1"/>
  <c r="H52" i="31" s="1"/>
  <c r="E56" i="31"/>
  <c r="G56" i="31" s="1"/>
  <c r="H56" i="31" s="1"/>
  <c r="E71" i="31"/>
  <c r="G71" i="31" s="1"/>
  <c r="H71" i="31" s="1"/>
  <c r="E73" i="31"/>
  <c r="G73" i="31" s="1"/>
  <c r="H73" i="31" s="1"/>
  <c r="E125" i="31"/>
  <c r="G125" i="31" s="1"/>
  <c r="H125" i="31" s="1"/>
  <c r="E127" i="31"/>
  <c r="G127" i="31" s="1"/>
  <c r="H127" i="31" s="1"/>
  <c r="E129" i="31"/>
  <c r="G129" i="31" s="1"/>
  <c r="H129" i="31" s="1"/>
  <c r="E168" i="31"/>
  <c r="G168" i="31" s="1"/>
  <c r="H168" i="31" s="1"/>
  <c r="E64" i="31"/>
  <c r="G64" i="31" s="1"/>
  <c r="H64" i="31" s="1"/>
  <c r="E33" i="31"/>
  <c r="G33" i="31" s="1"/>
  <c r="H33" i="31" s="1"/>
  <c r="E40" i="31"/>
  <c r="G40" i="31" s="1"/>
  <c r="H40" i="31" s="1"/>
  <c r="E118" i="31"/>
  <c r="G118" i="31" s="1"/>
  <c r="H118" i="31" s="1"/>
  <c r="E193" i="31"/>
  <c r="G193" i="31" s="1"/>
  <c r="H193" i="31" s="1"/>
  <c r="E23" i="31"/>
  <c r="G23" i="31" s="1"/>
  <c r="H23" i="31" s="1"/>
  <c r="E25" i="31"/>
  <c r="G25" i="31" s="1"/>
  <c r="H25" i="31" s="1"/>
  <c r="E27" i="31"/>
  <c r="G27" i="31" s="1"/>
  <c r="H27" i="31" s="1"/>
  <c r="E29" i="31"/>
  <c r="G29" i="31" s="1"/>
  <c r="H29" i="31" s="1"/>
  <c r="E31" i="31"/>
  <c r="G31" i="31" s="1"/>
  <c r="H31" i="31" s="1"/>
  <c r="E43" i="31"/>
  <c r="G43" i="31" s="1"/>
  <c r="H43" i="31" s="1"/>
  <c r="E45" i="31"/>
  <c r="G45" i="31" s="1"/>
  <c r="H45" i="31" s="1"/>
  <c r="E47" i="31"/>
  <c r="G47" i="31" s="1"/>
  <c r="E49" i="31"/>
  <c r="G49" i="31" s="1"/>
  <c r="H49" i="31" s="1"/>
  <c r="E51" i="31"/>
  <c r="G51" i="31" s="1"/>
  <c r="E53" i="31"/>
  <c r="G53" i="31" s="1"/>
  <c r="H53" i="31" s="1"/>
  <c r="E55" i="31"/>
  <c r="G55" i="31" s="1"/>
  <c r="E57" i="31"/>
  <c r="G57" i="31" s="1"/>
  <c r="H57" i="31" s="1"/>
  <c r="E60" i="31"/>
  <c r="G60" i="31" s="1"/>
  <c r="H60" i="31" s="1"/>
  <c r="E62" i="31"/>
  <c r="G62" i="31" s="1"/>
  <c r="H62" i="31" s="1"/>
  <c r="E66" i="31"/>
  <c r="G66" i="31" s="1"/>
  <c r="H66" i="31" s="1"/>
  <c r="E68" i="31"/>
  <c r="G68" i="31" s="1"/>
  <c r="H68" i="31" s="1"/>
  <c r="E72" i="31"/>
  <c r="G72" i="31" s="1"/>
  <c r="H72" i="31" s="1"/>
  <c r="E76" i="31"/>
  <c r="G76" i="31" s="1"/>
  <c r="H76" i="31" s="1"/>
  <c r="E78" i="31"/>
  <c r="G78" i="31" s="1"/>
  <c r="H78" i="31" s="1"/>
  <c r="E80" i="31"/>
  <c r="G80" i="31" s="1"/>
  <c r="H80" i="31" s="1"/>
  <c r="E83" i="31"/>
  <c r="G83" i="31" s="1"/>
  <c r="E85" i="31"/>
  <c r="G85" i="31" s="1"/>
  <c r="H85" i="31" s="1"/>
  <c r="E87" i="31"/>
  <c r="G87" i="31" s="1"/>
  <c r="E89" i="31"/>
  <c r="G89" i="31" s="1"/>
  <c r="H89" i="31" s="1"/>
  <c r="E91" i="31"/>
  <c r="G91" i="31" s="1"/>
  <c r="E93" i="31"/>
  <c r="G93" i="31" s="1"/>
  <c r="H93" i="31" s="1"/>
  <c r="E95" i="31"/>
  <c r="G95" i="31" s="1"/>
  <c r="E97" i="31"/>
  <c r="G97" i="31" s="1"/>
  <c r="H97" i="31" s="1"/>
  <c r="E99" i="31"/>
  <c r="G99" i="31" s="1"/>
  <c r="E101" i="31"/>
  <c r="G101" i="31" s="1"/>
  <c r="H101" i="31" s="1"/>
  <c r="E103" i="31"/>
  <c r="G103" i="31" s="1"/>
  <c r="E105" i="31"/>
  <c r="G105" i="31" s="1"/>
  <c r="H105" i="31" s="1"/>
  <c r="E108" i="31"/>
  <c r="G108" i="31" s="1"/>
  <c r="H108" i="31" s="1"/>
  <c r="E110" i="31"/>
  <c r="G110" i="31" s="1"/>
  <c r="H110" i="31" s="1"/>
  <c r="E112" i="31"/>
  <c r="G112" i="31" s="1"/>
  <c r="H112" i="31" s="1"/>
  <c r="E116" i="31"/>
  <c r="G116" i="31" s="1"/>
  <c r="H116" i="31" s="1"/>
  <c r="E120" i="31"/>
  <c r="G120" i="31" s="1"/>
  <c r="H120" i="31" s="1"/>
  <c r="E122" i="31"/>
  <c r="G122" i="31" s="1"/>
  <c r="H122" i="31" s="1"/>
  <c r="E126" i="31"/>
  <c r="G126" i="31" s="1"/>
  <c r="E128" i="31"/>
  <c r="G128" i="31" s="1"/>
  <c r="H128" i="31" s="1"/>
  <c r="E131" i="31"/>
  <c r="G131" i="31" s="1"/>
  <c r="H131" i="31" s="1"/>
  <c r="E143" i="31"/>
  <c r="G143" i="31" s="1"/>
  <c r="H143" i="31" s="1"/>
  <c r="E145" i="31"/>
  <c r="G145" i="31" s="1"/>
  <c r="H145" i="31" s="1"/>
  <c r="E147" i="31"/>
  <c r="G147" i="31" s="1"/>
  <c r="E156" i="31"/>
  <c r="G156" i="31" s="1"/>
  <c r="H156" i="31" s="1"/>
  <c r="E158" i="31"/>
  <c r="G158" i="31" s="1"/>
  <c r="H158" i="31" s="1"/>
  <c r="E160" i="31"/>
  <c r="G160" i="31" s="1"/>
  <c r="H160" i="31" s="1"/>
  <c r="E162" i="31"/>
  <c r="G162" i="31" s="1"/>
  <c r="H162" i="31" s="1"/>
  <c r="E171" i="31"/>
  <c r="G171" i="31" s="1"/>
  <c r="H171" i="31" s="1"/>
  <c r="E173" i="31"/>
  <c r="G173" i="31" s="1"/>
  <c r="H173" i="31" s="1"/>
  <c r="E182" i="31"/>
  <c r="G182" i="31" s="1"/>
  <c r="E183" i="31"/>
  <c r="G183" i="31" s="1"/>
  <c r="H183" i="31" s="1"/>
  <c r="E184" i="31"/>
  <c r="G184" i="31" s="1"/>
  <c r="E185" i="31"/>
  <c r="G185" i="31" s="1"/>
  <c r="H185" i="31" s="1"/>
  <c r="E187" i="31"/>
  <c r="G187" i="31" s="1"/>
  <c r="H187" i="31" s="1"/>
  <c r="E189" i="31"/>
  <c r="G189" i="31" s="1"/>
  <c r="E191" i="31"/>
  <c r="G191" i="31" s="1"/>
  <c r="H191" i="31" s="1"/>
  <c r="E35" i="31"/>
  <c r="G35" i="31" s="1"/>
  <c r="H35" i="31" s="1"/>
  <c r="E37" i="31"/>
  <c r="G37" i="31" s="1"/>
  <c r="H37" i="31" s="1"/>
  <c r="E39" i="31"/>
  <c r="G39" i="31" s="1"/>
  <c r="H39" i="31" s="1"/>
  <c r="E41" i="31"/>
  <c r="G41" i="31" s="1"/>
  <c r="H41" i="31" s="1"/>
  <c r="E133" i="31"/>
  <c r="G133" i="31" s="1"/>
  <c r="H133" i="31" s="1"/>
  <c r="E164" i="31"/>
  <c r="G164" i="31" s="1"/>
  <c r="H164" i="31" s="1"/>
  <c r="E58" i="31"/>
  <c r="G58" i="31" s="1"/>
  <c r="H58" i="31" s="1"/>
  <c r="E82" i="31"/>
  <c r="G82" i="31" s="1"/>
  <c r="H82" i="31" s="1"/>
  <c r="E106" i="31"/>
  <c r="G106" i="31" s="1"/>
  <c r="H106" i="31" s="1"/>
  <c r="E130" i="31"/>
  <c r="G130" i="31" s="1"/>
  <c r="H130" i="31" s="1"/>
  <c r="G24" i="31"/>
  <c r="H24" i="31" s="1"/>
  <c r="G38" i="31"/>
  <c r="H38" i="31" s="1"/>
  <c r="F196" i="31"/>
  <c r="F179" i="31"/>
  <c r="G74" i="31"/>
  <c r="H74" i="31" s="1"/>
  <c r="E134" i="31"/>
  <c r="E149" i="31"/>
  <c r="E151" i="31"/>
  <c r="E153" i="31"/>
  <c r="E155" i="31"/>
  <c r="E157" i="31"/>
  <c r="E159" i="31"/>
  <c r="E161" i="31"/>
  <c r="E163" i="31"/>
  <c r="E165" i="31"/>
  <c r="E167" i="31"/>
  <c r="E169" i="31"/>
  <c r="E170" i="31"/>
  <c r="E172" i="31"/>
  <c r="E174" i="31"/>
  <c r="E176" i="31"/>
  <c r="E178" i="31"/>
  <c r="E188" i="31"/>
  <c r="E190" i="31"/>
  <c r="E192" i="31"/>
  <c r="E186" i="31"/>
  <c r="E54" i="30"/>
  <c r="G54" i="30" s="1"/>
  <c r="H54" i="30" s="1"/>
  <c r="E102" i="30"/>
  <c r="G102" i="30" s="1"/>
  <c r="H102" i="30" s="1"/>
  <c r="E107" i="30"/>
  <c r="G107" i="30" s="1"/>
  <c r="H107" i="30" s="1"/>
  <c r="E126" i="30"/>
  <c r="G126" i="30" s="1"/>
  <c r="E143" i="30"/>
  <c r="G143" i="30" s="1"/>
  <c r="H143" i="30" s="1"/>
  <c r="E147" i="30"/>
  <c r="G147" i="30" s="1"/>
  <c r="H147" i="30" s="1"/>
  <c r="E160" i="30"/>
  <c r="G160" i="30" s="1"/>
  <c r="H160" i="30" s="1"/>
  <c r="E174" i="30"/>
  <c r="G174" i="30" s="1"/>
  <c r="H174" i="30" s="1"/>
  <c r="E25" i="30"/>
  <c r="G25" i="30" s="1"/>
  <c r="H25" i="30" s="1"/>
  <c r="E27" i="30"/>
  <c r="G27" i="30" s="1"/>
  <c r="H27" i="30" s="1"/>
  <c r="E29" i="30"/>
  <c r="G29" i="30" s="1"/>
  <c r="H29" i="30" s="1"/>
  <c r="E31" i="30"/>
  <c r="G31" i="30" s="1"/>
  <c r="H31" i="30" s="1"/>
  <c r="E33" i="30"/>
  <c r="G33" i="30" s="1"/>
  <c r="H33" i="30" s="1"/>
  <c r="E35" i="30"/>
  <c r="G35" i="30" s="1"/>
  <c r="H35" i="30" s="1"/>
  <c r="E38" i="30"/>
  <c r="G38" i="30" s="1"/>
  <c r="H38" i="30" s="1"/>
  <c r="E42" i="30"/>
  <c r="G42" i="30" s="1"/>
  <c r="H42" i="30" s="1"/>
  <c r="E43" i="30"/>
  <c r="G43" i="30" s="1"/>
  <c r="H43" i="30" s="1"/>
  <c r="E44" i="30"/>
  <c r="G44" i="30" s="1"/>
  <c r="H44" i="30" s="1"/>
  <c r="E46" i="30"/>
  <c r="G46" i="30" s="1"/>
  <c r="H46" i="30" s="1"/>
  <c r="E48" i="30"/>
  <c r="G48" i="30" s="1"/>
  <c r="H48" i="30" s="1"/>
  <c r="E50" i="30"/>
  <c r="G50" i="30" s="1"/>
  <c r="H50" i="30" s="1"/>
  <c r="E52" i="30"/>
  <c r="G52" i="30" s="1"/>
  <c r="H52" i="30" s="1"/>
  <c r="E55" i="30"/>
  <c r="G55" i="30" s="1"/>
  <c r="H55" i="30" s="1"/>
  <c r="E59" i="30"/>
  <c r="G59" i="30" s="1"/>
  <c r="H59" i="30" s="1"/>
  <c r="E63" i="30"/>
  <c r="G63" i="30" s="1"/>
  <c r="H63" i="30" s="1"/>
  <c r="E65" i="30"/>
  <c r="G65" i="30" s="1"/>
  <c r="H65" i="30" s="1"/>
  <c r="E68" i="30"/>
  <c r="G68" i="30" s="1"/>
  <c r="H68" i="30" s="1"/>
  <c r="E70" i="30"/>
  <c r="G70" i="30" s="1"/>
  <c r="H70" i="30" s="1"/>
  <c r="E72" i="30"/>
  <c r="G72" i="30" s="1"/>
  <c r="H72" i="30" s="1"/>
  <c r="E75" i="30"/>
  <c r="G75" i="30" s="1"/>
  <c r="H75" i="30" s="1"/>
  <c r="E77" i="30"/>
  <c r="G77" i="30" s="1"/>
  <c r="H77" i="30" s="1"/>
  <c r="E80" i="30"/>
  <c r="G80" i="30" s="1"/>
  <c r="H80" i="30" s="1"/>
  <c r="E84" i="30"/>
  <c r="G84" i="30" s="1"/>
  <c r="H84" i="30" s="1"/>
  <c r="E87" i="30"/>
  <c r="G87" i="30" s="1"/>
  <c r="E91" i="30"/>
  <c r="G91" i="30" s="1"/>
  <c r="H91" i="30" s="1"/>
  <c r="E95" i="30"/>
  <c r="G95" i="30" s="1"/>
  <c r="H95" i="30" s="1"/>
  <c r="E98" i="30"/>
  <c r="G98" i="30" s="1"/>
  <c r="H98" i="30" s="1"/>
  <c r="E108" i="30"/>
  <c r="G108" i="30" s="1"/>
  <c r="H108" i="30" s="1"/>
  <c r="E110" i="30"/>
  <c r="G110" i="30" s="1"/>
  <c r="H110" i="30" s="1"/>
  <c r="E112" i="30"/>
  <c r="G112" i="30" s="1"/>
  <c r="H112" i="30" s="1"/>
  <c r="E114" i="30"/>
  <c r="G114" i="30" s="1"/>
  <c r="H114" i="30" s="1"/>
  <c r="E121" i="30"/>
  <c r="G121" i="30" s="1"/>
  <c r="H121" i="30" s="1"/>
  <c r="E123" i="30"/>
  <c r="G123" i="30" s="1"/>
  <c r="E124" i="30"/>
  <c r="G124" i="30" s="1"/>
  <c r="H124" i="30" s="1"/>
  <c r="E125" i="30"/>
  <c r="G125" i="30" s="1"/>
  <c r="H125" i="30" s="1"/>
  <c r="E127" i="30"/>
  <c r="G127" i="30" s="1"/>
  <c r="H127" i="30" s="1"/>
  <c r="E129" i="30"/>
  <c r="G129" i="30" s="1"/>
  <c r="H129" i="30" s="1"/>
  <c r="E131" i="30"/>
  <c r="G131" i="30" s="1"/>
  <c r="H131" i="30" s="1"/>
  <c r="E133" i="30"/>
  <c r="E134" i="30"/>
  <c r="G134" i="30" s="1"/>
  <c r="H134" i="30" s="1"/>
  <c r="E136" i="30"/>
  <c r="G136" i="30" s="1"/>
  <c r="E137" i="30"/>
  <c r="G137" i="30" s="1"/>
  <c r="H137" i="30" s="1"/>
  <c r="E139" i="30"/>
  <c r="G139" i="30" s="1"/>
  <c r="E140" i="30"/>
  <c r="G140" i="30" s="1"/>
  <c r="H140" i="30" s="1"/>
  <c r="E144" i="30"/>
  <c r="G144" i="30" s="1"/>
  <c r="H144" i="30" s="1"/>
  <c r="E150" i="30"/>
  <c r="G150" i="30" s="1"/>
  <c r="H150" i="30" s="1"/>
  <c r="E152" i="30"/>
  <c r="E157" i="30"/>
  <c r="G157" i="30" s="1"/>
  <c r="H157" i="30" s="1"/>
  <c r="E164" i="30"/>
  <c r="G164" i="30" s="1"/>
  <c r="H164" i="30" s="1"/>
  <c r="E166" i="30"/>
  <c r="G166" i="30" s="1"/>
  <c r="H166" i="30" s="1"/>
  <c r="E175" i="30"/>
  <c r="G175" i="30" s="1"/>
  <c r="H175" i="30" s="1"/>
  <c r="E177" i="30"/>
  <c r="G177" i="30" s="1"/>
  <c r="H177" i="30" s="1"/>
  <c r="E182" i="30"/>
  <c r="G182" i="30" s="1"/>
  <c r="H182" i="30" s="1"/>
  <c r="E183" i="30"/>
  <c r="G183" i="30" s="1"/>
  <c r="H183" i="30" s="1"/>
  <c r="E185" i="30"/>
  <c r="G185" i="30" s="1"/>
  <c r="H185" i="30" s="1"/>
  <c r="E186" i="30"/>
  <c r="G186" i="30" s="1"/>
  <c r="H186" i="30" s="1"/>
  <c r="E190" i="30"/>
  <c r="G190" i="30" s="1"/>
  <c r="H190" i="30" s="1"/>
  <c r="G85" i="30"/>
  <c r="H85" i="30" s="1"/>
  <c r="E24" i="30"/>
  <c r="G24" i="30" s="1"/>
  <c r="H24" i="30" s="1"/>
  <c r="E79" i="30"/>
  <c r="G79" i="30" s="1"/>
  <c r="H79" i="30" s="1"/>
  <c r="E184" i="30"/>
  <c r="G184" i="30" s="1"/>
  <c r="H184" i="30" s="1"/>
  <c r="E30" i="30"/>
  <c r="G30" i="30" s="1"/>
  <c r="E49" i="30"/>
  <c r="G49" i="30" s="1"/>
  <c r="H49" i="30" s="1"/>
  <c r="E119" i="30"/>
  <c r="G119" i="30" s="1"/>
  <c r="E163" i="30"/>
  <c r="E61" i="30"/>
  <c r="G61" i="30" s="1"/>
  <c r="H61" i="30" s="1"/>
  <c r="E39" i="30"/>
  <c r="E67" i="30"/>
  <c r="G67" i="30" s="1"/>
  <c r="H67" i="30" s="1"/>
  <c r="E148" i="30"/>
  <c r="G148" i="30" s="1"/>
  <c r="H148" i="30" s="1"/>
  <c r="E193" i="30"/>
  <c r="G193" i="30" s="1"/>
  <c r="H193" i="30" s="1"/>
  <c r="E57" i="30"/>
  <c r="G57" i="30" s="1"/>
  <c r="H57" i="30" s="1"/>
  <c r="E97" i="30"/>
  <c r="G97" i="30" s="1"/>
  <c r="H97" i="30" s="1"/>
  <c r="E165" i="30"/>
  <c r="G165" i="30" s="1"/>
  <c r="H165" i="30" s="1"/>
  <c r="E191" i="30"/>
  <c r="G191" i="30" s="1"/>
  <c r="H191" i="30" s="1"/>
  <c r="E40" i="30"/>
  <c r="E58" i="30"/>
  <c r="E100" i="30"/>
  <c r="F196" i="30"/>
  <c r="F179" i="30"/>
  <c r="G73" i="30"/>
  <c r="H73" i="30" s="1"/>
  <c r="E82" i="30"/>
  <c r="E99" i="30"/>
  <c r="E93" i="30"/>
  <c r="E120" i="30"/>
  <c r="G141" i="30"/>
  <c r="H141" i="30" s="1"/>
  <c r="E89" i="30"/>
  <c r="E94" i="30"/>
  <c r="E116" i="30"/>
  <c r="E132" i="30"/>
  <c r="E151" i="30"/>
  <c r="E153" i="30"/>
  <c r="E189" i="30"/>
  <c r="E161" i="30"/>
  <c r="G169" i="30"/>
  <c r="H169" i="30" s="1"/>
  <c r="E171" i="30"/>
  <c r="E42" i="29"/>
  <c r="E52" i="29"/>
  <c r="E62" i="29"/>
  <c r="G62" i="29" s="1"/>
  <c r="H62" i="29" s="1"/>
  <c r="E72" i="29"/>
  <c r="G72" i="29" s="1"/>
  <c r="H72" i="29" s="1"/>
  <c r="E76" i="29"/>
  <c r="E78" i="29"/>
  <c r="G78" i="29" s="1"/>
  <c r="E82" i="29"/>
  <c r="G82" i="29" s="1"/>
  <c r="E86" i="29"/>
  <c r="G86" i="29" s="1"/>
  <c r="H86" i="29" s="1"/>
  <c r="E90" i="29"/>
  <c r="G90" i="29" s="1"/>
  <c r="E94" i="29"/>
  <c r="G94" i="29" s="1"/>
  <c r="H94" i="29" s="1"/>
  <c r="E36" i="29"/>
  <c r="G36" i="29" s="1"/>
  <c r="H36" i="29" s="1"/>
  <c r="E40" i="29"/>
  <c r="E50" i="29"/>
  <c r="G50" i="29" s="1"/>
  <c r="E60" i="29"/>
  <c r="G60" i="29" s="1"/>
  <c r="E66" i="29"/>
  <c r="G66" i="29" s="1"/>
  <c r="H66" i="29" s="1"/>
  <c r="E74" i="29"/>
  <c r="G74" i="29" s="1"/>
  <c r="E80" i="29"/>
  <c r="G80" i="29" s="1"/>
  <c r="H80" i="29" s="1"/>
  <c r="E84" i="29"/>
  <c r="G84" i="29" s="1"/>
  <c r="E88" i="29"/>
  <c r="E92" i="29"/>
  <c r="G92" i="29" s="1"/>
  <c r="H92" i="29" s="1"/>
  <c r="E44" i="29"/>
  <c r="G44" i="29" s="1"/>
  <c r="E54" i="29"/>
  <c r="E64" i="29"/>
  <c r="G64" i="29" s="1"/>
  <c r="H64" i="29" s="1"/>
  <c r="E41" i="29"/>
  <c r="E49" i="29"/>
  <c r="G49" i="29" s="1"/>
  <c r="H49" i="29" s="1"/>
  <c r="E55" i="29"/>
  <c r="E59" i="29"/>
  <c r="E65" i="29"/>
  <c r="G65" i="29" s="1"/>
  <c r="H65" i="29" s="1"/>
  <c r="E71" i="29"/>
  <c r="G71" i="29" s="1"/>
  <c r="H71" i="29" s="1"/>
  <c r="E75" i="29"/>
  <c r="G75" i="29" s="1"/>
  <c r="H75" i="29" s="1"/>
  <c r="E79" i="29"/>
  <c r="G79" i="29" s="1"/>
  <c r="H79" i="29" s="1"/>
  <c r="E85" i="29"/>
  <c r="G85" i="29" s="1"/>
  <c r="H85" i="29" s="1"/>
  <c r="E89" i="29"/>
  <c r="G89" i="29" s="1"/>
  <c r="H89" i="29" s="1"/>
  <c r="E93" i="29"/>
  <c r="E46" i="29"/>
  <c r="E56" i="29"/>
  <c r="G56" i="29" s="1"/>
  <c r="E70" i="29"/>
  <c r="G70" i="29" s="1"/>
  <c r="H70" i="29" s="1"/>
  <c r="E35" i="29"/>
  <c r="E39" i="29"/>
  <c r="G39" i="29" s="1"/>
  <c r="H39" i="29" s="1"/>
  <c r="E45" i="29"/>
  <c r="G45" i="29" s="1"/>
  <c r="H45" i="29" s="1"/>
  <c r="E53" i="29"/>
  <c r="E63" i="29"/>
  <c r="G63" i="29" s="1"/>
  <c r="H63" i="29" s="1"/>
  <c r="E81" i="29"/>
  <c r="E38" i="29"/>
  <c r="G38" i="29" s="1"/>
  <c r="E48" i="29"/>
  <c r="E58" i="29"/>
  <c r="G58" i="29" s="1"/>
  <c r="H58" i="29" s="1"/>
  <c r="E68" i="29"/>
  <c r="E37" i="29"/>
  <c r="G37" i="29" s="1"/>
  <c r="H37" i="29" s="1"/>
  <c r="E43" i="29"/>
  <c r="G43" i="29" s="1"/>
  <c r="H43" i="29" s="1"/>
  <c r="E47" i="29"/>
  <c r="E51" i="29"/>
  <c r="G51" i="29" s="1"/>
  <c r="H51" i="29" s="1"/>
  <c r="E57" i="29"/>
  <c r="G57" i="29" s="1"/>
  <c r="H57" i="29" s="1"/>
  <c r="E61" i="29"/>
  <c r="G61" i="29" s="1"/>
  <c r="H61" i="29" s="1"/>
  <c r="E67" i="29"/>
  <c r="E69" i="29"/>
  <c r="E73" i="29"/>
  <c r="E77" i="29"/>
  <c r="G77" i="29" s="1"/>
  <c r="H77" i="29" s="1"/>
  <c r="E83" i="29"/>
  <c r="G83" i="29" s="1"/>
  <c r="H83" i="29" s="1"/>
  <c r="E87" i="29"/>
  <c r="E91" i="29"/>
  <c r="G91" i="29" s="1"/>
  <c r="H91" i="29" s="1"/>
  <c r="J19" i="25" l="1"/>
  <c r="J19" i="38" s="1"/>
  <c r="J20" i="36"/>
  <c r="J18" i="24"/>
  <c r="J18" i="37" s="1"/>
  <c r="J19" i="35"/>
  <c r="I196" i="32"/>
  <c r="G118" i="33"/>
  <c r="H118" i="33" s="1"/>
  <c r="G109" i="33"/>
  <c r="H109" i="33" s="1"/>
  <c r="G142" i="32"/>
  <c r="H142" i="32" s="1"/>
  <c r="G150" i="32"/>
  <c r="H150" i="32" s="1"/>
  <c r="G129" i="32"/>
  <c r="H129" i="32" s="1"/>
  <c r="G155" i="32"/>
  <c r="H155" i="32" s="1"/>
  <c r="G16" i="32"/>
  <c r="H16" i="32" s="1"/>
  <c r="G132" i="32"/>
  <c r="H132" i="32" s="1"/>
  <c r="G92" i="32"/>
  <c r="H92" i="32" s="1"/>
  <c r="G79" i="32"/>
  <c r="H79" i="32" s="1"/>
  <c r="G145" i="32"/>
  <c r="H145" i="32" s="1"/>
  <c r="G70" i="32"/>
  <c r="H70" i="32" s="1"/>
  <c r="G163" i="32"/>
  <c r="H163" i="32" s="1"/>
  <c r="G22" i="32"/>
  <c r="H22" i="32" s="1"/>
  <c r="G65" i="32"/>
  <c r="H65" i="32" s="1"/>
  <c r="G90" i="32"/>
  <c r="H90" i="32" s="1"/>
  <c r="G15" i="32"/>
  <c r="H15" i="32" s="1"/>
  <c r="G18" i="32"/>
  <c r="H18" i="32" s="1"/>
  <c r="G113" i="32"/>
  <c r="H113" i="32" s="1"/>
  <c r="G60" i="32"/>
  <c r="H60" i="32" s="1"/>
  <c r="G125" i="32"/>
  <c r="H125" i="32" s="1"/>
  <c r="G118" i="32"/>
  <c r="H118" i="32" s="1"/>
  <c r="G117" i="33"/>
  <c r="H117" i="33" s="1"/>
  <c r="G116" i="33"/>
  <c r="H116" i="33" s="1"/>
  <c r="G86" i="32"/>
  <c r="H86" i="32" s="1"/>
  <c r="G20" i="33"/>
  <c r="H20" i="33" s="1"/>
  <c r="G19" i="33"/>
  <c r="H19" i="33" s="1"/>
  <c r="G17" i="33"/>
  <c r="H17" i="33" s="1"/>
  <c r="G21" i="33"/>
  <c r="H21" i="33" s="1"/>
  <c r="G136" i="31"/>
  <c r="H136" i="31" s="1"/>
  <c r="H147" i="31"/>
  <c r="H23" i="30"/>
  <c r="H126" i="30"/>
  <c r="H88" i="30"/>
  <c r="H176" i="30"/>
  <c r="H189" i="31"/>
  <c r="H146" i="30"/>
  <c r="H122" i="30"/>
  <c r="H30" i="30"/>
  <c r="H119" i="30"/>
  <c r="H136" i="30"/>
  <c r="H103" i="31"/>
  <c r="H91" i="31"/>
  <c r="H87" i="30"/>
  <c r="H126" i="31"/>
  <c r="H182" i="31"/>
  <c r="H95" i="31"/>
  <c r="H83" i="31"/>
  <c r="H184" i="31"/>
  <c r="H99" i="31"/>
  <c r="H87" i="31"/>
  <c r="H55" i="31"/>
  <c r="H51" i="31"/>
  <c r="H47" i="31"/>
  <c r="G186" i="31"/>
  <c r="H186" i="31" s="1"/>
  <c r="G190" i="31"/>
  <c r="H190" i="31" s="1"/>
  <c r="G178" i="31"/>
  <c r="H178" i="31" s="1"/>
  <c r="G174" i="31"/>
  <c r="H174" i="31" s="1"/>
  <c r="G170" i="31"/>
  <c r="H170" i="31" s="1"/>
  <c r="G167" i="31"/>
  <c r="H167" i="31" s="1"/>
  <c r="G163" i="31"/>
  <c r="H163" i="31" s="1"/>
  <c r="G159" i="31"/>
  <c r="H159" i="31" s="1"/>
  <c r="G155" i="31"/>
  <c r="H155" i="31" s="1"/>
  <c r="G151" i="31"/>
  <c r="H151" i="31" s="1"/>
  <c r="G134" i="31"/>
  <c r="H134" i="31" s="1"/>
  <c r="G192" i="31"/>
  <c r="H192" i="31" s="1"/>
  <c r="G188" i="31"/>
  <c r="H188" i="31" s="1"/>
  <c r="G176" i="31"/>
  <c r="H176" i="31" s="1"/>
  <c r="G172" i="31"/>
  <c r="H172" i="31" s="1"/>
  <c r="G169" i="31"/>
  <c r="H169" i="31" s="1"/>
  <c r="G165" i="31"/>
  <c r="H165" i="31" s="1"/>
  <c r="G161" i="31"/>
  <c r="H161" i="31" s="1"/>
  <c r="G157" i="31"/>
  <c r="H157" i="31" s="1"/>
  <c r="G153" i="31"/>
  <c r="H153" i="31" s="1"/>
  <c r="G149" i="31"/>
  <c r="H149" i="31" s="1"/>
  <c r="G152" i="30"/>
  <c r="H152" i="30" s="1"/>
  <c r="G133" i="30"/>
  <c r="H133" i="30" s="1"/>
  <c r="H139" i="30"/>
  <c r="H123" i="30"/>
  <c r="G39" i="30"/>
  <c r="H39" i="30" s="1"/>
  <c r="G163" i="30"/>
  <c r="H163" i="30" s="1"/>
  <c r="G171" i="30"/>
  <c r="H171" i="30" s="1"/>
  <c r="G153" i="30"/>
  <c r="H153" i="30" s="1"/>
  <c r="G132" i="30"/>
  <c r="H132" i="30" s="1"/>
  <c r="G116" i="30"/>
  <c r="H116" i="30" s="1"/>
  <c r="G93" i="30"/>
  <c r="H93" i="30" s="1"/>
  <c r="G82" i="30"/>
  <c r="H82" i="30" s="1"/>
  <c r="G100" i="30"/>
  <c r="H100" i="30" s="1"/>
  <c r="G120" i="30"/>
  <c r="H120" i="30" s="1"/>
  <c r="G94" i="30"/>
  <c r="H94" i="30" s="1"/>
  <c r="G151" i="30"/>
  <c r="H151" i="30" s="1"/>
  <c r="G161" i="30"/>
  <c r="H161" i="30" s="1"/>
  <c r="G58" i="30"/>
  <c r="H58" i="30" s="1"/>
  <c r="G189" i="30"/>
  <c r="H189" i="30" s="1"/>
  <c r="I196" i="30" s="1"/>
  <c r="G89" i="30"/>
  <c r="H89" i="30" s="1"/>
  <c r="G99" i="30"/>
  <c r="H99" i="30" s="1"/>
  <c r="G40" i="30"/>
  <c r="H40" i="30" s="1"/>
  <c r="G35" i="29"/>
  <c r="H35" i="29" s="1"/>
  <c r="G55" i="29"/>
  <c r="H55" i="29" s="1"/>
  <c r="H56" i="29"/>
  <c r="H60" i="29"/>
  <c r="G54" i="29"/>
  <c r="H54" i="29" s="1"/>
  <c r="H50" i="29"/>
  <c r="H44" i="29"/>
  <c r="H74" i="29"/>
  <c r="H38" i="29"/>
  <c r="H90" i="29"/>
  <c r="G69" i="29"/>
  <c r="H69" i="29" s="1"/>
  <c r="H78" i="29"/>
  <c r="G76" i="29"/>
  <c r="H76" i="29" s="1"/>
  <c r="G68" i="29"/>
  <c r="H68" i="29" s="1"/>
  <c r="G88" i="29"/>
  <c r="H88" i="29" s="1"/>
  <c r="G42" i="29"/>
  <c r="H42" i="29" s="1"/>
  <c r="G48" i="29"/>
  <c r="H48" i="29" s="1"/>
  <c r="H82" i="29"/>
  <c r="H84" i="29"/>
  <c r="G81" i="29"/>
  <c r="H81" i="29" s="1"/>
  <c r="G67" i="29"/>
  <c r="H67" i="29" s="1"/>
  <c r="G47" i="29"/>
  <c r="H47" i="29" s="1"/>
  <c r="G73" i="29"/>
  <c r="H73" i="29" s="1"/>
  <c r="G87" i="29"/>
  <c r="H87" i="29" s="1"/>
  <c r="G46" i="29"/>
  <c r="H46" i="29" s="1"/>
  <c r="G40" i="29"/>
  <c r="H40" i="29" s="1"/>
  <c r="G53" i="29"/>
  <c r="H53" i="29" s="1"/>
  <c r="G52" i="29"/>
  <c r="H52" i="29" s="1"/>
  <c r="G41" i="29"/>
  <c r="H41" i="29" s="1"/>
  <c r="G59" i="29"/>
  <c r="H59" i="29" s="1"/>
  <c r="G93" i="29"/>
  <c r="H93" i="29" s="1"/>
  <c r="J18" i="25" l="1"/>
  <c r="J18" i="38" s="1"/>
  <c r="J19" i="36"/>
  <c r="J17" i="24"/>
  <c r="J17" i="37" s="1"/>
  <c r="J18" i="35"/>
  <c r="I179" i="32"/>
  <c r="I182" i="32"/>
  <c r="K182" i="32" s="1"/>
  <c r="M34" i="37" s="1"/>
  <c r="N34" i="37" s="1"/>
  <c r="K172" i="32"/>
  <c r="M27" i="37" s="1"/>
  <c r="K76" i="32"/>
  <c r="K22" i="32"/>
  <c r="K177" i="32"/>
  <c r="M32" i="37" s="1"/>
  <c r="K171" i="32"/>
  <c r="M26" i="37" s="1"/>
  <c r="K165" i="32"/>
  <c r="M20" i="37" s="1"/>
  <c r="K159" i="32"/>
  <c r="M14" i="37" s="1"/>
  <c r="K153" i="32"/>
  <c r="M8" i="37" s="1"/>
  <c r="K147" i="32"/>
  <c r="F44" i="37" s="1"/>
  <c r="K141" i="32"/>
  <c r="F38" i="37" s="1"/>
  <c r="K135" i="32"/>
  <c r="F32" i="37" s="1"/>
  <c r="K129" i="32"/>
  <c r="F26" i="37" s="1"/>
  <c r="K123" i="32"/>
  <c r="F20" i="37" s="1"/>
  <c r="K117" i="32"/>
  <c r="F14" i="37" s="1"/>
  <c r="K111" i="32"/>
  <c r="F8" i="37" s="1"/>
  <c r="K105" i="32"/>
  <c r="K99" i="32"/>
  <c r="K93" i="32"/>
  <c r="K87" i="32"/>
  <c r="K81" i="32"/>
  <c r="K75" i="32"/>
  <c r="K69" i="32"/>
  <c r="K63" i="32"/>
  <c r="K57" i="32"/>
  <c r="K51" i="32"/>
  <c r="K45" i="32"/>
  <c r="K39" i="32"/>
  <c r="K33" i="32"/>
  <c r="K27" i="32"/>
  <c r="K21" i="32"/>
  <c r="K15" i="32"/>
  <c r="K176" i="32"/>
  <c r="M31" i="37" s="1"/>
  <c r="K170" i="32"/>
  <c r="M25" i="37" s="1"/>
  <c r="K164" i="32"/>
  <c r="M19" i="37" s="1"/>
  <c r="K158" i="32"/>
  <c r="M13" i="37" s="1"/>
  <c r="K152" i="32"/>
  <c r="M7" i="37" s="1"/>
  <c r="K146" i="32"/>
  <c r="F43" i="37" s="1"/>
  <c r="K140" i="32"/>
  <c r="F37" i="37" s="1"/>
  <c r="K134" i="32"/>
  <c r="F31" i="37" s="1"/>
  <c r="K128" i="32"/>
  <c r="F25" i="37" s="1"/>
  <c r="K122" i="32"/>
  <c r="F19" i="37" s="1"/>
  <c r="K116" i="32"/>
  <c r="F13" i="37" s="1"/>
  <c r="K110" i="32"/>
  <c r="F7" i="37" s="1"/>
  <c r="K104" i="32"/>
  <c r="K98" i="32"/>
  <c r="K92" i="32"/>
  <c r="K86" i="32"/>
  <c r="K80" i="32"/>
  <c r="K74" i="32"/>
  <c r="K68" i="32"/>
  <c r="K62" i="32"/>
  <c r="K56" i="32"/>
  <c r="K50" i="32"/>
  <c r="K44" i="32"/>
  <c r="K38" i="32"/>
  <c r="K32" i="32"/>
  <c r="K26" i="32"/>
  <c r="K20" i="32"/>
  <c r="K14" i="32"/>
  <c r="K148" i="32"/>
  <c r="F45" i="37" s="1"/>
  <c r="K70" i="32"/>
  <c r="K46" i="32"/>
  <c r="K175" i="32"/>
  <c r="M30" i="37" s="1"/>
  <c r="K169" i="32"/>
  <c r="M24" i="37" s="1"/>
  <c r="K163" i="32"/>
  <c r="M18" i="37" s="1"/>
  <c r="K157" i="32"/>
  <c r="M12" i="37" s="1"/>
  <c r="K151" i="32"/>
  <c r="M6" i="37" s="1"/>
  <c r="K145" i="32"/>
  <c r="F42" i="37" s="1"/>
  <c r="K139" i="32"/>
  <c r="F36" i="37" s="1"/>
  <c r="K133" i="32"/>
  <c r="F30" i="37" s="1"/>
  <c r="K127" i="32"/>
  <c r="F24" i="37" s="1"/>
  <c r="K121" i="32"/>
  <c r="F18" i="37" s="1"/>
  <c r="K115" i="32"/>
  <c r="F12" i="37" s="1"/>
  <c r="K109" i="32"/>
  <c r="F6" i="37" s="1"/>
  <c r="K103" i="32"/>
  <c r="K97" i="32"/>
  <c r="K91" i="32"/>
  <c r="K85" i="32"/>
  <c r="K79" i="32"/>
  <c r="K73" i="32"/>
  <c r="K67" i="32"/>
  <c r="K61" i="32"/>
  <c r="K55" i="32"/>
  <c r="K49" i="32"/>
  <c r="K43" i="32"/>
  <c r="K37" i="32"/>
  <c r="K31" i="32"/>
  <c r="K25" i="32"/>
  <c r="K19" i="32"/>
  <c r="K13" i="32"/>
  <c r="K167" i="32"/>
  <c r="M22" i="37" s="1"/>
  <c r="K137" i="32"/>
  <c r="F34" i="37" s="1"/>
  <c r="K119" i="32"/>
  <c r="F16" i="37" s="1"/>
  <c r="K107" i="32"/>
  <c r="F4" i="37" s="1"/>
  <c r="K95" i="32"/>
  <c r="K83" i="32"/>
  <c r="K77" i="32"/>
  <c r="K65" i="32"/>
  <c r="K59" i="32"/>
  <c r="K47" i="32"/>
  <c r="K41" i="32"/>
  <c r="K29" i="32"/>
  <c r="K17" i="32"/>
  <c r="K178" i="32"/>
  <c r="M33" i="37" s="1"/>
  <c r="K160" i="32"/>
  <c r="M15" i="37" s="1"/>
  <c r="K142" i="32"/>
  <c r="F39" i="37" s="1"/>
  <c r="K130" i="32"/>
  <c r="F27" i="37" s="1"/>
  <c r="K118" i="32"/>
  <c r="F15" i="37" s="1"/>
  <c r="K112" i="32"/>
  <c r="F9" i="37" s="1"/>
  <c r="K100" i="32"/>
  <c r="K82" i="32"/>
  <c r="K64" i="32"/>
  <c r="K52" i="32"/>
  <c r="K34" i="32"/>
  <c r="K16" i="32"/>
  <c r="K174" i="32"/>
  <c r="M29" i="37" s="1"/>
  <c r="K168" i="32"/>
  <c r="M23" i="37" s="1"/>
  <c r="K162" i="32"/>
  <c r="M17" i="37" s="1"/>
  <c r="K156" i="32"/>
  <c r="M11" i="37" s="1"/>
  <c r="K150" i="32"/>
  <c r="M5" i="37" s="1"/>
  <c r="K144" i="32"/>
  <c r="F41" i="37" s="1"/>
  <c r="K138" i="32"/>
  <c r="F35" i="37" s="1"/>
  <c r="K132" i="32"/>
  <c r="F29" i="37" s="1"/>
  <c r="K126" i="32"/>
  <c r="F23" i="37" s="1"/>
  <c r="K120" i="32"/>
  <c r="F17" i="37" s="1"/>
  <c r="K114" i="32"/>
  <c r="F11" i="37" s="1"/>
  <c r="K108" i="32"/>
  <c r="F5" i="37" s="1"/>
  <c r="K102" i="32"/>
  <c r="K96" i="32"/>
  <c r="K90" i="32"/>
  <c r="K84" i="32"/>
  <c r="K78" i="32"/>
  <c r="K72" i="32"/>
  <c r="K66" i="32"/>
  <c r="K60" i="32"/>
  <c r="K54" i="32"/>
  <c r="K48" i="32"/>
  <c r="K42" i="32"/>
  <c r="K36" i="32"/>
  <c r="K30" i="32"/>
  <c r="K24" i="32"/>
  <c r="K18" i="32"/>
  <c r="K12" i="32"/>
  <c r="K173" i="32"/>
  <c r="M28" i="37" s="1"/>
  <c r="K161" i="32"/>
  <c r="M16" i="37" s="1"/>
  <c r="K155" i="32"/>
  <c r="M10" i="37" s="1"/>
  <c r="K149" i="32"/>
  <c r="M4" i="37" s="1"/>
  <c r="K143" i="32"/>
  <c r="F40" i="37" s="1"/>
  <c r="K131" i="32"/>
  <c r="F28" i="37" s="1"/>
  <c r="K125" i="32"/>
  <c r="F22" i="37" s="1"/>
  <c r="K113" i="32"/>
  <c r="F10" i="37" s="1"/>
  <c r="K101" i="32"/>
  <c r="K89" i="32"/>
  <c r="K71" i="32"/>
  <c r="K53" i="32"/>
  <c r="K35" i="32"/>
  <c r="K23" i="32"/>
  <c r="K11" i="32"/>
  <c r="K166" i="32"/>
  <c r="M21" i="37" s="1"/>
  <c r="K154" i="32"/>
  <c r="M9" i="37" s="1"/>
  <c r="K136" i="32"/>
  <c r="F33" i="37" s="1"/>
  <c r="K124" i="32"/>
  <c r="F21" i="37" s="1"/>
  <c r="K106" i="32"/>
  <c r="K94" i="32"/>
  <c r="K88" i="32"/>
  <c r="K58" i="32"/>
  <c r="K40" i="32"/>
  <c r="K28" i="32"/>
  <c r="I179" i="30"/>
  <c r="I11" i="30" s="1"/>
  <c r="I12" i="30" s="1"/>
  <c r="I179" i="31"/>
  <c r="K20" i="30"/>
  <c r="K14" i="30"/>
  <c r="K19" i="30"/>
  <c r="K13" i="30"/>
  <c r="K22" i="30"/>
  <c r="K16" i="30"/>
  <c r="K18" i="30"/>
  <c r="K12" i="30"/>
  <c r="K17" i="30"/>
  <c r="K11" i="30"/>
  <c r="K21" i="30"/>
  <c r="K15" i="30"/>
  <c r="I196" i="31"/>
  <c r="K178" i="30"/>
  <c r="K172" i="30"/>
  <c r="K177" i="30"/>
  <c r="K171" i="30"/>
  <c r="K174" i="30"/>
  <c r="K173" i="30"/>
  <c r="K169" i="30"/>
  <c r="K168" i="30"/>
  <c r="K176" i="30"/>
  <c r="K175" i="30"/>
  <c r="K167" i="30"/>
  <c r="K161" i="30"/>
  <c r="K170" i="30"/>
  <c r="K166" i="30"/>
  <c r="K165" i="30"/>
  <c r="K153" i="30"/>
  <c r="K163" i="30"/>
  <c r="K149" i="30"/>
  <c r="I182" i="30"/>
  <c r="K159" i="30"/>
  <c r="K158" i="30"/>
  <c r="K146" i="30"/>
  <c r="K140" i="30"/>
  <c r="K134" i="30"/>
  <c r="K128" i="30"/>
  <c r="K162" i="30"/>
  <c r="K160" i="30"/>
  <c r="K156" i="30"/>
  <c r="K151" i="30"/>
  <c r="K145" i="30"/>
  <c r="K139" i="30"/>
  <c r="K133" i="30"/>
  <c r="K127" i="30"/>
  <c r="K157" i="30"/>
  <c r="K144" i="30"/>
  <c r="K143" i="30"/>
  <c r="K123" i="30"/>
  <c r="K117" i="30"/>
  <c r="K111" i="30"/>
  <c r="K105" i="30"/>
  <c r="K164" i="30"/>
  <c r="K150" i="30"/>
  <c r="K147" i="30"/>
  <c r="K130" i="30"/>
  <c r="K129" i="30"/>
  <c r="K122" i="30"/>
  <c r="K116" i="30"/>
  <c r="K142" i="30"/>
  <c r="K141" i="30"/>
  <c r="K135" i="30"/>
  <c r="K132" i="30"/>
  <c r="K126" i="30"/>
  <c r="K101" i="30"/>
  <c r="K95" i="30"/>
  <c r="K89" i="30"/>
  <c r="K152" i="30"/>
  <c r="K148" i="30"/>
  <c r="K131" i="30"/>
  <c r="K112" i="30"/>
  <c r="K110" i="30"/>
  <c r="K100" i="30"/>
  <c r="K94" i="30"/>
  <c r="K138" i="30"/>
  <c r="K97" i="30"/>
  <c r="K96" i="30"/>
  <c r="K87" i="30"/>
  <c r="K85" i="30"/>
  <c r="K80" i="30"/>
  <c r="K74" i="30"/>
  <c r="K137" i="30"/>
  <c r="K121" i="30"/>
  <c r="K120" i="30"/>
  <c r="K119" i="30"/>
  <c r="K104" i="30"/>
  <c r="K86" i="30"/>
  <c r="K83" i="30"/>
  <c r="K77" i="30"/>
  <c r="K71" i="30"/>
  <c r="K65" i="30"/>
  <c r="K59" i="30"/>
  <c r="K53" i="30"/>
  <c r="K47" i="30"/>
  <c r="K41" i="30"/>
  <c r="K35" i="30"/>
  <c r="K155" i="30"/>
  <c r="K154" i="30"/>
  <c r="K136" i="30"/>
  <c r="K125" i="30"/>
  <c r="K124" i="30"/>
  <c r="K118" i="30"/>
  <c r="K113" i="30"/>
  <c r="K91" i="30"/>
  <c r="K90" i="30"/>
  <c r="K84" i="30"/>
  <c r="K82" i="30"/>
  <c r="K76" i="30"/>
  <c r="K70" i="30"/>
  <c r="K64" i="30"/>
  <c r="K58" i="30"/>
  <c r="K52" i="30"/>
  <c r="K46" i="30"/>
  <c r="K40" i="30"/>
  <c r="K34" i="30"/>
  <c r="K98" i="30"/>
  <c r="K92" i="30"/>
  <c r="K115" i="30"/>
  <c r="K103" i="30"/>
  <c r="K93" i="30"/>
  <c r="K79" i="30"/>
  <c r="K108" i="30"/>
  <c r="K109" i="30"/>
  <c r="K81" i="30"/>
  <c r="K78" i="30"/>
  <c r="K75" i="30"/>
  <c r="K51" i="30"/>
  <c r="K50" i="30"/>
  <c r="K33" i="30"/>
  <c r="K31" i="30"/>
  <c r="K25" i="30"/>
  <c r="K54" i="30"/>
  <c r="K30" i="30"/>
  <c r="K107" i="30"/>
  <c r="K55" i="30"/>
  <c r="K37" i="30"/>
  <c r="K36" i="30"/>
  <c r="K106" i="30"/>
  <c r="K88" i="30"/>
  <c r="K68" i="30"/>
  <c r="K57" i="30"/>
  <c r="K56" i="30"/>
  <c r="K39" i="30"/>
  <c r="K38" i="30"/>
  <c r="K61" i="30"/>
  <c r="K60" i="30"/>
  <c r="K43" i="30"/>
  <c r="K42" i="30"/>
  <c r="K28" i="30"/>
  <c r="K99" i="30"/>
  <c r="K67" i="30"/>
  <c r="K49" i="30"/>
  <c r="K114" i="30"/>
  <c r="K102" i="30"/>
  <c r="K69" i="30"/>
  <c r="K63" i="30"/>
  <c r="K62" i="30"/>
  <c r="K45" i="30"/>
  <c r="K44" i="30"/>
  <c r="K27" i="30"/>
  <c r="K73" i="30"/>
  <c r="K72" i="30"/>
  <c r="K66" i="30"/>
  <c r="K48" i="30"/>
  <c r="K24" i="30"/>
  <c r="K32" i="30"/>
  <c r="K29" i="30"/>
  <c r="K26" i="30"/>
  <c r="K23" i="30"/>
  <c r="J17" i="25" l="1"/>
  <c r="J17" i="38" s="1"/>
  <c r="J18" i="36"/>
  <c r="J16" i="24"/>
  <c r="J16" i="37" s="1"/>
  <c r="J17" i="35"/>
  <c r="K12" i="31"/>
  <c r="K11" i="31"/>
  <c r="I11" i="31"/>
  <c r="K176" i="31"/>
  <c r="Z176" i="31" s="1"/>
  <c r="K20" i="31"/>
  <c r="K14" i="31"/>
  <c r="K19" i="31"/>
  <c r="K13" i="31"/>
  <c r="K22" i="31"/>
  <c r="K16" i="31"/>
  <c r="K18" i="31"/>
  <c r="K17" i="31"/>
  <c r="K21" i="31"/>
  <c r="K15" i="31"/>
  <c r="Z15" i="30"/>
  <c r="T15" i="30"/>
  <c r="N15" i="30"/>
  <c r="W15" i="30"/>
  <c r="Q15" i="30"/>
  <c r="Q16" i="30"/>
  <c r="Z16" i="30"/>
  <c r="T16" i="30"/>
  <c r="N16" i="30"/>
  <c r="W16" i="30"/>
  <c r="Z21" i="30"/>
  <c r="T21" i="30"/>
  <c r="N21" i="30"/>
  <c r="W21" i="30"/>
  <c r="Q21" i="30"/>
  <c r="Z22" i="30"/>
  <c r="T22" i="30"/>
  <c r="N22" i="30"/>
  <c r="Q22" i="30"/>
  <c r="W22" i="30"/>
  <c r="Z11" i="30"/>
  <c r="T11" i="30"/>
  <c r="N11" i="30"/>
  <c r="W11" i="30"/>
  <c r="Q11" i="30"/>
  <c r="Z13" i="30"/>
  <c r="W13" i="30"/>
  <c r="Q13" i="30"/>
  <c r="N13" i="30"/>
  <c r="T13" i="30"/>
  <c r="Z17" i="30"/>
  <c r="T17" i="30"/>
  <c r="N17" i="30"/>
  <c r="W17" i="30"/>
  <c r="Q17" i="30"/>
  <c r="W19" i="30"/>
  <c r="Q19" i="30"/>
  <c r="T19" i="30"/>
  <c r="Z19" i="30"/>
  <c r="N19" i="30"/>
  <c r="W12" i="30"/>
  <c r="Q12" i="30"/>
  <c r="Z12" i="30"/>
  <c r="T12" i="30"/>
  <c r="N12" i="30"/>
  <c r="W14" i="30"/>
  <c r="Q14" i="30"/>
  <c r="Z14" i="30"/>
  <c r="T14" i="30"/>
  <c r="N14" i="30"/>
  <c r="W18" i="30"/>
  <c r="Q18" i="30"/>
  <c r="Z18" i="30"/>
  <c r="T18" i="30"/>
  <c r="N18" i="30"/>
  <c r="W20" i="30"/>
  <c r="Q20" i="30"/>
  <c r="Z20" i="30"/>
  <c r="T20" i="30"/>
  <c r="N20" i="30"/>
  <c r="K60" i="31"/>
  <c r="Z60" i="31" s="1"/>
  <c r="K75" i="31"/>
  <c r="Z75" i="31" s="1"/>
  <c r="K112" i="31"/>
  <c r="N112" i="31" s="1"/>
  <c r="K152" i="31"/>
  <c r="T152" i="31" s="1"/>
  <c r="K26" i="31"/>
  <c r="W26" i="31" s="1"/>
  <c r="K30" i="31"/>
  <c r="Q30" i="31" s="1"/>
  <c r="K79" i="31"/>
  <c r="Q79" i="31" s="1"/>
  <c r="K64" i="31"/>
  <c r="N64" i="31" s="1"/>
  <c r="K128" i="31"/>
  <c r="T128" i="31" s="1"/>
  <c r="K47" i="31"/>
  <c r="Q47" i="31" s="1"/>
  <c r="K95" i="31"/>
  <c r="Z95" i="31" s="1"/>
  <c r="K80" i="31"/>
  <c r="N80" i="31" s="1"/>
  <c r="K137" i="31"/>
  <c r="Q137" i="31" s="1"/>
  <c r="K145" i="31"/>
  <c r="Z145" i="31" s="1"/>
  <c r="K23" i="31"/>
  <c r="Z23" i="31" s="1"/>
  <c r="K51" i="31"/>
  <c r="T51" i="31" s="1"/>
  <c r="K99" i="31"/>
  <c r="T99" i="31" s="1"/>
  <c r="K84" i="31"/>
  <c r="W84" i="31" s="1"/>
  <c r="K121" i="31"/>
  <c r="Q121" i="31" s="1"/>
  <c r="K151" i="31"/>
  <c r="N151" i="31" s="1"/>
  <c r="K164" i="31"/>
  <c r="T164" i="31" s="1"/>
  <c r="K27" i="31"/>
  <c r="Z27" i="31" s="1"/>
  <c r="K55" i="31"/>
  <c r="W55" i="31" s="1"/>
  <c r="K103" i="31"/>
  <c r="Z103" i="31" s="1"/>
  <c r="K88" i="31"/>
  <c r="W88" i="31" s="1"/>
  <c r="K129" i="31"/>
  <c r="Q129" i="31" s="1"/>
  <c r="K159" i="31"/>
  <c r="Q159" i="31" s="1"/>
  <c r="K43" i="31"/>
  <c r="N43" i="31" s="1"/>
  <c r="K71" i="31"/>
  <c r="T71" i="31" s="1"/>
  <c r="K56" i="31"/>
  <c r="Z56" i="31" s="1"/>
  <c r="K104" i="31"/>
  <c r="T104" i="31" s="1"/>
  <c r="K144" i="31"/>
  <c r="W144" i="31" s="1"/>
  <c r="K174" i="31"/>
  <c r="Q174" i="31" s="1"/>
  <c r="K31" i="31"/>
  <c r="T31" i="31" s="1"/>
  <c r="K34" i="31"/>
  <c r="N34" i="31" s="1"/>
  <c r="K59" i="31"/>
  <c r="N59" i="31" s="1"/>
  <c r="K83" i="31"/>
  <c r="Z83" i="31" s="1"/>
  <c r="K44" i="31"/>
  <c r="Q44" i="31" s="1"/>
  <c r="K68" i="31"/>
  <c r="N68" i="31" s="1"/>
  <c r="K92" i="31"/>
  <c r="Z92" i="31" s="1"/>
  <c r="K116" i="31"/>
  <c r="Z116" i="31" s="1"/>
  <c r="K109" i="31"/>
  <c r="N109" i="31" s="1"/>
  <c r="K133" i="31"/>
  <c r="W133" i="31" s="1"/>
  <c r="K156" i="31"/>
  <c r="T156" i="31" s="1"/>
  <c r="K171" i="31"/>
  <c r="W171" i="31" s="1"/>
  <c r="K163" i="31"/>
  <c r="W163" i="31" s="1"/>
  <c r="K35" i="31"/>
  <c r="Z35" i="31" s="1"/>
  <c r="K38" i="31"/>
  <c r="T38" i="31" s="1"/>
  <c r="K63" i="31"/>
  <c r="T63" i="31" s="1"/>
  <c r="K87" i="31"/>
  <c r="Z87" i="31" s="1"/>
  <c r="K48" i="31"/>
  <c r="W48" i="31" s="1"/>
  <c r="K72" i="31"/>
  <c r="W72" i="31" s="1"/>
  <c r="K96" i="31"/>
  <c r="W96" i="31" s="1"/>
  <c r="K120" i="31"/>
  <c r="Z120" i="31" s="1"/>
  <c r="K113" i="31"/>
  <c r="W113" i="31" s="1"/>
  <c r="K136" i="31"/>
  <c r="N136" i="31" s="1"/>
  <c r="K160" i="31"/>
  <c r="Z160" i="31" s="1"/>
  <c r="K175" i="31"/>
  <c r="W175" i="31" s="1"/>
  <c r="K167" i="31"/>
  <c r="Z167" i="31" s="1"/>
  <c r="K39" i="31"/>
  <c r="Q39" i="31" s="1"/>
  <c r="K42" i="31"/>
  <c r="N42" i="31" s="1"/>
  <c r="K67" i="31"/>
  <c r="Q67" i="31" s="1"/>
  <c r="K91" i="31"/>
  <c r="Z91" i="31" s="1"/>
  <c r="K52" i="31"/>
  <c r="T52" i="31" s="1"/>
  <c r="K76" i="31"/>
  <c r="Q76" i="31" s="1"/>
  <c r="K100" i="31"/>
  <c r="Z100" i="31" s="1"/>
  <c r="K124" i="31"/>
  <c r="Z124" i="31" s="1"/>
  <c r="K117" i="31"/>
  <c r="W117" i="31" s="1"/>
  <c r="K140" i="31"/>
  <c r="Z140" i="31" s="1"/>
  <c r="K141" i="31"/>
  <c r="N141" i="31" s="1"/>
  <c r="I182" i="31"/>
  <c r="K182" i="31" s="1"/>
  <c r="K170" i="31"/>
  <c r="W170" i="31" s="1"/>
  <c r="K108" i="31"/>
  <c r="Q108" i="31" s="1"/>
  <c r="K132" i="31"/>
  <c r="N132" i="31" s="1"/>
  <c r="K125" i="31"/>
  <c r="Z125" i="31" s="1"/>
  <c r="K148" i="31"/>
  <c r="Q148" i="31" s="1"/>
  <c r="K168" i="31"/>
  <c r="W168" i="31" s="1"/>
  <c r="K155" i="31"/>
  <c r="T155" i="31" s="1"/>
  <c r="K178" i="31"/>
  <c r="Z178" i="31" s="1"/>
  <c r="K25" i="31"/>
  <c r="T25" i="31" s="1"/>
  <c r="K29" i="31"/>
  <c r="W29" i="31" s="1"/>
  <c r="K33" i="31"/>
  <c r="N33" i="31" s="1"/>
  <c r="K37" i="31"/>
  <c r="T37" i="31" s="1"/>
  <c r="K41" i="31"/>
  <c r="T41" i="31" s="1"/>
  <c r="K24" i="31"/>
  <c r="T24" i="31" s="1"/>
  <c r="K28" i="31"/>
  <c r="Q28" i="31" s="1"/>
  <c r="K32" i="31"/>
  <c r="Q32" i="31" s="1"/>
  <c r="K36" i="31"/>
  <c r="Z36" i="31" s="1"/>
  <c r="K40" i="31"/>
  <c r="T40" i="31" s="1"/>
  <c r="K45" i="31"/>
  <c r="T45" i="31" s="1"/>
  <c r="K49" i="31"/>
  <c r="T49" i="31" s="1"/>
  <c r="K53" i="31"/>
  <c r="T53" i="31" s="1"/>
  <c r="K57" i="31"/>
  <c r="W57" i="31" s="1"/>
  <c r="K61" i="31"/>
  <c r="N61" i="31" s="1"/>
  <c r="K65" i="31"/>
  <c r="T65" i="31" s="1"/>
  <c r="K69" i="31"/>
  <c r="T69" i="31" s="1"/>
  <c r="K73" i="31"/>
  <c r="W73" i="31" s="1"/>
  <c r="K77" i="31"/>
  <c r="T77" i="31" s="1"/>
  <c r="K81" i="31"/>
  <c r="T81" i="31" s="1"/>
  <c r="K85" i="31"/>
  <c r="N85" i="31" s="1"/>
  <c r="K89" i="31"/>
  <c r="W89" i="31" s="1"/>
  <c r="K93" i="31"/>
  <c r="T93" i="31" s="1"/>
  <c r="K97" i="31"/>
  <c r="T97" i="31" s="1"/>
  <c r="K101" i="31"/>
  <c r="T101" i="31" s="1"/>
  <c r="K105" i="31"/>
  <c r="T105" i="31" s="1"/>
  <c r="K46" i="31"/>
  <c r="Z46" i="31" s="1"/>
  <c r="K50" i="31"/>
  <c r="Q50" i="31" s="1"/>
  <c r="K54" i="31"/>
  <c r="Q54" i="31" s="1"/>
  <c r="K58" i="31"/>
  <c r="T58" i="31" s="1"/>
  <c r="K62" i="31"/>
  <c r="Q62" i="31" s="1"/>
  <c r="K66" i="31"/>
  <c r="Q66" i="31" s="1"/>
  <c r="K70" i="31"/>
  <c r="Z70" i="31" s="1"/>
  <c r="K74" i="31"/>
  <c r="T74" i="31" s="1"/>
  <c r="K78" i="31"/>
  <c r="Q78" i="31" s="1"/>
  <c r="K82" i="31"/>
  <c r="Q82" i="31" s="1"/>
  <c r="K86" i="31"/>
  <c r="Q86" i="31" s="1"/>
  <c r="K90" i="31"/>
  <c r="T90" i="31" s="1"/>
  <c r="K94" i="31"/>
  <c r="Z94" i="31" s="1"/>
  <c r="K98" i="31"/>
  <c r="Q98" i="31" s="1"/>
  <c r="K102" i="31"/>
  <c r="Q102" i="31" s="1"/>
  <c r="K106" i="31"/>
  <c r="W106" i="31" s="1"/>
  <c r="K110" i="31"/>
  <c r="T110" i="31" s="1"/>
  <c r="K114" i="31"/>
  <c r="T114" i="31" s="1"/>
  <c r="K118" i="31"/>
  <c r="N118" i="31" s="1"/>
  <c r="K122" i="31"/>
  <c r="W122" i="31" s="1"/>
  <c r="K126" i="31"/>
  <c r="T126" i="31" s="1"/>
  <c r="K130" i="31"/>
  <c r="T130" i="31" s="1"/>
  <c r="K135" i="31"/>
  <c r="T135" i="31" s="1"/>
  <c r="K107" i="31"/>
  <c r="T107" i="31" s="1"/>
  <c r="K111" i="31"/>
  <c r="Z111" i="31" s="1"/>
  <c r="K115" i="31"/>
  <c r="Q115" i="31" s="1"/>
  <c r="K119" i="31"/>
  <c r="Q119" i="31" s="1"/>
  <c r="K123" i="31"/>
  <c r="T123" i="31" s="1"/>
  <c r="K127" i="31"/>
  <c r="Q127" i="31" s="1"/>
  <c r="K131" i="31"/>
  <c r="Q131" i="31" s="1"/>
  <c r="K134" i="31"/>
  <c r="Z134" i="31" s="1"/>
  <c r="K138" i="31"/>
  <c r="W138" i="31" s="1"/>
  <c r="K142" i="31"/>
  <c r="Q142" i="31" s="1"/>
  <c r="K146" i="31"/>
  <c r="T146" i="31" s="1"/>
  <c r="K150" i="31"/>
  <c r="W150" i="31" s="1"/>
  <c r="K154" i="31"/>
  <c r="T154" i="31" s="1"/>
  <c r="K158" i="31"/>
  <c r="Z158" i="31" s="1"/>
  <c r="K139" i="31"/>
  <c r="Q139" i="31" s="1"/>
  <c r="K162" i="31"/>
  <c r="W162" i="31" s="1"/>
  <c r="K166" i="31"/>
  <c r="T166" i="31" s="1"/>
  <c r="K143" i="31"/>
  <c r="T143" i="31" s="1"/>
  <c r="K147" i="31"/>
  <c r="W147" i="31" s="1"/>
  <c r="K173" i="31"/>
  <c r="Z173" i="31" s="1"/>
  <c r="K177" i="31"/>
  <c r="T177" i="31" s="1"/>
  <c r="K149" i="31"/>
  <c r="T149" i="31" s="1"/>
  <c r="K153" i="31"/>
  <c r="Q153" i="31" s="1"/>
  <c r="K157" i="31"/>
  <c r="T157" i="31" s="1"/>
  <c r="K161" i="31"/>
  <c r="Q161" i="31" s="1"/>
  <c r="K165" i="31"/>
  <c r="W165" i="31" s="1"/>
  <c r="K169" i="31"/>
  <c r="T169" i="31" s="1"/>
  <c r="K172" i="31"/>
  <c r="T172" i="31" s="1"/>
  <c r="Z23" i="30"/>
  <c r="N23" i="30"/>
  <c r="T23" i="30"/>
  <c r="Q23" i="30"/>
  <c r="W23" i="30"/>
  <c r="Z61" i="30"/>
  <c r="T61" i="30"/>
  <c r="N61" i="30"/>
  <c r="W61" i="30"/>
  <c r="Q61" i="30"/>
  <c r="Q30" i="30"/>
  <c r="W30" i="30"/>
  <c r="Z30" i="30"/>
  <c r="T30" i="30"/>
  <c r="N30" i="30"/>
  <c r="W34" i="30"/>
  <c r="Q34" i="30"/>
  <c r="T34" i="30"/>
  <c r="Z34" i="30"/>
  <c r="N34" i="30"/>
  <c r="Z113" i="30"/>
  <c r="N113" i="30"/>
  <c r="T113" i="30"/>
  <c r="W113" i="30"/>
  <c r="Q113" i="30"/>
  <c r="Z119" i="30"/>
  <c r="T119" i="30"/>
  <c r="N119" i="30"/>
  <c r="W119" i="30"/>
  <c r="Q119" i="30"/>
  <c r="W89" i="30"/>
  <c r="Q89" i="30"/>
  <c r="Z89" i="30"/>
  <c r="N89" i="30"/>
  <c r="T89" i="30"/>
  <c r="W147" i="30"/>
  <c r="Z147" i="30"/>
  <c r="T147" i="30"/>
  <c r="Q147" i="30"/>
  <c r="N147" i="30"/>
  <c r="W123" i="30"/>
  <c r="Q123" i="30"/>
  <c r="Z123" i="30"/>
  <c r="T123" i="30"/>
  <c r="N123" i="30"/>
  <c r="W128" i="30"/>
  <c r="Q128" i="30"/>
  <c r="T128" i="30"/>
  <c r="Z128" i="30"/>
  <c r="N128" i="30"/>
  <c r="I183" i="30"/>
  <c r="K182" i="30"/>
  <c r="Z169" i="30"/>
  <c r="T169" i="30"/>
  <c r="Q169" i="30"/>
  <c r="N169" i="30"/>
  <c r="W169" i="30"/>
  <c r="W27" i="30"/>
  <c r="Q27" i="30"/>
  <c r="Z27" i="30"/>
  <c r="T27" i="30"/>
  <c r="N27" i="30"/>
  <c r="N42" i="30"/>
  <c r="W42" i="30"/>
  <c r="T42" i="30"/>
  <c r="Q42" i="30"/>
  <c r="Z42" i="30"/>
  <c r="W31" i="30"/>
  <c r="Q31" i="30"/>
  <c r="Z31" i="30"/>
  <c r="T31" i="30"/>
  <c r="N31" i="30"/>
  <c r="W115" i="30"/>
  <c r="N115" i="30"/>
  <c r="T115" i="30"/>
  <c r="Q115" i="30"/>
  <c r="Z115" i="30"/>
  <c r="W84" i="30"/>
  <c r="Z84" i="30"/>
  <c r="T84" i="30"/>
  <c r="N84" i="30"/>
  <c r="Q84" i="30"/>
  <c r="W47" i="30"/>
  <c r="Q47" i="30"/>
  <c r="Z47" i="30"/>
  <c r="N47" i="30"/>
  <c r="T47" i="30"/>
  <c r="W83" i="30"/>
  <c r="T83" i="30"/>
  <c r="N83" i="30"/>
  <c r="Q83" i="30"/>
  <c r="Z83" i="30"/>
  <c r="Z97" i="30"/>
  <c r="T97" i="30"/>
  <c r="N97" i="30"/>
  <c r="W97" i="30"/>
  <c r="Q97" i="30"/>
  <c r="Q126" i="30"/>
  <c r="W126" i="30"/>
  <c r="T126" i="30"/>
  <c r="Z126" i="30"/>
  <c r="N126" i="30"/>
  <c r="W105" i="30"/>
  <c r="Q105" i="30"/>
  <c r="Z105" i="30"/>
  <c r="N105" i="30"/>
  <c r="T105" i="30"/>
  <c r="Z156" i="30"/>
  <c r="T156" i="30"/>
  <c r="N156" i="30"/>
  <c r="W156" i="30"/>
  <c r="Q156" i="30"/>
  <c r="W153" i="30"/>
  <c r="Q153" i="30"/>
  <c r="N153" i="30"/>
  <c r="T153" i="30"/>
  <c r="Z153" i="30"/>
  <c r="Z175" i="30"/>
  <c r="T175" i="30"/>
  <c r="N175" i="30"/>
  <c r="Q175" i="30"/>
  <c r="W175" i="30"/>
  <c r="Z24" i="30"/>
  <c r="T24" i="30"/>
  <c r="N24" i="30"/>
  <c r="W24" i="30"/>
  <c r="Q24" i="30"/>
  <c r="Z44" i="30"/>
  <c r="T44" i="30"/>
  <c r="N44" i="30"/>
  <c r="Q44" i="30"/>
  <c r="W44" i="30"/>
  <c r="Z114" i="30"/>
  <c r="T114" i="30"/>
  <c r="N114" i="30"/>
  <c r="W114" i="30"/>
  <c r="Q114" i="30"/>
  <c r="Z43" i="30"/>
  <c r="T43" i="30"/>
  <c r="N43" i="30"/>
  <c r="W43" i="30"/>
  <c r="Q43" i="30"/>
  <c r="W57" i="30"/>
  <c r="N57" i="30"/>
  <c r="T57" i="30"/>
  <c r="Z57" i="30"/>
  <c r="Q57" i="30"/>
  <c r="Z55" i="30"/>
  <c r="T55" i="30"/>
  <c r="N55" i="30"/>
  <c r="Q55" i="30"/>
  <c r="W55" i="30"/>
  <c r="T33" i="30"/>
  <c r="Z33" i="30"/>
  <c r="W33" i="30"/>
  <c r="Q33" i="30"/>
  <c r="N33" i="30"/>
  <c r="Q109" i="30"/>
  <c r="W109" i="30"/>
  <c r="T109" i="30"/>
  <c r="Z109" i="30"/>
  <c r="N109" i="30"/>
  <c r="Z92" i="30"/>
  <c r="T92" i="30"/>
  <c r="N92" i="30"/>
  <c r="W92" i="30"/>
  <c r="Q92" i="30"/>
  <c r="W58" i="30"/>
  <c r="Q58" i="30"/>
  <c r="N58" i="30"/>
  <c r="T58" i="30"/>
  <c r="Z58" i="30"/>
  <c r="Q90" i="30"/>
  <c r="T90" i="30"/>
  <c r="N90" i="30"/>
  <c r="W90" i="30"/>
  <c r="Z90" i="30"/>
  <c r="Z136" i="30"/>
  <c r="T136" i="30"/>
  <c r="N136" i="30"/>
  <c r="W136" i="30"/>
  <c r="Q136" i="30"/>
  <c r="W53" i="30"/>
  <c r="Q53" i="30"/>
  <c r="T53" i="30"/>
  <c r="Z53" i="30"/>
  <c r="N53" i="30"/>
  <c r="Z86" i="30"/>
  <c r="T86" i="30"/>
  <c r="N86" i="30"/>
  <c r="Q86" i="30"/>
  <c r="W86" i="30"/>
  <c r="W74" i="30"/>
  <c r="Q74" i="30"/>
  <c r="Z74" i="30"/>
  <c r="T74" i="30"/>
  <c r="N74" i="30"/>
  <c r="Q138" i="30"/>
  <c r="Z138" i="30"/>
  <c r="N138" i="30"/>
  <c r="W138" i="30"/>
  <c r="T138" i="30"/>
  <c r="Z148" i="30"/>
  <c r="T148" i="30"/>
  <c r="N148" i="30"/>
  <c r="Q148" i="30"/>
  <c r="W148" i="30"/>
  <c r="W132" i="30"/>
  <c r="N132" i="30"/>
  <c r="T132" i="30"/>
  <c r="Z132" i="30"/>
  <c r="Q132" i="30"/>
  <c r="T129" i="30"/>
  <c r="Q129" i="30"/>
  <c r="Z129" i="30"/>
  <c r="W129" i="30"/>
  <c r="N129" i="30"/>
  <c r="W111" i="30"/>
  <c r="Q111" i="30"/>
  <c r="T111" i="30"/>
  <c r="Z111" i="30"/>
  <c r="N111" i="30"/>
  <c r="W127" i="30"/>
  <c r="Q127" i="30"/>
  <c r="N127" i="30"/>
  <c r="T127" i="30"/>
  <c r="Z127" i="30"/>
  <c r="Q160" i="30"/>
  <c r="W160" i="30"/>
  <c r="T160" i="30"/>
  <c r="Z160" i="30"/>
  <c r="N160" i="30"/>
  <c r="Z158" i="30"/>
  <c r="T158" i="30"/>
  <c r="W158" i="30"/>
  <c r="Q158" i="30"/>
  <c r="N158" i="30"/>
  <c r="Z165" i="30"/>
  <c r="T165" i="30"/>
  <c r="N165" i="30"/>
  <c r="W165" i="30"/>
  <c r="Q165" i="30"/>
  <c r="N176" i="30"/>
  <c r="Z176" i="30"/>
  <c r="W176" i="30"/>
  <c r="Q176" i="30"/>
  <c r="T176" i="30"/>
  <c r="W177" i="30"/>
  <c r="Q177" i="30"/>
  <c r="N177" i="30"/>
  <c r="T177" i="30"/>
  <c r="Z177" i="30"/>
  <c r="Z62" i="30"/>
  <c r="T62" i="30"/>
  <c r="N62" i="30"/>
  <c r="Q62" i="30"/>
  <c r="W62" i="30"/>
  <c r="Z67" i="30"/>
  <c r="T67" i="30"/>
  <c r="N67" i="30"/>
  <c r="Q67" i="30"/>
  <c r="W67" i="30"/>
  <c r="N88" i="30"/>
  <c r="Q88" i="30"/>
  <c r="W88" i="30"/>
  <c r="T88" i="30"/>
  <c r="Z88" i="30"/>
  <c r="T51" i="30"/>
  <c r="Q51" i="30"/>
  <c r="Z51" i="30"/>
  <c r="N51" i="30"/>
  <c r="W51" i="30"/>
  <c r="W70" i="30"/>
  <c r="Q70" i="30"/>
  <c r="Z70" i="30"/>
  <c r="N70" i="30"/>
  <c r="T70" i="30"/>
  <c r="Z155" i="30"/>
  <c r="W155" i="30"/>
  <c r="N155" i="30"/>
  <c r="T155" i="30"/>
  <c r="Q155" i="30"/>
  <c r="W65" i="30"/>
  <c r="Q65" i="30"/>
  <c r="Z65" i="30"/>
  <c r="N65" i="30"/>
  <c r="T65" i="30"/>
  <c r="N85" i="30"/>
  <c r="T85" i="30"/>
  <c r="Q85" i="30"/>
  <c r="W85" i="30"/>
  <c r="Z85" i="30"/>
  <c r="Z141" i="30"/>
  <c r="Q141" i="30"/>
  <c r="W141" i="30"/>
  <c r="N141" i="30"/>
  <c r="T141" i="30"/>
  <c r="W139" i="30"/>
  <c r="Q139" i="30"/>
  <c r="Z139" i="30"/>
  <c r="N139" i="30"/>
  <c r="T139" i="30"/>
  <c r="T170" i="30"/>
  <c r="Q170" i="30"/>
  <c r="W170" i="30"/>
  <c r="N170" i="30"/>
  <c r="Z170" i="30"/>
  <c r="Z32" i="30"/>
  <c r="Q32" i="30"/>
  <c r="T32" i="30"/>
  <c r="N32" i="30"/>
  <c r="W32" i="30"/>
  <c r="W102" i="30"/>
  <c r="Z102" i="30"/>
  <c r="Q102" i="30"/>
  <c r="T102" i="30"/>
  <c r="N102" i="30"/>
  <c r="Z56" i="30"/>
  <c r="T56" i="30"/>
  <c r="N56" i="30"/>
  <c r="W56" i="30"/>
  <c r="Q56" i="30"/>
  <c r="Z37" i="30"/>
  <c r="T37" i="30"/>
  <c r="N37" i="30"/>
  <c r="Q37" i="30"/>
  <c r="W37" i="30"/>
  <c r="Q81" i="30"/>
  <c r="Z81" i="30"/>
  <c r="W81" i="30"/>
  <c r="T81" i="30"/>
  <c r="N81" i="30"/>
  <c r="W52" i="30"/>
  <c r="Q52" i="30"/>
  <c r="T52" i="30"/>
  <c r="Z52" i="30"/>
  <c r="N52" i="30"/>
  <c r="N125" i="30"/>
  <c r="Q125" i="30"/>
  <c r="T125" i="30"/>
  <c r="Z125" i="30"/>
  <c r="W125" i="30"/>
  <c r="Z137" i="30"/>
  <c r="T137" i="30"/>
  <c r="N137" i="30"/>
  <c r="Q137" i="30"/>
  <c r="W137" i="30"/>
  <c r="Z131" i="30"/>
  <c r="T131" i="30"/>
  <c r="N131" i="30"/>
  <c r="W131" i="30"/>
  <c r="Q131" i="30"/>
  <c r="W122" i="30"/>
  <c r="Q122" i="30"/>
  <c r="Z122" i="30"/>
  <c r="T122" i="30"/>
  <c r="N122" i="30"/>
  <c r="T157" i="30"/>
  <c r="W157" i="30"/>
  <c r="Z157" i="30"/>
  <c r="Q157" i="30"/>
  <c r="N157" i="30"/>
  <c r="Z146" i="30"/>
  <c r="T146" i="30"/>
  <c r="N146" i="30"/>
  <c r="W146" i="30"/>
  <c r="Q146" i="30"/>
  <c r="W171" i="30"/>
  <c r="Q171" i="30"/>
  <c r="T171" i="30"/>
  <c r="N171" i="30"/>
  <c r="Z171" i="30"/>
  <c r="Z48" i="30"/>
  <c r="Q48" i="30"/>
  <c r="N48" i="30"/>
  <c r="W48" i="30"/>
  <c r="T48" i="30"/>
  <c r="Q45" i="30"/>
  <c r="Z45" i="30"/>
  <c r="W45" i="30"/>
  <c r="N45" i="30"/>
  <c r="T45" i="30"/>
  <c r="Z49" i="30"/>
  <c r="T49" i="30"/>
  <c r="N49" i="30"/>
  <c r="Q49" i="30"/>
  <c r="W49" i="30"/>
  <c r="N60" i="30"/>
  <c r="W60" i="30"/>
  <c r="T60" i="30"/>
  <c r="Z60" i="30"/>
  <c r="Q60" i="30"/>
  <c r="Z68" i="30"/>
  <c r="T68" i="30"/>
  <c r="N68" i="30"/>
  <c r="W68" i="30"/>
  <c r="Q68" i="30"/>
  <c r="Q107" i="30"/>
  <c r="W107" i="30"/>
  <c r="Z107" i="30"/>
  <c r="T107" i="30"/>
  <c r="N107" i="30"/>
  <c r="Z50" i="30"/>
  <c r="T50" i="30"/>
  <c r="N50" i="30"/>
  <c r="Q50" i="30"/>
  <c r="W50" i="30"/>
  <c r="Z108" i="30"/>
  <c r="T108" i="30"/>
  <c r="N108" i="30"/>
  <c r="Q108" i="30"/>
  <c r="W108" i="30"/>
  <c r="Z98" i="30"/>
  <c r="T98" i="30"/>
  <c r="N98" i="30"/>
  <c r="Q98" i="30"/>
  <c r="W98" i="30"/>
  <c r="W64" i="30"/>
  <c r="Q64" i="30"/>
  <c r="Z64" i="30"/>
  <c r="N64" i="30"/>
  <c r="T64" i="30"/>
  <c r="Z91" i="30"/>
  <c r="T91" i="30"/>
  <c r="N91" i="30"/>
  <c r="Q91" i="30"/>
  <c r="W91" i="30"/>
  <c r="Q154" i="30"/>
  <c r="T154" i="30"/>
  <c r="Z154" i="30"/>
  <c r="W154" i="30"/>
  <c r="N154" i="30"/>
  <c r="W59" i="30"/>
  <c r="Q59" i="30"/>
  <c r="N59" i="30"/>
  <c r="T59" i="30"/>
  <c r="Z59" i="30"/>
  <c r="N104" i="30"/>
  <c r="Q104" i="30"/>
  <c r="W104" i="30"/>
  <c r="T104" i="30"/>
  <c r="Z104" i="30"/>
  <c r="W80" i="30"/>
  <c r="Q80" i="30"/>
  <c r="Z80" i="30"/>
  <c r="T80" i="30"/>
  <c r="N80" i="30"/>
  <c r="W94" i="30"/>
  <c r="Q94" i="30"/>
  <c r="T94" i="30"/>
  <c r="N94" i="30"/>
  <c r="Z94" i="30"/>
  <c r="Q152" i="30"/>
  <c r="N152" i="30"/>
  <c r="T152" i="30"/>
  <c r="Z152" i="30"/>
  <c r="W152" i="30"/>
  <c r="N135" i="30"/>
  <c r="W135" i="30"/>
  <c r="Q135" i="30"/>
  <c r="Z135" i="30"/>
  <c r="T135" i="30"/>
  <c r="Z130" i="30"/>
  <c r="T130" i="30"/>
  <c r="N130" i="30"/>
  <c r="W130" i="30"/>
  <c r="Q130" i="30"/>
  <c r="W117" i="30"/>
  <c r="Q117" i="30"/>
  <c r="N117" i="30"/>
  <c r="Z117" i="30"/>
  <c r="T117" i="30"/>
  <c r="W133" i="30"/>
  <c r="Q133" i="30"/>
  <c r="N133" i="30"/>
  <c r="Z133" i="30"/>
  <c r="T133" i="30"/>
  <c r="Q162" i="30"/>
  <c r="W162" i="30"/>
  <c r="T162" i="30"/>
  <c r="N162" i="30"/>
  <c r="Z162" i="30"/>
  <c r="Z159" i="30"/>
  <c r="T159" i="30"/>
  <c r="N159" i="30"/>
  <c r="W159" i="30"/>
  <c r="Q159" i="30"/>
  <c r="T166" i="30"/>
  <c r="W166" i="30"/>
  <c r="Z166" i="30"/>
  <c r="Q166" i="30"/>
  <c r="N166" i="30"/>
  <c r="W168" i="30"/>
  <c r="Q168" i="30"/>
  <c r="T168" i="30"/>
  <c r="Z168" i="30"/>
  <c r="N168" i="30"/>
  <c r="W172" i="30"/>
  <c r="Q172" i="30"/>
  <c r="T172" i="30"/>
  <c r="N172" i="30"/>
  <c r="Z172" i="30"/>
  <c r="Z66" i="30"/>
  <c r="Q66" i="30"/>
  <c r="N66" i="30"/>
  <c r="W66" i="30"/>
  <c r="T66" i="30"/>
  <c r="Z79" i="30"/>
  <c r="T79" i="30"/>
  <c r="N79" i="30"/>
  <c r="W79" i="30"/>
  <c r="Q79" i="30"/>
  <c r="W100" i="30"/>
  <c r="Q100" i="30"/>
  <c r="N100" i="30"/>
  <c r="Z100" i="30"/>
  <c r="T100" i="30"/>
  <c r="W178" i="30"/>
  <c r="Q178" i="30"/>
  <c r="N178" i="30"/>
  <c r="T178" i="30"/>
  <c r="Z178" i="30"/>
  <c r="T26" i="30"/>
  <c r="Z26" i="30"/>
  <c r="N26" i="30"/>
  <c r="W26" i="30"/>
  <c r="Q26" i="30"/>
  <c r="Z72" i="30"/>
  <c r="N72" i="30"/>
  <c r="W72" i="30"/>
  <c r="T72" i="30"/>
  <c r="Q72" i="30"/>
  <c r="Q63" i="30"/>
  <c r="Z63" i="30"/>
  <c r="W63" i="30"/>
  <c r="N63" i="30"/>
  <c r="T63" i="30"/>
  <c r="N99" i="30"/>
  <c r="Q99" i="30"/>
  <c r="Z99" i="30"/>
  <c r="T99" i="30"/>
  <c r="W99" i="30"/>
  <c r="Z38" i="30"/>
  <c r="T38" i="30"/>
  <c r="N38" i="30"/>
  <c r="W38" i="30"/>
  <c r="Q38" i="30"/>
  <c r="N106" i="30"/>
  <c r="T106" i="30"/>
  <c r="W106" i="30"/>
  <c r="Q106" i="30"/>
  <c r="Z106" i="30"/>
  <c r="T54" i="30"/>
  <c r="Z54" i="30"/>
  <c r="Q54" i="30"/>
  <c r="W54" i="30"/>
  <c r="N54" i="30"/>
  <c r="Z75" i="30"/>
  <c r="W75" i="30"/>
  <c r="T75" i="30"/>
  <c r="N75" i="30"/>
  <c r="Q75" i="30"/>
  <c r="T93" i="30"/>
  <c r="W93" i="30"/>
  <c r="N93" i="30"/>
  <c r="Z93" i="30"/>
  <c r="Q93" i="30"/>
  <c r="W40" i="30"/>
  <c r="Q40" i="30"/>
  <c r="N40" i="30"/>
  <c r="T40" i="30"/>
  <c r="Z40" i="30"/>
  <c r="W76" i="30"/>
  <c r="Q76" i="30"/>
  <c r="Z76" i="30"/>
  <c r="T76" i="30"/>
  <c r="N76" i="30"/>
  <c r="N118" i="30"/>
  <c r="W118" i="30"/>
  <c r="Z118" i="30"/>
  <c r="T118" i="30"/>
  <c r="Q118" i="30"/>
  <c r="W35" i="30"/>
  <c r="Q35" i="30"/>
  <c r="T35" i="30"/>
  <c r="Z35" i="30"/>
  <c r="N35" i="30"/>
  <c r="Z71" i="30"/>
  <c r="T71" i="30"/>
  <c r="N71" i="30"/>
  <c r="W71" i="30"/>
  <c r="Q71" i="30"/>
  <c r="Z120" i="30"/>
  <c r="T120" i="30"/>
  <c r="N120" i="30"/>
  <c r="Q120" i="30"/>
  <c r="W120" i="30"/>
  <c r="Z87" i="30"/>
  <c r="N87" i="30"/>
  <c r="Q87" i="30"/>
  <c r="W87" i="30"/>
  <c r="T87" i="30"/>
  <c r="T110" i="30"/>
  <c r="Z110" i="30"/>
  <c r="W110" i="30"/>
  <c r="N110" i="30"/>
  <c r="Q110" i="30"/>
  <c r="W95" i="30"/>
  <c r="Q95" i="30"/>
  <c r="T95" i="30"/>
  <c r="N95" i="30"/>
  <c r="Z95" i="30"/>
  <c r="Z142" i="30"/>
  <c r="T142" i="30"/>
  <c r="N142" i="30"/>
  <c r="Q142" i="30"/>
  <c r="W142" i="30"/>
  <c r="Z150" i="30"/>
  <c r="N150" i="30"/>
  <c r="W150" i="30"/>
  <c r="T150" i="30"/>
  <c r="Q150" i="30"/>
  <c r="Z143" i="30"/>
  <c r="T143" i="30"/>
  <c r="N143" i="30"/>
  <c r="W143" i="30"/>
  <c r="Q143" i="30"/>
  <c r="W145" i="30"/>
  <c r="Q145" i="30"/>
  <c r="T145" i="30"/>
  <c r="N145" i="30"/>
  <c r="Z145" i="30"/>
  <c r="W134" i="30"/>
  <c r="Q134" i="30"/>
  <c r="N134" i="30"/>
  <c r="T134" i="30"/>
  <c r="Z134" i="30"/>
  <c r="W149" i="30"/>
  <c r="Q149" i="30"/>
  <c r="Z149" i="30"/>
  <c r="T149" i="30"/>
  <c r="N149" i="30"/>
  <c r="W161" i="30"/>
  <c r="Q161" i="30"/>
  <c r="N161" i="30"/>
  <c r="T161" i="30"/>
  <c r="Z161" i="30"/>
  <c r="Z173" i="30"/>
  <c r="Q173" i="30"/>
  <c r="N173" i="30"/>
  <c r="W173" i="30"/>
  <c r="T173" i="30"/>
  <c r="Q29" i="30"/>
  <c r="W29" i="30"/>
  <c r="N29" i="30"/>
  <c r="Z29" i="30"/>
  <c r="T29" i="30"/>
  <c r="Z73" i="30"/>
  <c r="T73" i="30"/>
  <c r="N73" i="30"/>
  <c r="W73" i="30"/>
  <c r="Q73" i="30"/>
  <c r="W69" i="30"/>
  <c r="T69" i="30"/>
  <c r="Q69" i="30"/>
  <c r="Z69" i="30"/>
  <c r="N69" i="30"/>
  <c r="Z28" i="30"/>
  <c r="T28" i="30"/>
  <c r="N28" i="30"/>
  <c r="W28" i="30"/>
  <c r="Q28" i="30"/>
  <c r="W39" i="30"/>
  <c r="N39" i="30"/>
  <c r="T39" i="30"/>
  <c r="Z39" i="30"/>
  <c r="Q39" i="30"/>
  <c r="T36" i="30"/>
  <c r="Z36" i="30"/>
  <c r="Q36" i="30"/>
  <c r="W36" i="30"/>
  <c r="N36" i="30"/>
  <c r="W25" i="30"/>
  <c r="Q25" i="30"/>
  <c r="Z25" i="30"/>
  <c r="T25" i="30"/>
  <c r="N25" i="30"/>
  <c r="Q78" i="30"/>
  <c r="Z78" i="30"/>
  <c r="N78" i="30"/>
  <c r="W78" i="30"/>
  <c r="T78" i="30"/>
  <c r="Z103" i="30"/>
  <c r="T103" i="30"/>
  <c r="N103" i="30"/>
  <c r="W103" i="30"/>
  <c r="Q103" i="30"/>
  <c r="W46" i="30"/>
  <c r="Q46" i="30"/>
  <c r="Z46" i="30"/>
  <c r="N46" i="30"/>
  <c r="T46" i="30"/>
  <c r="W82" i="30"/>
  <c r="Q82" i="30"/>
  <c r="N82" i="30"/>
  <c r="Z82" i="30"/>
  <c r="T82" i="30"/>
  <c r="Z124" i="30"/>
  <c r="Q124" i="30"/>
  <c r="N124" i="30"/>
  <c r="W124" i="30"/>
  <c r="T124" i="30"/>
  <c r="W41" i="30"/>
  <c r="Q41" i="30"/>
  <c r="N41" i="30"/>
  <c r="T41" i="30"/>
  <c r="Z41" i="30"/>
  <c r="Z77" i="30"/>
  <c r="T77" i="30"/>
  <c r="N77" i="30"/>
  <c r="W77" i="30"/>
  <c r="Q77" i="30"/>
  <c r="Q121" i="30"/>
  <c r="Z121" i="30"/>
  <c r="T121" i="30"/>
  <c r="W121" i="30"/>
  <c r="N121" i="30"/>
  <c r="N96" i="30"/>
  <c r="W96" i="30"/>
  <c r="T96" i="30"/>
  <c r="Q96" i="30"/>
  <c r="Z96" i="30"/>
  <c r="Z112" i="30"/>
  <c r="N112" i="30"/>
  <c r="T112" i="30"/>
  <c r="Q112" i="30"/>
  <c r="W112" i="30"/>
  <c r="W101" i="30"/>
  <c r="Q101" i="30"/>
  <c r="N101" i="30"/>
  <c r="Z101" i="30"/>
  <c r="T101" i="30"/>
  <c r="W116" i="30"/>
  <c r="Q116" i="30"/>
  <c r="N116" i="30"/>
  <c r="T116" i="30"/>
  <c r="Z116" i="30"/>
  <c r="Z164" i="30"/>
  <c r="T164" i="30"/>
  <c r="N164" i="30"/>
  <c r="Q164" i="30"/>
  <c r="W164" i="30"/>
  <c r="T144" i="30"/>
  <c r="Q144" i="30"/>
  <c r="Z144" i="30"/>
  <c r="N144" i="30"/>
  <c r="W144" i="30"/>
  <c r="Z151" i="30"/>
  <c r="Q151" i="30"/>
  <c r="T151" i="30"/>
  <c r="W151" i="30"/>
  <c r="N151" i="30"/>
  <c r="W140" i="30"/>
  <c r="Q140" i="30"/>
  <c r="Z140" i="30"/>
  <c r="N140" i="30"/>
  <c r="T140" i="30"/>
  <c r="Z163" i="30"/>
  <c r="N163" i="30"/>
  <c r="W163" i="30"/>
  <c r="T163" i="30"/>
  <c r="Q163" i="30"/>
  <c r="W167" i="30"/>
  <c r="Q167" i="30"/>
  <c r="T167" i="30"/>
  <c r="Z167" i="30"/>
  <c r="N167" i="30"/>
  <c r="Z174" i="30"/>
  <c r="T174" i="30"/>
  <c r="N174" i="30"/>
  <c r="W174" i="30"/>
  <c r="Q174" i="30"/>
  <c r="J16" i="25" l="1"/>
  <c r="J16" i="38" s="1"/>
  <c r="J17" i="36"/>
  <c r="J15" i="24"/>
  <c r="J15" i="37" s="1"/>
  <c r="J16" i="35"/>
  <c r="T176" i="31"/>
  <c r="Q176" i="31"/>
  <c r="W176" i="31"/>
  <c r="N176" i="31"/>
  <c r="Z21" i="31"/>
  <c r="T21" i="31"/>
  <c r="N21" i="31"/>
  <c r="W21" i="31"/>
  <c r="Q21" i="31"/>
  <c r="Z22" i="31"/>
  <c r="T22" i="31"/>
  <c r="N22" i="31"/>
  <c r="Q22" i="31"/>
  <c r="W22" i="31"/>
  <c r="Z11" i="31"/>
  <c r="T11" i="31"/>
  <c r="N11" i="31"/>
  <c r="W11" i="31"/>
  <c r="Q11" i="31"/>
  <c r="W13" i="31"/>
  <c r="Q13" i="31"/>
  <c r="Z13" i="31"/>
  <c r="T13" i="31"/>
  <c r="N13" i="31"/>
  <c r="Z17" i="31"/>
  <c r="T17" i="31"/>
  <c r="N17" i="31"/>
  <c r="W17" i="31"/>
  <c r="Q17" i="31"/>
  <c r="N19" i="31"/>
  <c r="W19" i="31"/>
  <c r="Q19" i="31"/>
  <c r="T19" i="31"/>
  <c r="Z19" i="31"/>
  <c r="W12" i="31"/>
  <c r="Q12" i="31"/>
  <c r="Z12" i="31"/>
  <c r="T12" i="31"/>
  <c r="N12" i="31"/>
  <c r="W14" i="31"/>
  <c r="Q14" i="31"/>
  <c r="Z14" i="31"/>
  <c r="T14" i="31"/>
  <c r="N14" i="31"/>
  <c r="W18" i="31"/>
  <c r="Q18" i="31"/>
  <c r="Z18" i="31"/>
  <c r="T18" i="31"/>
  <c r="N18" i="31"/>
  <c r="W20" i="31"/>
  <c r="Q20" i="31"/>
  <c r="Z20" i="31"/>
  <c r="T20" i="31"/>
  <c r="N20" i="31"/>
  <c r="Z15" i="31"/>
  <c r="T15" i="31"/>
  <c r="N15" i="31"/>
  <c r="W15" i="31"/>
  <c r="Q15" i="31"/>
  <c r="Z16" i="31"/>
  <c r="T16" i="31"/>
  <c r="N16" i="31"/>
  <c r="W16" i="31"/>
  <c r="Q16" i="31"/>
  <c r="N113" i="31"/>
  <c r="Q42" i="31"/>
  <c r="W75" i="31"/>
  <c r="W178" i="31"/>
  <c r="T26" i="31"/>
  <c r="Z104" i="31"/>
  <c r="W60" i="31"/>
  <c r="N55" i="31"/>
  <c r="Z99" i="31"/>
  <c r="W112" i="31"/>
  <c r="T148" i="31"/>
  <c r="N52" i="31"/>
  <c r="T163" i="31"/>
  <c r="Q163" i="31"/>
  <c r="N92" i="31"/>
  <c r="Z51" i="31"/>
  <c r="T141" i="31"/>
  <c r="W152" i="31"/>
  <c r="N60" i="31"/>
  <c r="T75" i="31"/>
  <c r="Q171" i="31"/>
  <c r="Q75" i="31"/>
  <c r="W62" i="31"/>
  <c r="Q94" i="31"/>
  <c r="Q152" i="31"/>
  <c r="T61" i="31"/>
  <c r="N174" i="31"/>
  <c r="Q116" i="31"/>
  <c r="Q60" i="31"/>
  <c r="N75" i="31"/>
  <c r="N26" i="31"/>
  <c r="W121" i="31"/>
  <c r="T112" i="31"/>
  <c r="Z26" i="31"/>
  <c r="N139" i="31"/>
  <c r="W128" i="31"/>
  <c r="Z128" i="31"/>
  <c r="Z174" i="31"/>
  <c r="W164" i="31"/>
  <c r="Z133" i="31"/>
  <c r="T60" i="31"/>
  <c r="W79" i="31"/>
  <c r="W27" i="31"/>
  <c r="N164" i="31"/>
  <c r="N23" i="31"/>
  <c r="Z159" i="31"/>
  <c r="Q128" i="31"/>
  <c r="W159" i="31"/>
  <c r="N48" i="31"/>
  <c r="T174" i="31"/>
  <c r="T159" i="31"/>
  <c r="Q164" i="31"/>
  <c r="N152" i="31"/>
  <c r="T137" i="31"/>
  <c r="Q112" i="31"/>
  <c r="Q92" i="31"/>
  <c r="T23" i="31"/>
  <c r="W161" i="31"/>
  <c r="N84" i="31"/>
  <c r="W59" i="31"/>
  <c r="Z84" i="31"/>
  <c r="T170" i="31"/>
  <c r="N175" i="31"/>
  <c r="W160" i="31"/>
  <c r="Q125" i="31"/>
  <c r="N128" i="31"/>
  <c r="Z112" i="31"/>
  <c r="T68" i="31"/>
  <c r="Q56" i="31"/>
  <c r="W51" i="31"/>
  <c r="T43" i="31"/>
  <c r="N154" i="31"/>
  <c r="Q36" i="31"/>
  <c r="Q178" i="31"/>
  <c r="Q167" i="31"/>
  <c r="Q175" i="31"/>
  <c r="Z164" i="31"/>
  <c r="W148" i="31"/>
  <c r="N137" i="31"/>
  <c r="Q124" i="31"/>
  <c r="N108" i="31"/>
  <c r="N72" i="31"/>
  <c r="N79" i="31"/>
  <c r="Z71" i="31"/>
  <c r="T34" i="31"/>
  <c r="W23" i="31"/>
  <c r="W127" i="31"/>
  <c r="T118" i="31"/>
  <c r="Q158" i="31"/>
  <c r="W174" i="31"/>
  <c r="N159" i="31"/>
  <c r="Q168" i="31"/>
  <c r="Z141" i="31"/>
  <c r="N148" i="31"/>
  <c r="W76" i="31"/>
  <c r="N47" i="31"/>
  <c r="Q26" i="31"/>
  <c r="N157" i="31"/>
  <c r="Z135" i="31"/>
  <c r="Q46" i="31"/>
  <c r="W28" i="31"/>
  <c r="Z101" i="31"/>
  <c r="Z110" i="31"/>
  <c r="Z77" i="31"/>
  <c r="Q150" i="31"/>
  <c r="W86" i="31"/>
  <c r="Z53" i="31"/>
  <c r="N163" i="31"/>
  <c r="T175" i="31"/>
  <c r="Q141" i="31"/>
  <c r="Z148" i="31"/>
  <c r="T113" i="31"/>
  <c r="W92" i="31"/>
  <c r="T72" i="31"/>
  <c r="Q83" i="31"/>
  <c r="W42" i="31"/>
  <c r="Z43" i="31"/>
  <c r="Z163" i="31"/>
  <c r="Z175" i="31"/>
  <c r="W141" i="31"/>
  <c r="Z152" i="31"/>
  <c r="Q133" i="31"/>
  <c r="Q109" i="31"/>
  <c r="Q104" i="31"/>
  <c r="N88" i="31"/>
  <c r="Z72" i="31"/>
  <c r="Z52" i="31"/>
  <c r="W83" i="31"/>
  <c r="Q51" i="31"/>
  <c r="W47" i="31"/>
  <c r="N38" i="31"/>
  <c r="Q31" i="31"/>
  <c r="Q23" i="31"/>
  <c r="W177" i="31"/>
  <c r="Q134" i="31"/>
  <c r="T102" i="31"/>
  <c r="Z93" i="31"/>
  <c r="Z25" i="31"/>
  <c r="Q72" i="31"/>
  <c r="Q52" i="31"/>
  <c r="Q43" i="31"/>
  <c r="N31" i="31"/>
  <c r="Q147" i="31"/>
  <c r="T92" i="31"/>
  <c r="W52" i="31"/>
  <c r="N51" i="31"/>
  <c r="T47" i="31"/>
  <c r="W43" i="31"/>
  <c r="Z31" i="31"/>
  <c r="Z119" i="31"/>
  <c r="W108" i="31"/>
  <c r="Z63" i="31"/>
  <c r="Z47" i="31"/>
  <c r="Q27" i="31"/>
  <c r="T161" i="31"/>
  <c r="T27" i="31"/>
  <c r="T84" i="31"/>
  <c r="W56" i="31"/>
  <c r="W139" i="31"/>
  <c r="W44" i="31"/>
  <c r="N170" i="31"/>
  <c r="N155" i="31"/>
  <c r="Q120" i="31"/>
  <c r="T80" i="31"/>
  <c r="Q103" i="31"/>
  <c r="W169" i="31"/>
  <c r="Z177" i="31"/>
  <c r="Z155" i="31"/>
  <c r="T109" i="31"/>
  <c r="W120" i="31"/>
  <c r="Q100" i="31"/>
  <c r="Z80" i="31"/>
  <c r="W103" i="31"/>
  <c r="N30" i="31"/>
  <c r="Z39" i="31"/>
  <c r="Z169" i="31"/>
  <c r="W126" i="31"/>
  <c r="N69" i="31"/>
  <c r="Q41" i="31"/>
  <c r="Q155" i="31"/>
  <c r="Z109" i="31"/>
  <c r="N120" i="31"/>
  <c r="W100" i="31"/>
  <c r="Q80" i="31"/>
  <c r="Q59" i="31"/>
  <c r="T30" i="31"/>
  <c r="Q35" i="31"/>
  <c r="W166" i="31"/>
  <c r="T138" i="31"/>
  <c r="N126" i="31"/>
  <c r="Z69" i="31"/>
  <c r="W41" i="31"/>
  <c r="W129" i="31"/>
  <c r="T153" i="31"/>
  <c r="Z151" i="31"/>
  <c r="T67" i="31"/>
  <c r="Q145" i="31"/>
  <c r="Q144" i="31"/>
  <c r="Z156" i="31"/>
  <c r="Z136" i="31"/>
  <c r="T64" i="31"/>
  <c r="W173" i="31"/>
  <c r="W119" i="31"/>
  <c r="N78" i="31"/>
  <c r="T85" i="31"/>
  <c r="W45" i="31"/>
  <c r="T33" i="31"/>
  <c r="T132" i="31"/>
  <c r="Q111" i="31"/>
  <c r="N102" i="31"/>
  <c r="Q70" i="31"/>
  <c r="N45" i="31"/>
  <c r="N166" i="31"/>
  <c r="W156" i="31"/>
  <c r="T144" i="31"/>
  <c r="N121" i="31"/>
  <c r="Z113" i="31"/>
  <c r="W104" i="31"/>
  <c r="N83" i="31"/>
  <c r="Z102" i="31"/>
  <c r="T178" i="31"/>
  <c r="Z170" i="31"/>
  <c r="W155" i="31"/>
  <c r="T145" i="31"/>
  <c r="Q156" i="31"/>
  <c r="Z144" i="31"/>
  <c r="N133" i="31"/>
  <c r="T129" i="31"/>
  <c r="T121" i="31"/>
  <c r="Z117" i="31"/>
  <c r="Q113" i="31"/>
  <c r="W109" i="31"/>
  <c r="Q132" i="31"/>
  <c r="N124" i="31"/>
  <c r="T120" i="31"/>
  <c r="Z108" i="31"/>
  <c r="N100" i="31"/>
  <c r="Z88" i="31"/>
  <c r="Q84" i="31"/>
  <c r="W80" i="31"/>
  <c r="W64" i="31"/>
  <c r="N56" i="31"/>
  <c r="N44" i="31"/>
  <c r="N103" i="31"/>
  <c r="N87" i="31"/>
  <c r="T83" i="31"/>
  <c r="Z79" i="31"/>
  <c r="W63" i="31"/>
  <c r="T59" i="31"/>
  <c r="Z38" i="31"/>
  <c r="Z30" i="31"/>
  <c r="W39" i="31"/>
  <c r="W31" i="31"/>
  <c r="N27" i="31"/>
  <c r="Z172" i="31"/>
  <c r="Z161" i="31"/>
  <c r="N149" i="31"/>
  <c r="T147" i="31"/>
  <c r="Q162" i="31"/>
  <c r="W154" i="31"/>
  <c r="W142" i="31"/>
  <c r="W102" i="31"/>
  <c r="Z78" i="31"/>
  <c r="T54" i="31"/>
  <c r="Q93" i="31"/>
  <c r="Z41" i="31"/>
  <c r="Q136" i="31"/>
  <c r="Z132" i="31"/>
  <c r="Z64" i="31"/>
  <c r="Q87" i="31"/>
  <c r="Z153" i="31"/>
  <c r="W151" i="31"/>
  <c r="N129" i="31"/>
  <c r="W124" i="31"/>
  <c r="T108" i="31"/>
  <c r="T88" i="31"/>
  <c r="W87" i="31"/>
  <c r="Q63" i="31"/>
  <c r="W153" i="31"/>
  <c r="Z146" i="31"/>
  <c r="Z126" i="31"/>
  <c r="T78" i="31"/>
  <c r="N54" i="31"/>
  <c r="Z45" i="31"/>
  <c r="N41" i="31"/>
  <c r="N178" i="31"/>
  <c r="Q170" i="31"/>
  <c r="T151" i="31"/>
  <c r="N145" i="31"/>
  <c r="N156" i="31"/>
  <c r="T136" i="31"/>
  <c r="T133" i="31"/>
  <c r="Z129" i="31"/>
  <c r="Z121" i="31"/>
  <c r="Q117" i="31"/>
  <c r="W137" i="31"/>
  <c r="W132" i="31"/>
  <c r="T124" i="31"/>
  <c r="N104" i="31"/>
  <c r="T100" i="31"/>
  <c r="Q88" i="31"/>
  <c r="T56" i="31"/>
  <c r="Z44" i="31"/>
  <c r="T103" i="31"/>
  <c r="T87" i="31"/>
  <c r="W67" i="31"/>
  <c r="N63" i="31"/>
  <c r="Z59" i="31"/>
  <c r="T42" i="31"/>
  <c r="Q38" i="31"/>
  <c r="W30" i="31"/>
  <c r="N39" i="31"/>
  <c r="Q172" i="31"/>
  <c r="Q149" i="31"/>
  <c r="N162" i="31"/>
  <c r="N142" i="31"/>
  <c r="N119" i="31"/>
  <c r="W78" i="31"/>
  <c r="Z54" i="31"/>
  <c r="W93" i="31"/>
  <c r="Q69" i="31"/>
  <c r="Q151" i="31"/>
  <c r="W145" i="31"/>
  <c r="N144" i="31"/>
  <c r="N117" i="31"/>
  <c r="Z67" i="31"/>
  <c r="N146" i="31"/>
  <c r="W136" i="31"/>
  <c r="T117" i="31"/>
  <c r="Z137" i="31"/>
  <c r="Q64" i="31"/>
  <c r="T44" i="31"/>
  <c r="T79" i="31"/>
  <c r="Z166" i="31"/>
  <c r="N67" i="31"/>
  <c r="Z42" i="31"/>
  <c r="W38" i="31"/>
  <c r="T39" i="31"/>
  <c r="W172" i="31"/>
  <c r="W149" i="31"/>
  <c r="Z147" i="31"/>
  <c r="Z162" i="31"/>
  <c r="Z154" i="31"/>
  <c r="T142" i="31"/>
  <c r="T119" i="31"/>
  <c r="Q126" i="31"/>
  <c r="W54" i="31"/>
  <c r="N93" i="31"/>
  <c r="W69" i="31"/>
  <c r="Q45" i="31"/>
  <c r="W167" i="31"/>
  <c r="N168" i="31"/>
  <c r="W116" i="31"/>
  <c r="N96" i="31"/>
  <c r="Q95" i="31"/>
  <c r="T55" i="31"/>
  <c r="Z34" i="31"/>
  <c r="W35" i="31"/>
  <c r="N172" i="31"/>
  <c r="T165" i="31"/>
  <c r="Z149" i="31"/>
  <c r="Q173" i="31"/>
  <c r="N143" i="31"/>
  <c r="T162" i="31"/>
  <c r="N158" i="31"/>
  <c r="W146" i="31"/>
  <c r="Z142" i="31"/>
  <c r="W134" i="31"/>
  <c r="W111" i="31"/>
  <c r="Z118" i="31"/>
  <c r="W94" i="31"/>
  <c r="W70" i="31"/>
  <c r="W46" i="31"/>
  <c r="Z85" i="31"/>
  <c r="Z61" i="31"/>
  <c r="W36" i="31"/>
  <c r="Z33" i="31"/>
  <c r="T168" i="31"/>
  <c r="N116" i="31"/>
  <c r="T96" i="31"/>
  <c r="N76" i="31"/>
  <c r="Q99" i="31"/>
  <c r="W95" i="31"/>
  <c r="Q71" i="31"/>
  <c r="Z55" i="31"/>
  <c r="Q34" i="31"/>
  <c r="N35" i="31"/>
  <c r="N165" i="31"/>
  <c r="N173" i="31"/>
  <c r="T158" i="31"/>
  <c r="T167" i="31"/>
  <c r="Z168" i="31"/>
  <c r="T116" i="31"/>
  <c r="Z96" i="31"/>
  <c r="T76" i="31"/>
  <c r="W99" i="31"/>
  <c r="N95" i="31"/>
  <c r="W71" i="31"/>
  <c r="W34" i="31"/>
  <c r="T35" i="31"/>
  <c r="Z165" i="31"/>
  <c r="T173" i="31"/>
  <c r="T134" i="31"/>
  <c r="N111" i="31"/>
  <c r="Q118" i="31"/>
  <c r="N94" i="31"/>
  <c r="N70" i="31"/>
  <c r="N46" i="31"/>
  <c r="Q85" i="31"/>
  <c r="Q61" i="31"/>
  <c r="N36" i="31"/>
  <c r="Q33" i="31"/>
  <c r="N167" i="31"/>
  <c r="I183" i="31"/>
  <c r="K183" i="31" s="1"/>
  <c r="Q96" i="31"/>
  <c r="Z76" i="31"/>
  <c r="N99" i="31"/>
  <c r="T95" i="31"/>
  <c r="N71" i="31"/>
  <c r="Q55" i="31"/>
  <c r="Q165" i="31"/>
  <c r="N134" i="31"/>
  <c r="T111" i="31"/>
  <c r="W118" i="31"/>
  <c r="T94" i="31"/>
  <c r="T70" i="31"/>
  <c r="T46" i="31"/>
  <c r="W85" i="31"/>
  <c r="W61" i="31"/>
  <c r="T36" i="31"/>
  <c r="W33" i="31"/>
  <c r="W158" i="31"/>
  <c r="N171" i="31"/>
  <c r="Q160" i="31"/>
  <c r="Q140" i="31"/>
  <c r="W125" i="31"/>
  <c r="Z68" i="31"/>
  <c r="T48" i="31"/>
  <c r="Q91" i="31"/>
  <c r="Q169" i="31"/>
  <c r="Z157" i="31"/>
  <c r="N177" i="31"/>
  <c r="Z143" i="31"/>
  <c r="Z139" i="31"/>
  <c r="N150" i="31"/>
  <c r="Z138" i="31"/>
  <c r="T171" i="31"/>
  <c r="N160" i="31"/>
  <c r="W140" i="31"/>
  <c r="Q68" i="31"/>
  <c r="Z48" i="31"/>
  <c r="W91" i="31"/>
  <c r="Q157" i="31"/>
  <c r="Q143" i="31"/>
  <c r="T150" i="31"/>
  <c r="N127" i="31"/>
  <c r="W135" i="31"/>
  <c r="Q110" i="31"/>
  <c r="N86" i="31"/>
  <c r="N62" i="31"/>
  <c r="Q101" i="31"/>
  <c r="Q77" i="31"/>
  <c r="Q53" i="31"/>
  <c r="N28" i="31"/>
  <c r="Q25" i="31"/>
  <c r="Z171" i="31"/>
  <c r="T160" i="31"/>
  <c r="N140" i="31"/>
  <c r="N125" i="31"/>
  <c r="W68" i="31"/>
  <c r="Q48" i="31"/>
  <c r="N91" i="31"/>
  <c r="W157" i="31"/>
  <c r="W143" i="31"/>
  <c r="Z150" i="31"/>
  <c r="T127" i="31"/>
  <c r="Q135" i="31"/>
  <c r="W110" i="31"/>
  <c r="T86" i="31"/>
  <c r="T62" i="31"/>
  <c r="W101" i="31"/>
  <c r="W77" i="31"/>
  <c r="W53" i="31"/>
  <c r="T28" i="31"/>
  <c r="W25" i="31"/>
  <c r="T140" i="31"/>
  <c r="T125" i="31"/>
  <c r="T91" i="31"/>
  <c r="Z127" i="31"/>
  <c r="N135" i="31"/>
  <c r="N110" i="31"/>
  <c r="Z86" i="31"/>
  <c r="Z62" i="31"/>
  <c r="N101" i="31"/>
  <c r="N77" i="31"/>
  <c r="N53" i="31"/>
  <c r="Z28" i="31"/>
  <c r="N25" i="31"/>
  <c r="W131" i="31"/>
  <c r="Z131" i="31"/>
  <c r="N131" i="31"/>
  <c r="W123" i="31"/>
  <c r="Z123" i="31"/>
  <c r="N123" i="31"/>
  <c r="W115" i="31"/>
  <c r="Z115" i="31"/>
  <c r="N115" i="31"/>
  <c r="W107" i="31"/>
  <c r="Z107" i="31"/>
  <c r="N107" i="31"/>
  <c r="Z130" i="31"/>
  <c r="N130" i="31"/>
  <c r="Q130" i="31"/>
  <c r="Z122" i="31"/>
  <c r="N122" i="31"/>
  <c r="Q122" i="31"/>
  <c r="Z114" i="31"/>
  <c r="N114" i="31"/>
  <c r="Q114" i="31"/>
  <c r="Z106" i="31"/>
  <c r="N106" i="31"/>
  <c r="Q106" i="31"/>
  <c r="W98" i="31"/>
  <c r="Z98" i="31"/>
  <c r="N98" i="31"/>
  <c r="W90" i="31"/>
  <c r="Z90" i="31"/>
  <c r="N90" i="31"/>
  <c r="W82" i="31"/>
  <c r="Z82" i="31"/>
  <c r="N82" i="31"/>
  <c r="W74" i="31"/>
  <c r="Z74" i="31"/>
  <c r="N74" i="31"/>
  <c r="W66" i="31"/>
  <c r="Z66" i="31"/>
  <c r="N66" i="31"/>
  <c r="W58" i="31"/>
  <c r="Z58" i="31"/>
  <c r="N58" i="31"/>
  <c r="W50" i="31"/>
  <c r="Z50" i="31"/>
  <c r="N50" i="31"/>
  <c r="W105" i="31"/>
  <c r="Z105" i="31"/>
  <c r="N105" i="31"/>
  <c r="Z97" i="31"/>
  <c r="N97" i="31"/>
  <c r="Q97" i="31"/>
  <c r="Z89" i="31"/>
  <c r="N89" i="31"/>
  <c r="Q89" i="31"/>
  <c r="Z81" i="31"/>
  <c r="N81" i="31"/>
  <c r="Q81" i="31"/>
  <c r="Z73" i="31"/>
  <c r="N73" i="31"/>
  <c r="Q73" i="31"/>
  <c r="Z65" i="31"/>
  <c r="N65" i="31"/>
  <c r="Q65" i="31"/>
  <c r="Z57" i="31"/>
  <c r="N57" i="31"/>
  <c r="Q57" i="31"/>
  <c r="Z49" i="31"/>
  <c r="N49" i="31"/>
  <c r="Q49" i="31"/>
  <c r="W40" i="31"/>
  <c r="Z40" i="31"/>
  <c r="N40" i="31"/>
  <c r="W32" i="31"/>
  <c r="Z32" i="31"/>
  <c r="N32" i="31"/>
  <c r="W24" i="31"/>
  <c r="Z24" i="31"/>
  <c r="N24" i="31"/>
  <c r="Z37" i="31"/>
  <c r="N37" i="31"/>
  <c r="Q37" i="31"/>
  <c r="Z29" i="31"/>
  <c r="N29" i="31"/>
  <c r="Q29" i="31"/>
  <c r="N169" i="31"/>
  <c r="N161" i="31"/>
  <c r="N153" i="31"/>
  <c r="Q177" i="31"/>
  <c r="N147" i="31"/>
  <c r="Q166" i="31"/>
  <c r="T139" i="31"/>
  <c r="Q154" i="31"/>
  <c r="Q146" i="31"/>
  <c r="N138" i="31"/>
  <c r="Q138" i="31"/>
  <c r="T131" i="31"/>
  <c r="Q123" i="31"/>
  <c r="T115" i="31"/>
  <c r="Q107" i="31"/>
  <c r="W130" i="31"/>
  <c r="T122" i="31"/>
  <c r="W114" i="31"/>
  <c r="T106" i="31"/>
  <c r="T98" i="31"/>
  <c r="Q90" i="31"/>
  <c r="T82" i="31"/>
  <c r="Q74" i="31"/>
  <c r="T66" i="31"/>
  <c r="Q58" i="31"/>
  <c r="T50" i="31"/>
  <c r="Q105" i="31"/>
  <c r="W97" i="31"/>
  <c r="T89" i="31"/>
  <c r="W81" i="31"/>
  <c r="T73" i="31"/>
  <c r="W65" i="31"/>
  <c r="T57" i="31"/>
  <c r="W49" i="31"/>
  <c r="Q40" i="31"/>
  <c r="T32" i="31"/>
  <c r="Q24" i="31"/>
  <c r="W37" i="31"/>
  <c r="T29" i="31"/>
  <c r="W182" i="31"/>
  <c r="X182" i="31" s="1"/>
  <c r="Q182" i="31"/>
  <c r="R182" i="31" s="1"/>
  <c r="Z182" i="31"/>
  <c r="AA182" i="31" s="1"/>
  <c r="T182" i="31"/>
  <c r="U182" i="31" s="1"/>
  <c r="N182" i="31"/>
  <c r="O182" i="31" s="1"/>
  <c r="L182" i="31"/>
  <c r="Z182" i="30"/>
  <c r="AA182" i="30" s="1"/>
  <c r="T182" i="30"/>
  <c r="U182" i="30" s="1"/>
  <c r="N182" i="30"/>
  <c r="O182" i="30" s="1"/>
  <c r="W182" i="30"/>
  <c r="X182" i="30" s="1"/>
  <c r="L182" i="30"/>
  <c r="Q182" i="30"/>
  <c r="R182" i="30" s="1"/>
  <c r="I184" i="30"/>
  <c r="K183" i="30"/>
  <c r="J15" i="25" l="1"/>
  <c r="J15" i="38" s="1"/>
  <c r="J16" i="36"/>
  <c r="J14" i="24"/>
  <c r="J14" i="37" s="1"/>
  <c r="J15" i="35"/>
  <c r="I184" i="31"/>
  <c r="I185" i="31" s="1"/>
  <c r="W183" i="31"/>
  <c r="X183" i="31" s="1"/>
  <c r="Q183" i="31"/>
  <c r="R183" i="31" s="1"/>
  <c r="Z183" i="31"/>
  <c r="AA183" i="31" s="1"/>
  <c r="T183" i="31"/>
  <c r="U183" i="31" s="1"/>
  <c r="N183" i="31"/>
  <c r="O183" i="31" s="1"/>
  <c r="L183" i="31"/>
  <c r="K184" i="30"/>
  <c r="I185" i="30"/>
  <c r="Z183" i="30"/>
  <c r="AA183" i="30" s="1"/>
  <c r="T183" i="30"/>
  <c r="U183" i="30" s="1"/>
  <c r="N183" i="30"/>
  <c r="O183" i="30" s="1"/>
  <c r="Q183" i="30"/>
  <c r="R183" i="30" s="1"/>
  <c r="L183" i="30"/>
  <c r="W183" i="30"/>
  <c r="X183" i="30" s="1"/>
  <c r="E24" i="29"/>
  <c r="J14" i="25" l="1"/>
  <c r="J14" i="38" s="1"/>
  <c r="J15" i="36"/>
  <c r="J13" i="24"/>
  <c r="J13" i="37" s="1"/>
  <c r="J14" i="35"/>
  <c r="K184" i="31"/>
  <c r="T184" i="31" s="1"/>
  <c r="U184" i="31" s="1"/>
  <c r="I186" i="31"/>
  <c r="K185" i="31"/>
  <c r="I186" i="30"/>
  <c r="K185" i="30"/>
  <c r="Z184" i="30"/>
  <c r="AA184" i="30" s="1"/>
  <c r="T184" i="30"/>
  <c r="U184" i="30" s="1"/>
  <c r="N184" i="30"/>
  <c r="O184" i="30" s="1"/>
  <c r="L184" i="30"/>
  <c r="Q184" i="30"/>
  <c r="R184" i="30" s="1"/>
  <c r="W184" i="30"/>
  <c r="X184" i="30" s="1"/>
  <c r="E23" i="29"/>
  <c r="G23" i="29" s="1"/>
  <c r="H23" i="29" s="1"/>
  <c r="E34" i="29"/>
  <c r="E31" i="29"/>
  <c r="E28" i="29"/>
  <c r="G28" i="29" s="1"/>
  <c r="H28" i="29" s="1"/>
  <c r="E25" i="29"/>
  <c r="E33" i="29"/>
  <c r="G33" i="29" s="1"/>
  <c r="H33" i="29" s="1"/>
  <c r="E30" i="29"/>
  <c r="G30" i="29" s="1"/>
  <c r="H30" i="29" s="1"/>
  <c r="E27" i="29"/>
  <c r="G27" i="29" s="1"/>
  <c r="H27" i="29" s="1"/>
  <c r="G24" i="29"/>
  <c r="H24" i="29" s="1"/>
  <c r="E32" i="29"/>
  <c r="G32" i="29" s="1"/>
  <c r="H32" i="29" s="1"/>
  <c r="E29" i="29"/>
  <c r="G29" i="29" s="1"/>
  <c r="H29" i="29" s="1"/>
  <c r="E26" i="29"/>
  <c r="G26" i="29" s="1"/>
  <c r="H26" i="29" s="1"/>
  <c r="J13" i="25" l="1"/>
  <c r="J13" i="38" s="1"/>
  <c r="J14" i="36"/>
  <c r="J12" i="24"/>
  <c r="J12" i="37" s="1"/>
  <c r="J13" i="35"/>
  <c r="L184" i="31"/>
  <c r="Q184" i="31"/>
  <c r="R184" i="31" s="1"/>
  <c r="W184" i="31"/>
  <c r="X184" i="31" s="1"/>
  <c r="Z184" i="31"/>
  <c r="AA184" i="31" s="1"/>
  <c r="N184" i="31"/>
  <c r="O184" i="31" s="1"/>
  <c r="Z185" i="31"/>
  <c r="AA185" i="31" s="1"/>
  <c r="T185" i="31"/>
  <c r="U185" i="31" s="1"/>
  <c r="N185" i="31"/>
  <c r="O185" i="31" s="1"/>
  <c r="L185" i="31"/>
  <c r="W185" i="31"/>
  <c r="X185" i="31" s="1"/>
  <c r="Q185" i="31"/>
  <c r="R185" i="31" s="1"/>
  <c r="I187" i="31"/>
  <c r="K186" i="31"/>
  <c r="Z185" i="30"/>
  <c r="AA185" i="30" s="1"/>
  <c r="T185" i="30"/>
  <c r="U185" i="30" s="1"/>
  <c r="N185" i="30"/>
  <c r="O185" i="30" s="1"/>
  <c r="W185" i="30"/>
  <c r="X185" i="30" s="1"/>
  <c r="Q185" i="30"/>
  <c r="R185" i="30" s="1"/>
  <c r="L185" i="30"/>
  <c r="I187" i="30"/>
  <c r="K186" i="30"/>
  <c r="G25" i="29"/>
  <c r="H25" i="29" s="1"/>
  <c r="G31" i="29"/>
  <c r="H31" i="29" s="1"/>
  <c r="G34" i="29"/>
  <c r="H34" i="29" s="1"/>
  <c r="J12" i="25" l="1"/>
  <c r="J12" i="38" s="1"/>
  <c r="J13" i="36"/>
  <c r="J11" i="24"/>
  <c r="J11" i="37" s="1"/>
  <c r="J12" i="35"/>
  <c r="G115" i="33"/>
  <c r="H115" i="33" s="1"/>
  <c r="G127" i="33"/>
  <c r="H127" i="33" s="1"/>
  <c r="Z186" i="31"/>
  <c r="AA186" i="31" s="1"/>
  <c r="T186" i="31"/>
  <c r="U186" i="31" s="1"/>
  <c r="N186" i="31"/>
  <c r="O186" i="31" s="1"/>
  <c r="L186" i="31"/>
  <c r="W186" i="31"/>
  <c r="X186" i="31" s="1"/>
  <c r="Q186" i="31"/>
  <c r="R186" i="31" s="1"/>
  <c r="I188" i="31"/>
  <c r="K187" i="31"/>
  <c r="Z186" i="30"/>
  <c r="AA186" i="30" s="1"/>
  <c r="T186" i="30"/>
  <c r="U186" i="30" s="1"/>
  <c r="N186" i="30"/>
  <c r="O186" i="30" s="1"/>
  <c r="Q186" i="30"/>
  <c r="R186" i="30" s="1"/>
  <c r="L186" i="30"/>
  <c r="W186" i="30"/>
  <c r="X186" i="30" s="1"/>
  <c r="K187" i="30"/>
  <c r="I188" i="30"/>
  <c r="J11" i="25" l="1"/>
  <c r="J11" i="38" s="1"/>
  <c r="J12" i="36"/>
  <c r="J10" i="24"/>
  <c r="J10" i="37" s="1"/>
  <c r="J11" i="35"/>
  <c r="G114" i="33"/>
  <c r="H114" i="33" s="1"/>
  <c r="G126" i="33"/>
  <c r="H126" i="33" s="1"/>
  <c r="Z187" i="31"/>
  <c r="AA187" i="31" s="1"/>
  <c r="T187" i="31"/>
  <c r="U187" i="31" s="1"/>
  <c r="N187" i="31"/>
  <c r="O187" i="31" s="1"/>
  <c r="L187" i="31"/>
  <c r="W187" i="31"/>
  <c r="X187" i="31" s="1"/>
  <c r="Q187" i="31"/>
  <c r="R187" i="31" s="1"/>
  <c r="I189" i="31"/>
  <c r="K188" i="31"/>
  <c r="I189" i="30"/>
  <c r="K188" i="30"/>
  <c r="Z187" i="30"/>
  <c r="AA187" i="30" s="1"/>
  <c r="T187" i="30"/>
  <c r="U187" i="30" s="1"/>
  <c r="N187" i="30"/>
  <c r="O187" i="30" s="1"/>
  <c r="L187" i="30"/>
  <c r="W187" i="30"/>
  <c r="X187" i="30" s="1"/>
  <c r="Q187" i="30"/>
  <c r="R187" i="30" s="1"/>
  <c r="J10" i="25" l="1"/>
  <c r="J10" i="38" s="1"/>
  <c r="J11" i="36"/>
  <c r="J9" i="24"/>
  <c r="J9" i="37" s="1"/>
  <c r="J10" i="35"/>
  <c r="G113" i="33"/>
  <c r="H113" i="33" s="1"/>
  <c r="G125" i="33"/>
  <c r="H125" i="33" s="1"/>
  <c r="Z188" i="31"/>
  <c r="AA188" i="31" s="1"/>
  <c r="T188" i="31"/>
  <c r="U188" i="31" s="1"/>
  <c r="N188" i="31"/>
  <c r="O188" i="31" s="1"/>
  <c r="L188" i="31"/>
  <c r="W188" i="31"/>
  <c r="X188" i="31" s="1"/>
  <c r="Q188" i="31"/>
  <c r="R188" i="31" s="1"/>
  <c r="I190" i="31"/>
  <c r="K189" i="31"/>
  <c r="Z188" i="30"/>
  <c r="AA188" i="30" s="1"/>
  <c r="T188" i="30"/>
  <c r="U188" i="30" s="1"/>
  <c r="N188" i="30"/>
  <c r="O188" i="30" s="1"/>
  <c r="W188" i="30"/>
  <c r="X188" i="30" s="1"/>
  <c r="L188" i="30"/>
  <c r="Q188" i="30"/>
  <c r="R188" i="30" s="1"/>
  <c r="I190" i="30"/>
  <c r="K189" i="30"/>
  <c r="D18" i="18"/>
  <c r="J9" i="25" l="1"/>
  <c r="J9" i="38" s="1"/>
  <c r="J10" i="36"/>
  <c r="J8" i="24"/>
  <c r="J8" i="37" s="1"/>
  <c r="J9" i="35"/>
  <c r="G112" i="33"/>
  <c r="H112" i="33" s="1"/>
  <c r="G124" i="33"/>
  <c r="H124" i="33" s="1"/>
  <c r="Z189" i="31"/>
  <c r="AA189" i="31" s="1"/>
  <c r="T189" i="31"/>
  <c r="U189" i="31" s="1"/>
  <c r="N189" i="31"/>
  <c r="O189" i="31" s="1"/>
  <c r="L189" i="31"/>
  <c r="W189" i="31"/>
  <c r="X189" i="31" s="1"/>
  <c r="Q189" i="31"/>
  <c r="R189" i="31" s="1"/>
  <c r="I191" i="31"/>
  <c r="K190" i="31"/>
  <c r="Z189" i="30"/>
  <c r="AA189" i="30" s="1"/>
  <c r="T189" i="30"/>
  <c r="U189" i="30" s="1"/>
  <c r="N189" i="30"/>
  <c r="O189" i="30" s="1"/>
  <c r="Q189" i="30"/>
  <c r="R189" i="30" s="1"/>
  <c r="W189" i="30"/>
  <c r="X189" i="30" s="1"/>
  <c r="L189" i="30"/>
  <c r="I191" i="30"/>
  <c r="K190" i="30"/>
  <c r="F18" i="18"/>
  <c r="H18" i="18" s="1"/>
  <c r="I18" i="18" s="1"/>
  <c r="J18" i="18" s="1"/>
  <c r="D17" i="18"/>
  <c r="D16" i="18"/>
  <c r="D15" i="18"/>
  <c r="D14" i="18"/>
  <c r="D13" i="18"/>
  <c r="D12" i="18"/>
  <c r="D11" i="18"/>
  <c r="F111" i="21"/>
  <c r="F112" i="21"/>
  <c r="F113" i="21"/>
  <c r="F114" i="21"/>
  <c r="F115" i="21"/>
  <c r="F116" i="21"/>
  <c r="F117" i="21"/>
  <c r="F118" i="21"/>
  <c r="F119" i="21"/>
  <c r="F120" i="21"/>
  <c r="F110" i="21"/>
  <c r="J8" i="25" l="1"/>
  <c r="J8" i="38" s="1"/>
  <c r="J9" i="36"/>
  <c r="J7" i="24"/>
  <c r="J7" i="37" s="1"/>
  <c r="J8" i="35"/>
  <c r="G111" i="33"/>
  <c r="H111" i="33" s="1"/>
  <c r="G123" i="33"/>
  <c r="H123" i="33" s="1"/>
  <c r="Z190" i="31"/>
  <c r="AA190" i="31" s="1"/>
  <c r="T190" i="31"/>
  <c r="U190" i="31" s="1"/>
  <c r="N190" i="31"/>
  <c r="O190" i="31" s="1"/>
  <c r="L190" i="31"/>
  <c r="W190" i="31"/>
  <c r="X190" i="31" s="1"/>
  <c r="Q190" i="31"/>
  <c r="R190" i="31" s="1"/>
  <c r="I192" i="31"/>
  <c r="K191" i="31"/>
  <c r="Z190" i="30"/>
  <c r="AA190" i="30" s="1"/>
  <c r="T190" i="30"/>
  <c r="U190" i="30" s="1"/>
  <c r="N190" i="30"/>
  <c r="O190" i="30" s="1"/>
  <c r="L190" i="30"/>
  <c r="Q190" i="30"/>
  <c r="R190" i="30" s="1"/>
  <c r="W190" i="30"/>
  <c r="X190" i="30" s="1"/>
  <c r="I192" i="30"/>
  <c r="K191" i="30"/>
  <c r="F109" i="21"/>
  <c r="L18" i="18"/>
  <c r="O18" i="18"/>
  <c r="N18" i="18"/>
  <c r="K18" i="18"/>
  <c r="M18" i="18"/>
  <c r="J7" i="25" l="1"/>
  <c r="J7" i="38" s="1"/>
  <c r="J8" i="36"/>
  <c r="J6" i="24"/>
  <c r="J6" i="37" s="1"/>
  <c r="J7" i="35"/>
  <c r="G110" i="33"/>
  <c r="H110" i="33" s="1"/>
  <c r="G122" i="33"/>
  <c r="H122" i="33" s="1"/>
  <c r="I136" i="33" s="1"/>
  <c r="Z191" i="31"/>
  <c r="AA191" i="31" s="1"/>
  <c r="T191" i="31"/>
  <c r="U191" i="31" s="1"/>
  <c r="N191" i="31"/>
  <c r="O191" i="31" s="1"/>
  <c r="L191" i="31"/>
  <c r="W191" i="31"/>
  <c r="X191" i="31" s="1"/>
  <c r="Q191" i="31"/>
  <c r="R191" i="31" s="1"/>
  <c r="I193" i="31"/>
  <c r="K193" i="31" s="1"/>
  <c r="K192" i="31"/>
  <c r="Z191" i="30"/>
  <c r="AA191" i="30" s="1"/>
  <c r="T191" i="30"/>
  <c r="U191" i="30" s="1"/>
  <c r="N191" i="30"/>
  <c r="O191" i="30" s="1"/>
  <c r="Q191" i="30"/>
  <c r="R191" i="30" s="1"/>
  <c r="W191" i="30"/>
  <c r="X191" i="30" s="1"/>
  <c r="L191" i="30"/>
  <c r="I193" i="30"/>
  <c r="K193" i="30" s="1"/>
  <c r="K192" i="30"/>
  <c r="J6" i="25" l="1"/>
  <c r="J6" i="38" s="1"/>
  <c r="J7" i="36"/>
  <c r="J5" i="24"/>
  <c r="J5" i="37" s="1"/>
  <c r="J6" i="35"/>
  <c r="K118" i="33"/>
  <c r="M33" i="38" s="1"/>
  <c r="K117" i="33"/>
  <c r="M32" i="38" s="1"/>
  <c r="K116" i="33"/>
  <c r="M31" i="38" s="1"/>
  <c r="K115" i="33"/>
  <c r="M30" i="38" s="1"/>
  <c r="K114" i="33"/>
  <c r="M29" i="38" s="1"/>
  <c r="K112" i="33"/>
  <c r="M27" i="38" s="1"/>
  <c r="K107" i="33"/>
  <c r="M22" i="38" s="1"/>
  <c r="K113" i="33"/>
  <c r="M28" i="38" s="1"/>
  <c r="K111" i="33"/>
  <c r="M26" i="38" s="1"/>
  <c r="K110" i="33"/>
  <c r="M25" i="38" s="1"/>
  <c r="K109" i="33"/>
  <c r="M24" i="38" s="1"/>
  <c r="K108" i="33"/>
  <c r="M23" i="38" s="1"/>
  <c r="G106" i="33"/>
  <c r="H106" i="33" s="1"/>
  <c r="K100" i="33"/>
  <c r="M15" i="38" s="1"/>
  <c r="K80" i="33"/>
  <c r="F37" i="38" s="1"/>
  <c r="K94" i="33"/>
  <c r="M9" i="38" s="1"/>
  <c r="K79" i="33"/>
  <c r="F36" i="38" s="1"/>
  <c r="K87" i="33"/>
  <c r="F44" i="38" s="1"/>
  <c r="K78" i="33"/>
  <c r="F35" i="38" s="1"/>
  <c r="K50" i="33"/>
  <c r="F7" i="38" s="1"/>
  <c r="K65" i="33"/>
  <c r="F22" i="38" s="1"/>
  <c r="K52" i="33"/>
  <c r="F9" i="38" s="1"/>
  <c r="K37" i="33"/>
  <c r="K48" i="33"/>
  <c r="F5" i="38" s="1"/>
  <c r="K35" i="33"/>
  <c r="K17" i="33"/>
  <c r="K57" i="33"/>
  <c r="F14" i="38" s="1"/>
  <c r="K16" i="33"/>
  <c r="K12" i="33"/>
  <c r="I122" i="33"/>
  <c r="K122" i="33" s="1"/>
  <c r="M34" i="38" s="1"/>
  <c r="N34" i="38" s="1"/>
  <c r="K97" i="33"/>
  <c r="M12" i="38" s="1"/>
  <c r="K103" i="33"/>
  <c r="M18" i="38" s="1"/>
  <c r="K77" i="33"/>
  <c r="F34" i="38" s="1"/>
  <c r="K67" i="33"/>
  <c r="F24" i="38" s="1"/>
  <c r="K82" i="33"/>
  <c r="F39" i="38" s="1"/>
  <c r="K75" i="33"/>
  <c r="F32" i="38" s="1"/>
  <c r="K44" i="33"/>
  <c r="K47" i="33"/>
  <c r="F4" i="38" s="1"/>
  <c r="K45" i="33"/>
  <c r="K31" i="33"/>
  <c r="K40" i="33"/>
  <c r="K33" i="33"/>
  <c r="K28" i="33"/>
  <c r="K38" i="33"/>
  <c r="K42" i="33"/>
  <c r="K15" i="33"/>
  <c r="K101" i="33"/>
  <c r="M16" i="38" s="1"/>
  <c r="K96" i="33"/>
  <c r="M11" i="38" s="1"/>
  <c r="K102" i="33"/>
  <c r="M17" i="38" s="1"/>
  <c r="K91" i="33"/>
  <c r="M6" i="38" s="1"/>
  <c r="K93" i="33"/>
  <c r="M8" i="38" s="1"/>
  <c r="K76" i="33"/>
  <c r="F33" i="38" s="1"/>
  <c r="K73" i="33"/>
  <c r="F30" i="38" s="1"/>
  <c r="K60" i="33"/>
  <c r="F17" i="38" s="1"/>
  <c r="K69" i="33"/>
  <c r="F26" i="38" s="1"/>
  <c r="K43" i="33"/>
  <c r="K25" i="33"/>
  <c r="K32" i="33"/>
  <c r="K83" i="33"/>
  <c r="F40" i="38" s="1"/>
  <c r="K64" i="33"/>
  <c r="F21" i="38" s="1"/>
  <c r="K20" i="33"/>
  <c r="K29" i="33"/>
  <c r="K105" i="33"/>
  <c r="M20" i="38" s="1"/>
  <c r="K90" i="33"/>
  <c r="M5" i="38" s="1"/>
  <c r="K95" i="33"/>
  <c r="M10" i="38" s="1"/>
  <c r="K85" i="33"/>
  <c r="F42" i="38" s="1"/>
  <c r="K66" i="33"/>
  <c r="F23" i="38" s="1"/>
  <c r="K72" i="33"/>
  <c r="F29" i="38" s="1"/>
  <c r="K68" i="33"/>
  <c r="F25" i="38" s="1"/>
  <c r="K58" i="33"/>
  <c r="F15" i="38" s="1"/>
  <c r="K63" i="33"/>
  <c r="F20" i="38" s="1"/>
  <c r="K59" i="33"/>
  <c r="F16" i="38" s="1"/>
  <c r="K19" i="33"/>
  <c r="K30" i="33"/>
  <c r="K39" i="33"/>
  <c r="K46" i="33"/>
  <c r="K18" i="33"/>
  <c r="K27" i="33"/>
  <c r="K99" i="33"/>
  <c r="M14" i="38" s="1"/>
  <c r="K92" i="33"/>
  <c r="M7" i="38" s="1"/>
  <c r="K106" i="33"/>
  <c r="M21" i="38" s="1"/>
  <c r="K74" i="33"/>
  <c r="F31" i="38" s="1"/>
  <c r="K88" i="33"/>
  <c r="F45" i="38" s="1"/>
  <c r="K70" i="33"/>
  <c r="F27" i="38" s="1"/>
  <c r="K62" i="33"/>
  <c r="F19" i="38" s="1"/>
  <c r="K51" i="33"/>
  <c r="F8" i="38" s="1"/>
  <c r="K61" i="33"/>
  <c r="F18" i="38" s="1"/>
  <c r="K84" i="33"/>
  <c r="F41" i="38" s="1"/>
  <c r="K13" i="33"/>
  <c r="K23" i="33"/>
  <c r="K34" i="33"/>
  <c r="K41" i="33"/>
  <c r="K11" i="33"/>
  <c r="K24" i="33"/>
  <c r="K98" i="33"/>
  <c r="M13" i="38" s="1"/>
  <c r="K86" i="33"/>
  <c r="F43" i="38" s="1"/>
  <c r="K104" i="33"/>
  <c r="M19" i="38" s="1"/>
  <c r="K54" i="33"/>
  <c r="F11" i="38" s="1"/>
  <c r="K36" i="33"/>
  <c r="K89" i="33"/>
  <c r="M4" i="38" s="1"/>
  <c r="K53" i="33"/>
  <c r="F10" i="38" s="1"/>
  <c r="K14" i="33"/>
  <c r="K71" i="33"/>
  <c r="F28" i="38" s="1"/>
  <c r="K55" i="33"/>
  <c r="F12" i="38" s="1"/>
  <c r="K81" i="33"/>
  <c r="F38" i="38" s="1"/>
  <c r="K21" i="33"/>
  <c r="K56" i="33"/>
  <c r="F13" i="38" s="1"/>
  <c r="K22" i="33"/>
  <c r="K49" i="33"/>
  <c r="F6" i="38" s="1"/>
  <c r="K26" i="33"/>
  <c r="Z192" i="31"/>
  <c r="AA192" i="31" s="1"/>
  <c r="T192" i="31"/>
  <c r="U192" i="31" s="1"/>
  <c r="N192" i="31"/>
  <c r="O192" i="31" s="1"/>
  <c r="L192" i="31"/>
  <c r="W192" i="31"/>
  <c r="X192" i="31" s="1"/>
  <c r="Q192" i="31"/>
  <c r="R192" i="31" s="1"/>
  <c r="Z193" i="31"/>
  <c r="AA193" i="31" s="1"/>
  <c r="T193" i="31"/>
  <c r="U193" i="31" s="1"/>
  <c r="N193" i="31"/>
  <c r="O193" i="31" s="1"/>
  <c r="L193" i="31"/>
  <c r="W193" i="31"/>
  <c r="X193" i="31" s="1"/>
  <c r="Q193" i="31"/>
  <c r="R193" i="31" s="1"/>
  <c r="Z192" i="30"/>
  <c r="AA192" i="30" s="1"/>
  <c r="T192" i="30"/>
  <c r="U192" i="30" s="1"/>
  <c r="N192" i="30"/>
  <c r="O192" i="30" s="1"/>
  <c r="L192" i="30"/>
  <c r="Q192" i="30"/>
  <c r="R192" i="30" s="1"/>
  <c r="W192" i="30"/>
  <c r="X192" i="30" s="1"/>
  <c r="Z193" i="30"/>
  <c r="AA193" i="30" s="1"/>
  <c r="T193" i="30"/>
  <c r="U193" i="30" s="1"/>
  <c r="N193" i="30"/>
  <c r="O193" i="30" s="1"/>
  <c r="Q193" i="30"/>
  <c r="R193" i="30" s="1"/>
  <c r="W193" i="30"/>
  <c r="X193" i="30" s="1"/>
  <c r="L193" i="30"/>
  <c r="J5" i="25" l="1"/>
  <c r="J5" i="38" s="1"/>
  <c r="J6" i="36"/>
  <c r="J4" i="24"/>
  <c r="J5" i="35"/>
  <c r="Z107" i="33"/>
  <c r="W107" i="33"/>
  <c r="T107" i="33"/>
  <c r="Q107" i="33"/>
  <c r="M22" i="25" s="1"/>
  <c r="N107" i="33"/>
  <c r="M22" i="36" s="1"/>
  <c r="W108" i="33"/>
  <c r="T108" i="33"/>
  <c r="N108" i="33"/>
  <c r="M23" i="36" s="1"/>
  <c r="Z108" i="33"/>
  <c r="Q108" i="33"/>
  <c r="M23" i="25" s="1"/>
  <c r="Z112" i="33"/>
  <c r="Q112" i="33"/>
  <c r="M27" i="25" s="1"/>
  <c r="T112" i="33"/>
  <c r="N112" i="33"/>
  <c r="M27" i="36" s="1"/>
  <c r="W112" i="33"/>
  <c r="W110" i="33"/>
  <c r="T110" i="33"/>
  <c r="N110" i="33"/>
  <c r="M25" i="36" s="1"/>
  <c r="Z110" i="33"/>
  <c r="Q110" i="33"/>
  <c r="M25" i="25" s="1"/>
  <c r="W115" i="33"/>
  <c r="Z115" i="33"/>
  <c r="T115" i="33"/>
  <c r="N115" i="33"/>
  <c r="M30" i="36" s="1"/>
  <c r="Q115" i="33"/>
  <c r="M30" i="25" s="1"/>
  <c r="W109" i="33"/>
  <c r="T109" i="33"/>
  <c r="N109" i="33"/>
  <c r="M24" i="36" s="1"/>
  <c r="Z109" i="33"/>
  <c r="Q109" i="33"/>
  <c r="M24" i="25" s="1"/>
  <c r="W111" i="33"/>
  <c r="N111" i="33"/>
  <c r="M26" i="36" s="1"/>
  <c r="Q111" i="33"/>
  <c r="M26" i="25" s="1"/>
  <c r="T111" i="33"/>
  <c r="Z111" i="33"/>
  <c r="W116" i="33"/>
  <c r="N116" i="33"/>
  <c r="M31" i="36" s="1"/>
  <c r="T116" i="33"/>
  <c r="Z116" i="33"/>
  <c r="Q116" i="33"/>
  <c r="M31" i="25" s="1"/>
  <c r="W114" i="33"/>
  <c r="Z114" i="33"/>
  <c r="T114" i="33"/>
  <c r="N114" i="33"/>
  <c r="M29" i="36" s="1"/>
  <c r="Q114" i="33"/>
  <c r="M29" i="25" s="1"/>
  <c r="Z113" i="33"/>
  <c r="Q113" i="33"/>
  <c r="M28" i="25" s="1"/>
  <c r="N113" i="33"/>
  <c r="M28" i="36" s="1"/>
  <c r="T113" i="33"/>
  <c r="W113" i="33"/>
  <c r="Z117" i="33"/>
  <c r="T117" i="33"/>
  <c r="Q117" i="33"/>
  <c r="M32" i="25" s="1"/>
  <c r="W117" i="33"/>
  <c r="N117" i="33"/>
  <c r="M32" i="36" s="1"/>
  <c r="W118" i="33"/>
  <c r="Q118" i="33"/>
  <c r="M33" i="25" s="1"/>
  <c r="Z118" i="33"/>
  <c r="N118" i="33"/>
  <c r="M33" i="36" s="1"/>
  <c r="T118" i="33"/>
  <c r="T56" i="33"/>
  <c r="Z56" i="33"/>
  <c r="N56" i="33"/>
  <c r="F13" i="36" s="1"/>
  <c r="Q56" i="33"/>
  <c r="F13" i="25" s="1"/>
  <c r="W56" i="33"/>
  <c r="Z53" i="33"/>
  <c r="T53" i="33"/>
  <c r="N53" i="33"/>
  <c r="F10" i="36" s="1"/>
  <c r="W53" i="33"/>
  <c r="Q53" i="33"/>
  <c r="F10" i="25" s="1"/>
  <c r="N98" i="33"/>
  <c r="M13" i="36" s="1"/>
  <c r="W98" i="33"/>
  <c r="Q98" i="33"/>
  <c r="M13" i="25" s="1"/>
  <c r="T98" i="33"/>
  <c r="Z98" i="33"/>
  <c r="W13" i="33"/>
  <c r="Q13" i="33"/>
  <c r="N13" i="33"/>
  <c r="T13" i="33"/>
  <c r="Z13" i="33"/>
  <c r="T88" i="33"/>
  <c r="Z88" i="33"/>
  <c r="Q88" i="33"/>
  <c r="F45" i="25" s="1"/>
  <c r="N88" i="33"/>
  <c r="F45" i="36" s="1"/>
  <c r="W88" i="33"/>
  <c r="W18" i="33"/>
  <c r="N18" i="33"/>
  <c r="T18" i="33"/>
  <c r="Q18" i="33"/>
  <c r="Z18" i="33"/>
  <c r="W63" i="33"/>
  <c r="T63" i="33"/>
  <c r="Z63" i="33"/>
  <c r="N63" i="33"/>
  <c r="F20" i="36" s="1"/>
  <c r="Q63" i="33"/>
  <c r="F20" i="25" s="1"/>
  <c r="W95" i="33"/>
  <c r="Q95" i="33"/>
  <c r="M10" i="25" s="1"/>
  <c r="Z95" i="33"/>
  <c r="N95" i="33"/>
  <c r="M10" i="36" s="1"/>
  <c r="T95" i="33"/>
  <c r="Q83" i="33"/>
  <c r="F40" i="25" s="1"/>
  <c r="W83" i="33"/>
  <c r="Z83" i="33"/>
  <c r="N83" i="33"/>
  <c r="F40" i="36" s="1"/>
  <c r="T83" i="33"/>
  <c r="W73" i="33"/>
  <c r="N73" i="33"/>
  <c r="F30" i="36" s="1"/>
  <c r="Z73" i="33"/>
  <c r="T73" i="33"/>
  <c r="Q73" i="33"/>
  <c r="F30" i="25" s="1"/>
  <c r="Q101" i="33"/>
  <c r="M16" i="25" s="1"/>
  <c r="T101" i="33"/>
  <c r="N101" i="33"/>
  <c r="M16" i="36" s="1"/>
  <c r="Z101" i="33"/>
  <c r="W101" i="33"/>
  <c r="Q40" i="33"/>
  <c r="N40" i="33"/>
  <c r="W40" i="33"/>
  <c r="T40" i="33"/>
  <c r="Z40" i="33"/>
  <c r="T82" i="33"/>
  <c r="Z82" i="33"/>
  <c r="W82" i="33"/>
  <c r="Q82" i="33"/>
  <c r="F39" i="25" s="1"/>
  <c r="N82" i="33"/>
  <c r="F39" i="36" s="1"/>
  <c r="Q12" i="33"/>
  <c r="N12" i="33"/>
  <c r="T12" i="33"/>
  <c r="W12" i="33"/>
  <c r="Z12" i="33"/>
  <c r="W37" i="33"/>
  <c r="Q37" i="33"/>
  <c r="T37" i="33"/>
  <c r="N37" i="33"/>
  <c r="Z37" i="33"/>
  <c r="Q79" i="33"/>
  <c r="F36" i="25" s="1"/>
  <c r="N79" i="33"/>
  <c r="F36" i="36" s="1"/>
  <c r="T79" i="33"/>
  <c r="Z79" i="33"/>
  <c r="W79" i="33"/>
  <c r="T21" i="33"/>
  <c r="Z21" i="33"/>
  <c r="Q21" i="33"/>
  <c r="N21" i="33"/>
  <c r="W21" i="33"/>
  <c r="Z89" i="33"/>
  <c r="T89" i="33"/>
  <c r="N89" i="33"/>
  <c r="M4" i="36" s="1"/>
  <c r="W89" i="33"/>
  <c r="Q89" i="33"/>
  <c r="M4" i="25" s="1"/>
  <c r="N24" i="33"/>
  <c r="Z24" i="33"/>
  <c r="W24" i="33"/>
  <c r="T24" i="33"/>
  <c r="Q24" i="33"/>
  <c r="N84" i="33"/>
  <c r="F41" i="36" s="1"/>
  <c r="T84" i="33"/>
  <c r="W84" i="33"/>
  <c r="Q84" i="33"/>
  <c r="F41" i="25" s="1"/>
  <c r="Z84" i="33"/>
  <c r="W74" i="33"/>
  <c r="Q74" i="33"/>
  <c r="F31" i="25" s="1"/>
  <c r="N74" i="33"/>
  <c r="F31" i="36" s="1"/>
  <c r="T74" i="33"/>
  <c r="Z74" i="33"/>
  <c r="W46" i="33"/>
  <c r="N46" i="33"/>
  <c r="T46" i="33"/>
  <c r="Q46" i="33"/>
  <c r="Z46" i="33"/>
  <c r="Q58" i="33"/>
  <c r="F15" i="25" s="1"/>
  <c r="W58" i="33"/>
  <c r="N58" i="33"/>
  <c r="F15" i="36" s="1"/>
  <c r="T58" i="33"/>
  <c r="Z58" i="33"/>
  <c r="Q90" i="33"/>
  <c r="M5" i="25" s="1"/>
  <c r="T90" i="33"/>
  <c r="Z90" i="33"/>
  <c r="N90" i="33"/>
  <c r="M5" i="36" s="1"/>
  <c r="W90" i="33"/>
  <c r="Z32" i="33"/>
  <c r="N32" i="33"/>
  <c r="W32" i="33"/>
  <c r="Q32" i="33"/>
  <c r="T32" i="33"/>
  <c r="T76" i="33"/>
  <c r="Z76" i="33"/>
  <c r="Q76" i="33"/>
  <c r="F33" i="25" s="1"/>
  <c r="W76" i="33"/>
  <c r="N76" i="33"/>
  <c r="F33" i="36" s="1"/>
  <c r="Z15" i="33"/>
  <c r="Q15" i="33"/>
  <c r="W15" i="33"/>
  <c r="T15" i="33"/>
  <c r="N15" i="33"/>
  <c r="N31" i="33"/>
  <c r="W31" i="33"/>
  <c r="Q31" i="33"/>
  <c r="Z31" i="33"/>
  <c r="T31" i="33"/>
  <c r="W67" i="33"/>
  <c r="Q67" i="33"/>
  <c r="F24" i="25" s="1"/>
  <c r="Z67" i="33"/>
  <c r="T67" i="33"/>
  <c r="N67" i="33"/>
  <c r="F24" i="36" s="1"/>
  <c r="Z16" i="33"/>
  <c r="T16" i="33"/>
  <c r="N16" i="33"/>
  <c r="Q16" i="33"/>
  <c r="W16" i="33"/>
  <c r="T52" i="33"/>
  <c r="Z52" i="33"/>
  <c r="Q52" i="33"/>
  <c r="F9" i="25" s="1"/>
  <c r="N52" i="33"/>
  <c r="F9" i="36" s="1"/>
  <c r="W52" i="33"/>
  <c r="Z94" i="33"/>
  <c r="T94" i="33"/>
  <c r="N94" i="33"/>
  <c r="M9" i="36" s="1"/>
  <c r="W94" i="33"/>
  <c r="Q94" i="33"/>
  <c r="M9" i="25" s="1"/>
  <c r="N81" i="33"/>
  <c r="F38" i="36" s="1"/>
  <c r="W81" i="33"/>
  <c r="Q81" i="33"/>
  <c r="F38" i="25" s="1"/>
  <c r="Z81" i="33"/>
  <c r="T81" i="33"/>
  <c r="W36" i="33"/>
  <c r="N36" i="33"/>
  <c r="Z36" i="33"/>
  <c r="T36" i="33"/>
  <c r="Q36" i="33"/>
  <c r="N11" i="33"/>
  <c r="T11" i="33"/>
  <c r="Q11" i="33"/>
  <c r="W11" i="33"/>
  <c r="Z11" i="33"/>
  <c r="W61" i="33"/>
  <c r="N61" i="33"/>
  <c r="F18" i="36" s="1"/>
  <c r="T61" i="33"/>
  <c r="Q61" i="33"/>
  <c r="F18" i="25" s="1"/>
  <c r="Z61" i="33"/>
  <c r="Z106" i="33"/>
  <c r="Q106" i="33"/>
  <c r="M21" i="25" s="1"/>
  <c r="T106" i="33"/>
  <c r="N106" i="33"/>
  <c r="M21" i="36" s="1"/>
  <c r="W106" i="33"/>
  <c r="Z39" i="33"/>
  <c r="W39" i="33"/>
  <c r="N39" i="33"/>
  <c r="T39" i="33"/>
  <c r="Q39" i="33"/>
  <c r="N68" i="33"/>
  <c r="F25" i="36" s="1"/>
  <c r="W68" i="33"/>
  <c r="Q68" i="33"/>
  <c r="F25" i="25" s="1"/>
  <c r="T68" i="33"/>
  <c r="Z68" i="33"/>
  <c r="Q105" i="33"/>
  <c r="M20" i="25" s="1"/>
  <c r="Z105" i="33"/>
  <c r="T105" i="33"/>
  <c r="N105" i="33"/>
  <c r="M20" i="36" s="1"/>
  <c r="W105" i="33"/>
  <c r="N25" i="33"/>
  <c r="T25" i="33"/>
  <c r="W25" i="33"/>
  <c r="Z25" i="33"/>
  <c r="Q25" i="33"/>
  <c r="Q93" i="33"/>
  <c r="M8" i="25" s="1"/>
  <c r="W93" i="33"/>
  <c r="Z93" i="33"/>
  <c r="T93" i="33"/>
  <c r="N93" i="33"/>
  <c r="M8" i="36" s="1"/>
  <c r="Z42" i="33"/>
  <c r="Q42" i="33"/>
  <c r="T42" i="33"/>
  <c r="N42" i="33"/>
  <c r="W42" i="33"/>
  <c r="Q45" i="33"/>
  <c r="W45" i="33"/>
  <c r="T45" i="33"/>
  <c r="N45" i="33"/>
  <c r="Z45" i="33"/>
  <c r="Q77" i="33"/>
  <c r="F34" i="25" s="1"/>
  <c r="Z77" i="33"/>
  <c r="T77" i="33"/>
  <c r="N77" i="33"/>
  <c r="F34" i="36" s="1"/>
  <c r="W77" i="33"/>
  <c r="N57" i="33"/>
  <c r="F14" i="36" s="1"/>
  <c r="T57" i="33"/>
  <c r="Z57" i="33"/>
  <c r="Q57" i="33"/>
  <c r="F14" i="25" s="1"/>
  <c r="W57" i="33"/>
  <c r="T65" i="33"/>
  <c r="N65" i="33"/>
  <c r="F22" i="36" s="1"/>
  <c r="Q65" i="33"/>
  <c r="F22" i="25" s="1"/>
  <c r="W65" i="33"/>
  <c r="Z65" i="33"/>
  <c r="Q80" i="33"/>
  <c r="F37" i="25" s="1"/>
  <c r="N80" i="33"/>
  <c r="F37" i="36" s="1"/>
  <c r="Z80" i="33"/>
  <c r="T80" i="33"/>
  <c r="W80" i="33"/>
  <c r="G105" i="33"/>
  <c r="H105" i="33" s="1"/>
  <c r="Z26" i="33"/>
  <c r="Q26" i="33"/>
  <c r="W26" i="33"/>
  <c r="N26" i="33"/>
  <c r="T26" i="33"/>
  <c r="Z55" i="33"/>
  <c r="W55" i="33"/>
  <c r="N55" i="33"/>
  <c r="F12" i="36" s="1"/>
  <c r="Q55" i="33"/>
  <c r="F12" i="25" s="1"/>
  <c r="T55" i="33"/>
  <c r="N54" i="33"/>
  <c r="F11" i="36" s="1"/>
  <c r="T54" i="33"/>
  <c r="Z54" i="33"/>
  <c r="Q54" i="33"/>
  <c r="F11" i="25" s="1"/>
  <c r="W54" i="33"/>
  <c r="N41" i="33"/>
  <c r="W41" i="33"/>
  <c r="Q41" i="33"/>
  <c r="T41" i="33"/>
  <c r="Z41" i="33"/>
  <c r="Z51" i="33"/>
  <c r="T51" i="33"/>
  <c r="Q51" i="33"/>
  <c r="F8" i="25" s="1"/>
  <c r="N51" i="33"/>
  <c r="F8" i="36" s="1"/>
  <c r="W51" i="33"/>
  <c r="W92" i="33"/>
  <c r="Q92" i="33"/>
  <c r="M7" i="25" s="1"/>
  <c r="T92" i="33"/>
  <c r="N92" i="33"/>
  <c r="M7" i="36" s="1"/>
  <c r="Z92" i="33"/>
  <c r="Q30" i="33"/>
  <c r="Z30" i="33"/>
  <c r="W30" i="33"/>
  <c r="T30" i="33"/>
  <c r="N30" i="33"/>
  <c r="N72" i="33"/>
  <c r="F29" i="36" s="1"/>
  <c r="T72" i="33"/>
  <c r="Z72" i="33"/>
  <c r="Q72" i="33"/>
  <c r="F29" i="25" s="1"/>
  <c r="W72" i="33"/>
  <c r="T29" i="33"/>
  <c r="Q29" i="33"/>
  <c r="Z29" i="33"/>
  <c r="N29" i="33"/>
  <c r="W29" i="33"/>
  <c r="W43" i="33"/>
  <c r="N43" i="33"/>
  <c r="T43" i="33"/>
  <c r="Q43" i="33"/>
  <c r="Z43" i="33"/>
  <c r="N91" i="33"/>
  <c r="M6" i="36" s="1"/>
  <c r="Z91" i="33"/>
  <c r="Q91" i="33"/>
  <c r="M6" i="25" s="1"/>
  <c r="W91" i="33"/>
  <c r="T91" i="33"/>
  <c r="N38" i="33"/>
  <c r="W38" i="33"/>
  <c r="T38" i="33"/>
  <c r="Q38" i="33"/>
  <c r="Z38" i="33"/>
  <c r="Z47" i="33"/>
  <c r="T47" i="33"/>
  <c r="N47" i="33"/>
  <c r="F4" i="36" s="1"/>
  <c r="W47" i="33"/>
  <c r="Q47" i="33"/>
  <c r="F4" i="25" s="1"/>
  <c r="Z103" i="33"/>
  <c r="Q103" i="33"/>
  <c r="M18" i="25" s="1"/>
  <c r="T103" i="33"/>
  <c r="N103" i="33"/>
  <c r="M18" i="36" s="1"/>
  <c r="W103" i="33"/>
  <c r="W17" i="33"/>
  <c r="N17" i="33"/>
  <c r="Z17" i="33"/>
  <c r="Q17" i="33"/>
  <c r="T17" i="33"/>
  <c r="N50" i="33"/>
  <c r="F7" i="36" s="1"/>
  <c r="T50" i="33"/>
  <c r="Z50" i="33"/>
  <c r="Q50" i="33"/>
  <c r="F7" i="25" s="1"/>
  <c r="W50" i="33"/>
  <c r="N100" i="33"/>
  <c r="M15" i="36" s="1"/>
  <c r="Z100" i="33"/>
  <c r="Q100" i="33"/>
  <c r="M15" i="25" s="1"/>
  <c r="W100" i="33"/>
  <c r="T100" i="33"/>
  <c r="Q49" i="33"/>
  <c r="F6" i="25" s="1"/>
  <c r="W49" i="33"/>
  <c r="T49" i="33"/>
  <c r="N49" i="33"/>
  <c r="F6" i="36" s="1"/>
  <c r="Z49" i="33"/>
  <c r="N71" i="33"/>
  <c r="F28" i="36" s="1"/>
  <c r="Z71" i="33"/>
  <c r="W71" i="33"/>
  <c r="T71" i="33"/>
  <c r="Q71" i="33"/>
  <c r="F28" i="25" s="1"/>
  <c r="Z104" i="33"/>
  <c r="T104" i="33"/>
  <c r="N104" i="33"/>
  <c r="M19" i="36" s="1"/>
  <c r="W104" i="33"/>
  <c r="Q104" i="33"/>
  <c r="M19" i="25" s="1"/>
  <c r="Q34" i="33"/>
  <c r="W34" i="33"/>
  <c r="Z34" i="33"/>
  <c r="N34" i="33"/>
  <c r="T34" i="33"/>
  <c r="Q62" i="33"/>
  <c r="F19" i="25" s="1"/>
  <c r="N62" i="33"/>
  <c r="F19" i="36" s="1"/>
  <c r="Z62" i="33"/>
  <c r="T62" i="33"/>
  <c r="W62" i="33"/>
  <c r="Q99" i="33"/>
  <c r="M14" i="25" s="1"/>
  <c r="N99" i="33"/>
  <c r="M14" i="36" s="1"/>
  <c r="Z99" i="33"/>
  <c r="T99" i="33"/>
  <c r="W99" i="33"/>
  <c r="N19" i="33"/>
  <c r="T19" i="33"/>
  <c r="W19" i="33"/>
  <c r="Z19" i="33"/>
  <c r="Q19" i="33"/>
  <c r="W66" i="33"/>
  <c r="Q66" i="33"/>
  <c r="F23" i="25" s="1"/>
  <c r="Z66" i="33"/>
  <c r="T66" i="33"/>
  <c r="N66" i="33"/>
  <c r="F23" i="36" s="1"/>
  <c r="Q20" i="33"/>
  <c r="W20" i="33"/>
  <c r="T20" i="33"/>
  <c r="Z20" i="33"/>
  <c r="N20" i="33"/>
  <c r="Z69" i="33"/>
  <c r="T69" i="33"/>
  <c r="N69" i="33"/>
  <c r="F26" i="36" s="1"/>
  <c r="W69" i="33"/>
  <c r="Q69" i="33"/>
  <c r="F26" i="25" s="1"/>
  <c r="Z102" i="33"/>
  <c r="T102" i="33"/>
  <c r="N102" i="33"/>
  <c r="M17" i="36" s="1"/>
  <c r="Q102" i="33"/>
  <c r="M17" i="25" s="1"/>
  <c r="W102" i="33"/>
  <c r="Z28" i="33"/>
  <c r="T28" i="33"/>
  <c r="N28" i="33"/>
  <c r="Q28" i="33"/>
  <c r="W28" i="33"/>
  <c r="T44" i="33"/>
  <c r="W44" i="33"/>
  <c r="Q44" i="33"/>
  <c r="N44" i="33"/>
  <c r="Z44" i="33"/>
  <c r="W97" i="33"/>
  <c r="Z97" i="33"/>
  <c r="T97" i="33"/>
  <c r="Q97" i="33"/>
  <c r="M12" i="25" s="1"/>
  <c r="N97" i="33"/>
  <c r="M12" i="36" s="1"/>
  <c r="T35" i="33"/>
  <c r="W35" i="33"/>
  <c r="N35" i="33"/>
  <c r="Q35" i="33"/>
  <c r="Z35" i="33"/>
  <c r="N78" i="33"/>
  <c r="F35" i="36" s="1"/>
  <c r="T78" i="33"/>
  <c r="Z78" i="33"/>
  <c r="W78" i="33"/>
  <c r="Q78" i="33"/>
  <c r="F35" i="25" s="1"/>
  <c r="N22" i="33"/>
  <c r="Q22" i="33"/>
  <c r="W22" i="33"/>
  <c r="T22" i="33"/>
  <c r="Z22" i="33"/>
  <c r="Q14" i="33"/>
  <c r="N14" i="33"/>
  <c r="T14" i="33"/>
  <c r="W14" i="33"/>
  <c r="Z14" i="33"/>
  <c r="Q86" i="33"/>
  <c r="F43" i="25" s="1"/>
  <c r="N86" i="33"/>
  <c r="F43" i="36" s="1"/>
  <c r="Z86" i="33"/>
  <c r="T86" i="33"/>
  <c r="W86" i="33"/>
  <c r="Z23" i="33"/>
  <c r="Q23" i="33"/>
  <c r="W23" i="33"/>
  <c r="T23" i="33"/>
  <c r="N23" i="33"/>
  <c r="Z70" i="33"/>
  <c r="T70" i="33"/>
  <c r="N70" i="33"/>
  <c r="F27" i="36" s="1"/>
  <c r="Q70" i="33"/>
  <c r="F27" i="25" s="1"/>
  <c r="W70" i="33"/>
  <c r="T27" i="33"/>
  <c r="Z27" i="33"/>
  <c r="Q27" i="33"/>
  <c r="N27" i="33"/>
  <c r="W27" i="33"/>
  <c r="T59" i="33"/>
  <c r="N59" i="33"/>
  <c r="F16" i="36" s="1"/>
  <c r="W59" i="33"/>
  <c r="Q59" i="33"/>
  <c r="F16" i="25" s="1"/>
  <c r="Z59" i="33"/>
  <c r="W85" i="33"/>
  <c r="Z85" i="33"/>
  <c r="T85" i="33"/>
  <c r="Q85" i="33"/>
  <c r="F42" i="25" s="1"/>
  <c r="N85" i="33"/>
  <c r="F42" i="36" s="1"/>
  <c r="T64" i="33"/>
  <c r="Z64" i="33"/>
  <c r="Q64" i="33"/>
  <c r="F21" i="25" s="1"/>
  <c r="N64" i="33"/>
  <c r="F21" i="36" s="1"/>
  <c r="W64" i="33"/>
  <c r="Z60" i="33"/>
  <c r="Q60" i="33"/>
  <c r="F17" i="25" s="1"/>
  <c r="W60" i="33"/>
  <c r="T60" i="33"/>
  <c r="N60" i="33"/>
  <c r="F17" i="36" s="1"/>
  <c r="W96" i="33"/>
  <c r="Q96" i="33"/>
  <c r="M11" i="25" s="1"/>
  <c r="T96" i="33"/>
  <c r="N96" i="33"/>
  <c r="M11" i="36" s="1"/>
  <c r="Z96" i="33"/>
  <c r="Z33" i="33"/>
  <c r="N33" i="33"/>
  <c r="W33" i="33"/>
  <c r="Q33" i="33"/>
  <c r="T33" i="33"/>
  <c r="Z75" i="33"/>
  <c r="Q75" i="33"/>
  <c r="F32" i="25" s="1"/>
  <c r="W75" i="33"/>
  <c r="T75" i="33"/>
  <c r="N75" i="33"/>
  <c r="F32" i="36" s="1"/>
  <c r="I123" i="33"/>
  <c r="K123" i="33" s="1"/>
  <c r="M35" i="38" s="1"/>
  <c r="N35" i="38" s="1"/>
  <c r="T48" i="33"/>
  <c r="W48" i="33"/>
  <c r="N48" i="33"/>
  <c r="F5" i="36" s="1"/>
  <c r="Z48" i="33"/>
  <c r="Q48" i="33"/>
  <c r="F5" i="25" s="1"/>
  <c r="W87" i="33"/>
  <c r="Z87" i="33"/>
  <c r="T87" i="33"/>
  <c r="Q87" i="33"/>
  <c r="F44" i="25" s="1"/>
  <c r="N87" i="33"/>
  <c r="F44" i="36" s="1"/>
  <c r="J4" i="35" l="1"/>
  <c r="C45" i="35" s="1"/>
  <c r="C44" i="35" s="1"/>
  <c r="C43" i="35" s="1"/>
  <c r="C42" i="35" s="1"/>
  <c r="C41" i="35" s="1"/>
  <c r="C40" i="35" s="1"/>
  <c r="C39" i="35" s="1"/>
  <c r="C38" i="35" s="1"/>
  <c r="C37" i="35" s="1"/>
  <c r="C36" i="35" s="1"/>
  <c r="C35" i="35" s="1"/>
  <c r="C34" i="35" s="1"/>
  <c r="C33" i="35" s="1"/>
  <c r="C32" i="35" s="1"/>
  <c r="C31" i="35" s="1"/>
  <c r="C30" i="35" s="1"/>
  <c r="C29" i="35" s="1"/>
  <c r="C28" i="35" s="1"/>
  <c r="C27" i="35" s="1"/>
  <c r="C26" i="35" s="1"/>
  <c r="C25" i="35" s="1"/>
  <c r="C24" i="35" s="1"/>
  <c r="C23" i="35" s="1"/>
  <c r="C22" i="35" s="1"/>
  <c r="C21" i="35" s="1"/>
  <c r="C20" i="35" s="1"/>
  <c r="C19" i="35" s="1"/>
  <c r="C18" i="35" s="1"/>
  <c r="C17" i="35" s="1"/>
  <c r="C16" i="35" s="1"/>
  <c r="C15" i="35" s="1"/>
  <c r="C14" i="35" s="1"/>
  <c r="C13" i="35" s="1"/>
  <c r="C12" i="35" s="1"/>
  <c r="C11" i="35" s="1"/>
  <c r="C10" i="35" s="1"/>
  <c r="C9" i="35" s="1"/>
  <c r="C8" i="35" s="1"/>
  <c r="C7" i="35" s="1"/>
  <c r="C6" i="35" s="1"/>
  <c r="C5" i="35" s="1"/>
  <c r="C4" i="35" s="1"/>
  <c r="J4" i="37"/>
  <c r="C45" i="37" s="1"/>
  <c r="C44" i="37" s="1"/>
  <c r="C43" i="37" s="1"/>
  <c r="C42" i="37" s="1"/>
  <c r="C41" i="37" s="1"/>
  <c r="C40" i="37" s="1"/>
  <c r="C39" i="37" s="1"/>
  <c r="C38" i="37" s="1"/>
  <c r="C37" i="37" s="1"/>
  <c r="C36" i="37" s="1"/>
  <c r="C35" i="37" s="1"/>
  <c r="C34" i="37" s="1"/>
  <c r="C33" i="37" s="1"/>
  <c r="C32" i="37" s="1"/>
  <c r="C31" i="37" s="1"/>
  <c r="C30" i="37" s="1"/>
  <c r="C29" i="37" s="1"/>
  <c r="C28" i="37" s="1"/>
  <c r="C27" i="37" s="1"/>
  <c r="C26" i="37" s="1"/>
  <c r="C25" i="37" s="1"/>
  <c r="C24" i="37" s="1"/>
  <c r="C23" i="37" s="1"/>
  <c r="C22" i="37" s="1"/>
  <c r="C21" i="37" s="1"/>
  <c r="C20" i="37" s="1"/>
  <c r="C19" i="37" s="1"/>
  <c r="C18" i="37" s="1"/>
  <c r="C17" i="37" s="1"/>
  <c r="C16" i="37" s="1"/>
  <c r="C15" i="37" s="1"/>
  <c r="C14" i="37" s="1"/>
  <c r="C13" i="37" s="1"/>
  <c r="C12" i="37" s="1"/>
  <c r="C11" i="37" s="1"/>
  <c r="C10" i="37" s="1"/>
  <c r="C9" i="37" s="1"/>
  <c r="C8" i="37" s="1"/>
  <c r="C7" i="37" s="1"/>
  <c r="C6" i="37" s="1"/>
  <c r="C5" i="37" s="1"/>
  <c r="C4" i="37" s="1"/>
  <c r="J4" i="25"/>
  <c r="J5" i="36"/>
  <c r="G104" i="33"/>
  <c r="H104" i="33" s="1"/>
  <c r="I124" i="33"/>
  <c r="K124" i="33" s="1"/>
  <c r="M36" i="38" s="1"/>
  <c r="N36" i="38" s="1"/>
  <c r="L122" i="33"/>
  <c r="Q122" i="33"/>
  <c r="Z122" i="33"/>
  <c r="AA122" i="33" s="1"/>
  <c r="T122" i="33"/>
  <c r="U122" i="33" s="1"/>
  <c r="N122" i="33"/>
  <c r="W122" i="33"/>
  <c r="X122" i="33" s="1"/>
  <c r="J4" i="36" l="1"/>
  <c r="J4" i="38"/>
  <c r="C45" i="38" s="1"/>
  <c r="C44" i="38" s="1"/>
  <c r="C43" i="38" s="1"/>
  <c r="C42" i="38" s="1"/>
  <c r="C41" i="38" s="1"/>
  <c r="C40" i="38" s="1"/>
  <c r="C39" i="38" s="1"/>
  <c r="C38" i="38" s="1"/>
  <c r="C37" i="38" s="1"/>
  <c r="C36" i="38" s="1"/>
  <c r="C35" i="38" s="1"/>
  <c r="C34" i="38" s="1"/>
  <c r="C33" i="38" s="1"/>
  <c r="C32" i="38" s="1"/>
  <c r="C31" i="38" s="1"/>
  <c r="C30" i="38" s="1"/>
  <c r="C29" i="38" s="1"/>
  <c r="C28" i="38" s="1"/>
  <c r="C27" i="38" s="1"/>
  <c r="C26" i="38" s="1"/>
  <c r="C25" i="38" s="1"/>
  <c r="C24" i="38" s="1"/>
  <c r="C23" i="38" s="1"/>
  <c r="C22" i="38" s="1"/>
  <c r="C21" i="38" s="1"/>
  <c r="C20" i="38" s="1"/>
  <c r="C19" i="38" s="1"/>
  <c r="C18" i="38" s="1"/>
  <c r="C17" i="38" s="1"/>
  <c r="C16" i="38" s="1"/>
  <c r="C15" i="38" s="1"/>
  <c r="C14" i="38" s="1"/>
  <c r="C13" i="38" s="1"/>
  <c r="C12" i="38" s="1"/>
  <c r="C11" i="38" s="1"/>
  <c r="C10" i="38" s="1"/>
  <c r="C9" i="38" s="1"/>
  <c r="C8" i="38" s="1"/>
  <c r="C7" i="38" s="1"/>
  <c r="C6" i="38" s="1"/>
  <c r="C5" i="38" s="1"/>
  <c r="C4" i="38" s="1"/>
  <c r="O122" i="33"/>
  <c r="M34" i="36"/>
  <c r="N34" i="36" s="1"/>
  <c r="R122" i="33"/>
  <c r="M34" i="25"/>
  <c r="N34" i="25" s="1"/>
  <c r="N123" i="33"/>
  <c r="Q123" i="33"/>
  <c r="T123" i="33"/>
  <c r="U123" i="33" s="1"/>
  <c r="L123" i="33"/>
  <c r="W123" i="33"/>
  <c r="X123" i="33" s="1"/>
  <c r="Z123" i="33"/>
  <c r="AA123" i="33" s="1"/>
  <c r="I125" i="33"/>
  <c r="K125" i="33" s="1"/>
  <c r="M37" i="38" s="1"/>
  <c r="N37" i="38" s="1"/>
  <c r="G103" i="33"/>
  <c r="H103" i="33" s="1"/>
  <c r="L121" i="21"/>
  <c r="M121" i="21"/>
  <c r="P121" i="21"/>
  <c r="S121" i="21"/>
  <c r="V121" i="21"/>
  <c r="Y121" i="21"/>
  <c r="O123" i="33" l="1"/>
  <c r="M35" i="36"/>
  <c r="N35" i="36" s="1"/>
  <c r="R123" i="33"/>
  <c r="M35" i="25"/>
  <c r="N35" i="25" s="1"/>
  <c r="G102" i="33"/>
  <c r="H102" i="33" s="1"/>
  <c r="Q124" i="33"/>
  <c r="T124" i="33"/>
  <c r="U124" i="33" s="1"/>
  <c r="N124" i="33"/>
  <c r="W124" i="33"/>
  <c r="X124" i="33" s="1"/>
  <c r="L124" i="33"/>
  <c r="Z124" i="33"/>
  <c r="AA124" i="33" s="1"/>
  <c r="I126" i="33"/>
  <c r="K126" i="33" s="1"/>
  <c r="M38" i="38" s="1"/>
  <c r="N38" i="38" s="1"/>
  <c r="E109" i="29"/>
  <c r="E111" i="29"/>
  <c r="E113" i="29"/>
  <c r="E117" i="29"/>
  <c r="E118" i="29"/>
  <c r="E119" i="29"/>
  <c r="E121" i="29"/>
  <c r="E123" i="29"/>
  <c r="E125" i="29"/>
  <c r="E126" i="29"/>
  <c r="E129" i="29"/>
  <c r="E133" i="29"/>
  <c r="E135" i="29"/>
  <c r="E137" i="29"/>
  <c r="E139" i="29"/>
  <c r="E141" i="29"/>
  <c r="E142" i="29"/>
  <c r="E143" i="29"/>
  <c r="E145" i="29"/>
  <c r="E147" i="29"/>
  <c r="E149" i="29"/>
  <c r="E150" i="29"/>
  <c r="E153" i="29"/>
  <c r="E155" i="29"/>
  <c r="E157" i="29"/>
  <c r="E159" i="29"/>
  <c r="E163" i="29"/>
  <c r="E165" i="29"/>
  <c r="E166" i="29"/>
  <c r="E171" i="29"/>
  <c r="E173" i="29"/>
  <c r="E177" i="29"/>
  <c r="E97" i="29"/>
  <c r="E101" i="29"/>
  <c r="E104" i="29"/>
  <c r="E95" i="29"/>
  <c r="Y193" i="29"/>
  <c r="V193" i="29"/>
  <c r="S193" i="29"/>
  <c r="P193" i="29"/>
  <c r="M193" i="29"/>
  <c r="Y192" i="29"/>
  <c r="V192" i="29"/>
  <c r="S192" i="29"/>
  <c r="P192" i="29"/>
  <c r="M192" i="29"/>
  <c r="Y191" i="29"/>
  <c r="V191" i="29"/>
  <c r="S191" i="29"/>
  <c r="P191" i="29"/>
  <c r="M191" i="29"/>
  <c r="Y190" i="29"/>
  <c r="V190" i="29"/>
  <c r="S190" i="29"/>
  <c r="P190" i="29"/>
  <c r="M190" i="29"/>
  <c r="Y189" i="29"/>
  <c r="V189" i="29"/>
  <c r="S189" i="29"/>
  <c r="P189" i="29"/>
  <c r="M189" i="29"/>
  <c r="Y188" i="29"/>
  <c r="V188" i="29"/>
  <c r="S188" i="29"/>
  <c r="P188" i="29"/>
  <c r="M188" i="29"/>
  <c r="Y187" i="29"/>
  <c r="V187" i="29"/>
  <c r="S187" i="29"/>
  <c r="P187" i="29"/>
  <c r="M187" i="29"/>
  <c r="Y186" i="29"/>
  <c r="V186" i="29"/>
  <c r="S186" i="29"/>
  <c r="P186" i="29"/>
  <c r="M186" i="29"/>
  <c r="Y185" i="29"/>
  <c r="V185" i="29"/>
  <c r="S185" i="29"/>
  <c r="P185" i="29"/>
  <c r="M185" i="29"/>
  <c r="Y184" i="29"/>
  <c r="V184" i="29"/>
  <c r="S184" i="29"/>
  <c r="P184" i="29"/>
  <c r="M184" i="29"/>
  <c r="Y183" i="29"/>
  <c r="V183" i="29"/>
  <c r="S183" i="29"/>
  <c r="P183" i="29"/>
  <c r="M183" i="29"/>
  <c r="Y182" i="29"/>
  <c r="V182" i="29"/>
  <c r="S182" i="29"/>
  <c r="P182" i="29"/>
  <c r="M182" i="29"/>
  <c r="E161" i="29"/>
  <c r="W7" i="29"/>
  <c r="O124" i="33" l="1"/>
  <c r="M36" i="36"/>
  <c r="N36" i="36" s="1"/>
  <c r="R124" i="33"/>
  <c r="M36" i="25"/>
  <c r="N36" i="25" s="1"/>
  <c r="G101" i="33"/>
  <c r="H101" i="33" s="1"/>
  <c r="W125" i="33"/>
  <c r="X125" i="33" s="1"/>
  <c r="L125" i="33"/>
  <c r="Z125" i="33"/>
  <c r="AA125" i="33" s="1"/>
  <c r="T125" i="33"/>
  <c r="U125" i="33" s="1"/>
  <c r="N125" i="33"/>
  <c r="Q125" i="33"/>
  <c r="I127" i="33"/>
  <c r="K127" i="33" s="1"/>
  <c r="M39" i="38" s="1"/>
  <c r="N39" i="38" s="1"/>
  <c r="E168" i="29"/>
  <c r="E167" i="29"/>
  <c r="E178" i="29"/>
  <c r="G178" i="29" s="1"/>
  <c r="H178" i="29" s="1"/>
  <c r="E172" i="29"/>
  <c r="E170" i="29"/>
  <c r="E107" i="29"/>
  <c r="E102" i="29"/>
  <c r="E136" i="29"/>
  <c r="E144" i="29"/>
  <c r="E152" i="29"/>
  <c r="E160" i="29"/>
  <c r="E98" i="29"/>
  <c r="E130" i="29"/>
  <c r="E138" i="29"/>
  <c r="E154" i="29"/>
  <c r="E108" i="29"/>
  <c r="E116" i="29"/>
  <c r="E124" i="29"/>
  <c r="E132" i="29"/>
  <c r="E148" i="29"/>
  <c r="E164" i="29"/>
  <c r="E176" i="29"/>
  <c r="G176" i="29" s="1"/>
  <c r="H176" i="29" s="1"/>
  <c r="E192" i="29"/>
  <c r="G192" i="29" s="1"/>
  <c r="H192" i="29" s="1"/>
  <c r="E99" i="29"/>
  <c r="E151" i="29"/>
  <c r="E115" i="29"/>
  <c r="E174" i="29"/>
  <c r="E162" i="29"/>
  <c r="E156" i="29"/>
  <c r="E114" i="29"/>
  <c r="E103" i="29"/>
  <c r="E131" i="29"/>
  <c r="E134" i="29"/>
  <c r="E128" i="29"/>
  <c r="E122" i="29"/>
  <c r="E110" i="29"/>
  <c r="E127" i="29"/>
  <c r="E140" i="29"/>
  <c r="E146" i="29"/>
  <c r="E169" i="29"/>
  <c r="E112" i="29"/>
  <c r="E120" i="29"/>
  <c r="E158" i="29"/>
  <c r="E175" i="29"/>
  <c r="E105" i="29"/>
  <c r="E96" i="29"/>
  <c r="E100" i="29"/>
  <c r="E106" i="29"/>
  <c r="G177" i="29"/>
  <c r="H177" i="29" s="1"/>
  <c r="F196" i="29"/>
  <c r="F179" i="29"/>
  <c r="I8" i="29"/>
  <c r="R125" i="33" l="1"/>
  <c r="M37" i="25"/>
  <c r="N37" i="25" s="1"/>
  <c r="O125" i="33"/>
  <c r="M37" i="36"/>
  <c r="N37" i="36" s="1"/>
  <c r="G100" i="33"/>
  <c r="H100" i="33" s="1"/>
  <c r="W126" i="33"/>
  <c r="X126" i="33" s="1"/>
  <c r="L126" i="33"/>
  <c r="Z126" i="33"/>
  <c r="AA126" i="33" s="1"/>
  <c r="T126" i="33"/>
  <c r="U126" i="33" s="1"/>
  <c r="N126" i="33"/>
  <c r="Q126" i="33"/>
  <c r="I128" i="33"/>
  <c r="K128" i="33" s="1"/>
  <c r="M40" i="38" s="1"/>
  <c r="N40" i="38" s="1"/>
  <c r="G174" i="29"/>
  <c r="H174" i="29" s="1"/>
  <c r="G173" i="29"/>
  <c r="H173" i="29" s="1"/>
  <c r="G175" i="29"/>
  <c r="H175" i="29" s="1"/>
  <c r="R126" i="33" l="1"/>
  <c r="M38" i="25"/>
  <c r="N38" i="25" s="1"/>
  <c r="O126" i="33"/>
  <c r="M38" i="36"/>
  <c r="N38" i="36" s="1"/>
  <c r="N127" i="33"/>
  <c r="W127" i="33"/>
  <c r="X127" i="33" s="1"/>
  <c r="Q127" i="33"/>
  <c r="L127" i="33"/>
  <c r="Z127" i="33"/>
  <c r="AA127" i="33" s="1"/>
  <c r="T127" i="33"/>
  <c r="U127" i="33" s="1"/>
  <c r="I129" i="33"/>
  <c r="K129" i="33" s="1"/>
  <c r="M41" i="38" s="1"/>
  <c r="N41" i="38" s="1"/>
  <c r="G99" i="33"/>
  <c r="H99" i="33" s="1"/>
  <c r="G172" i="29"/>
  <c r="H172" i="29" s="1"/>
  <c r="O127" i="33" l="1"/>
  <c r="M39" i="36"/>
  <c r="N39" i="36" s="1"/>
  <c r="R127" i="33"/>
  <c r="M39" i="25"/>
  <c r="N39" i="25" s="1"/>
  <c r="G98" i="33"/>
  <c r="H98" i="33" s="1"/>
  <c r="Z128" i="33"/>
  <c r="AA128" i="33" s="1"/>
  <c r="T128" i="33"/>
  <c r="U128" i="33" s="1"/>
  <c r="N128" i="33"/>
  <c r="L128" i="33"/>
  <c r="W128" i="33"/>
  <c r="X128" i="33" s="1"/>
  <c r="Q128" i="33"/>
  <c r="I130" i="33"/>
  <c r="K130" i="33" s="1"/>
  <c r="M42" i="38" s="1"/>
  <c r="N42" i="38" s="1"/>
  <c r="G171" i="29"/>
  <c r="H171" i="29" s="1"/>
  <c r="R128" i="33" l="1"/>
  <c r="M40" i="25"/>
  <c r="N40" i="25" s="1"/>
  <c r="O128" i="33"/>
  <c r="M40" i="36"/>
  <c r="N40" i="36" s="1"/>
  <c r="W129" i="33"/>
  <c r="X129" i="33" s="1"/>
  <c r="Q129" i="33"/>
  <c r="Z129" i="33"/>
  <c r="AA129" i="33" s="1"/>
  <c r="T129" i="33"/>
  <c r="U129" i="33" s="1"/>
  <c r="N129" i="33"/>
  <c r="L129" i="33"/>
  <c r="I131" i="33"/>
  <c r="K131" i="33" s="1"/>
  <c r="M43" i="38" s="1"/>
  <c r="N43" i="38" s="1"/>
  <c r="G97" i="33"/>
  <c r="H97" i="33" s="1"/>
  <c r="G170" i="29"/>
  <c r="H170" i="29" s="1"/>
  <c r="O129" i="33" l="1"/>
  <c r="M41" i="36"/>
  <c r="N41" i="36" s="1"/>
  <c r="R129" i="33"/>
  <c r="M41" i="25"/>
  <c r="N41" i="25" s="1"/>
  <c r="W130" i="33"/>
  <c r="X130" i="33" s="1"/>
  <c r="Z130" i="33"/>
  <c r="AA130" i="33" s="1"/>
  <c r="T130" i="33"/>
  <c r="U130" i="33" s="1"/>
  <c r="N130" i="33"/>
  <c r="L130" i="33"/>
  <c r="Q130" i="33"/>
  <c r="G95" i="33"/>
  <c r="H95" i="33" s="1"/>
  <c r="G96" i="33"/>
  <c r="H96" i="33" s="1"/>
  <c r="I132" i="33"/>
  <c r="K132" i="33" s="1"/>
  <c r="M44" i="38" s="1"/>
  <c r="N44" i="38" s="1"/>
  <c r="G169" i="29"/>
  <c r="H169" i="29" s="1"/>
  <c r="R130" i="33" l="1"/>
  <c r="M42" i="25"/>
  <c r="N42" i="25" s="1"/>
  <c r="O130" i="33"/>
  <c r="M42" i="36"/>
  <c r="N42" i="36" s="1"/>
  <c r="I133" i="33"/>
  <c r="K133" i="33" s="1"/>
  <c r="M45" i="38" s="1"/>
  <c r="N45" i="38" s="1"/>
  <c r="L131" i="33"/>
  <c r="Z131" i="33"/>
  <c r="AA131" i="33" s="1"/>
  <c r="T131" i="33"/>
  <c r="U131" i="33" s="1"/>
  <c r="N131" i="33"/>
  <c r="Q131" i="33"/>
  <c r="W131" i="33"/>
  <c r="X131" i="33" s="1"/>
  <c r="G168" i="29"/>
  <c r="H168" i="29" s="1"/>
  <c r="R131" i="33" l="1"/>
  <c r="M43" i="25"/>
  <c r="N43" i="25" s="1"/>
  <c r="O131" i="33"/>
  <c r="M43" i="36"/>
  <c r="N43" i="36" s="1"/>
  <c r="L132" i="33"/>
  <c r="Z132" i="33"/>
  <c r="AA132" i="33" s="1"/>
  <c r="T132" i="33"/>
  <c r="U132" i="33" s="1"/>
  <c r="N132" i="33"/>
  <c r="Q132" i="33"/>
  <c r="W132" i="33"/>
  <c r="X132" i="33" s="1"/>
  <c r="L133" i="33"/>
  <c r="Z133" i="33"/>
  <c r="AA133" i="33" s="1"/>
  <c r="T133" i="33"/>
  <c r="U133" i="33" s="1"/>
  <c r="N133" i="33"/>
  <c r="W133" i="33"/>
  <c r="X133" i="33" s="1"/>
  <c r="Q133" i="33"/>
  <c r="G167" i="29"/>
  <c r="H167" i="29" s="1"/>
  <c r="R133" i="33" l="1"/>
  <c r="M45" i="25"/>
  <c r="N45" i="25" s="1"/>
  <c r="R132" i="33"/>
  <c r="M44" i="25"/>
  <c r="N44" i="25" s="1"/>
  <c r="O133" i="33"/>
  <c r="M45" i="36"/>
  <c r="N45" i="36" s="1"/>
  <c r="O132" i="33"/>
  <c r="M44" i="36"/>
  <c r="N44" i="36" s="1"/>
  <c r="G166" i="29"/>
  <c r="H166" i="29" s="1"/>
  <c r="E184" i="29"/>
  <c r="G184" i="29" s="1"/>
  <c r="H184" i="29" s="1"/>
  <c r="E185" i="29"/>
  <c r="G185" i="29" s="1"/>
  <c r="H185" i="29" s="1"/>
  <c r="E186" i="29"/>
  <c r="E187" i="29"/>
  <c r="G187" i="29" s="1"/>
  <c r="H187" i="29" s="1"/>
  <c r="E188" i="29"/>
  <c r="G188" i="29" s="1"/>
  <c r="H188" i="29" s="1"/>
  <c r="E189" i="29"/>
  <c r="G189" i="29" s="1"/>
  <c r="H189" i="29" s="1"/>
  <c r="E190" i="29"/>
  <c r="G190" i="29" s="1"/>
  <c r="H190" i="29" s="1"/>
  <c r="E191" i="29"/>
  <c r="G191" i="29" s="1"/>
  <c r="H191" i="29" s="1"/>
  <c r="E193" i="29"/>
  <c r="G193" i="29" s="1"/>
  <c r="H193" i="29" s="1"/>
  <c r="E183" i="29"/>
  <c r="G183" i="29" s="1"/>
  <c r="H183" i="29" s="1"/>
  <c r="G165" i="29" l="1"/>
  <c r="H165" i="29" s="1"/>
  <c r="G186" i="29"/>
  <c r="H186" i="29" s="1"/>
  <c r="G107" i="33" l="1"/>
  <c r="H107" i="33" s="1"/>
  <c r="G164" i="29"/>
  <c r="H164" i="29" s="1"/>
  <c r="E182" i="29"/>
  <c r="G182" i="29" s="1"/>
  <c r="H182" i="29" s="1"/>
  <c r="I196" i="29" s="1"/>
  <c r="I119" i="33" l="1"/>
  <c r="I11" i="33" s="1"/>
  <c r="K20" i="29"/>
  <c r="K14" i="29"/>
  <c r="K15" i="29"/>
  <c r="K19" i="29"/>
  <c r="K13" i="29"/>
  <c r="K18" i="29"/>
  <c r="K12" i="29"/>
  <c r="K17" i="29"/>
  <c r="K11" i="29"/>
  <c r="K21" i="29"/>
  <c r="K22" i="29"/>
  <c r="K16" i="29"/>
  <c r="K27" i="29"/>
  <c r="K28" i="29"/>
  <c r="K26" i="29"/>
  <c r="K24" i="29"/>
  <c r="K23" i="29"/>
  <c r="K25" i="29"/>
  <c r="K33" i="29"/>
  <c r="K29" i="29"/>
  <c r="K30" i="29"/>
  <c r="K31" i="29"/>
  <c r="K34" i="29"/>
  <c r="K32" i="29"/>
  <c r="K35" i="29"/>
  <c r="K42" i="29"/>
  <c r="K45" i="29"/>
  <c r="K55" i="29"/>
  <c r="K57" i="29"/>
  <c r="K75" i="29"/>
  <c r="K77" i="29"/>
  <c r="K81" i="29"/>
  <c r="K86" i="29"/>
  <c r="K92" i="29"/>
  <c r="K94" i="29"/>
  <c r="K70" i="29"/>
  <c r="K83" i="29"/>
  <c r="K84" i="29"/>
  <c r="K38" i="29"/>
  <c r="K39" i="29"/>
  <c r="K40" i="29"/>
  <c r="K43" i="29"/>
  <c r="K52" i="29"/>
  <c r="K87" i="29"/>
  <c r="K51" i="29"/>
  <c r="K59" i="29"/>
  <c r="K73" i="29"/>
  <c r="K41" i="29"/>
  <c r="K48" i="29"/>
  <c r="K49" i="29"/>
  <c r="K50" i="29"/>
  <c r="K53" i="29"/>
  <c r="K58" i="29"/>
  <c r="K60" i="29"/>
  <c r="K61" i="29"/>
  <c r="K63" i="29"/>
  <c r="K64" i="29"/>
  <c r="K69" i="29"/>
  <c r="K93" i="29"/>
  <c r="K62" i="29"/>
  <c r="K65" i="29"/>
  <c r="K79" i="29"/>
  <c r="K36" i="29"/>
  <c r="K37" i="29"/>
  <c r="K44" i="29"/>
  <c r="K46" i="29"/>
  <c r="K47" i="29"/>
  <c r="K68" i="29"/>
  <c r="K78" i="29"/>
  <c r="K80" i="29"/>
  <c r="K82" i="29"/>
  <c r="K89" i="29"/>
  <c r="K90" i="29"/>
  <c r="K54" i="29"/>
  <c r="K88" i="29"/>
  <c r="K66" i="29"/>
  <c r="K91" i="29"/>
  <c r="K74" i="29"/>
  <c r="K72" i="29"/>
  <c r="K76" i="29"/>
  <c r="K56" i="29"/>
  <c r="K67" i="29"/>
  <c r="K71" i="29"/>
  <c r="K85" i="29"/>
  <c r="K167" i="29"/>
  <c r="Q167" i="29" s="1"/>
  <c r="G163" i="29"/>
  <c r="H163" i="29" s="1"/>
  <c r="K146" i="29"/>
  <c r="Q146" i="29" s="1"/>
  <c r="K152" i="29"/>
  <c r="N152" i="29" s="1"/>
  <c r="K142" i="29"/>
  <c r="W142" i="29" s="1"/>
  <c r="K131" i="29"/>
  <c r="W131" i="29" s="1"/>
  <c r="K148" i="29"/>
  <c r="W148" i="29" s="1"/>
  <c r="K104" i="29"/>
  <c r="Z104" i="29" s="1"/>
  <c r="K159" i="29"/>
  <c r="W159" i="29" s="1"/>
  <c r="K168" i="29"/>
  <c r="N168" i="29" s="1"/>
  <c r="K114" i="29"/>
  <c r="Q114" i="29" s="1"/>
  <c r="K101" i="29"/>
  <c r="K169" i="29"/>
  <c r="Q169" i="29" s="1"/>
  <c r="K166" i="29"/>
  <c r="T166" i="29" s="1"/>
  <c r="K115" i="29"/>
  <c r="W115" i="29" s="1"/>
  <c r="K129" i="29"/>
  <c r="Z129" i="29" s="1"/>
  <c r="K160" i="29"/>
  <c r="W160" i="29" s="1"/>
  <c r="K133" i="29"/>
  <c r="Q133" i="29" s="1"/>
  <c r="K165" i="29"/>
  <c r="Q165" i="29" s="1"/>
  <c r="K174" i="29"/>
  <c r="W174" i="29" s="1"/>
  <c r="K149" i="29"/>
  <c r="Q149" i="29" s="1"/>
  <c r="K113" i="29"/>
  <c r="Z113" i="29" s="1"/>
  <c r="K158" i="29"/>
  <c r="N158" i="29" s="1"/>
  <c r="K97" i="29"/>
  <c r="W97" i="29" s="1"/>
  <c r="K107" i="29"/>
  <c r="T107" i="29" s="1"/>
  <c r="K151" i="29"/>
  <c r="K123" i="29"/>
  <c r="K128" i="29"/>
  <c r="N128" i="29" s="1"/>
  <c r="K127" i="29"/>
  <c r="N127" i="29" s="1"/>
  <c r="K154" i="29"/>
  <c r="Q154" i="29" s="1"/>
  <c r="K156" i="29"/>
  <c r="T156" i="29" s="1"/>
  <c r="K118" i="29"/>
  <c r="W118" i="29" s="1"/>
  <c r="K140" i="29"/>
  <c r="W140" i="29" s="1"/>
  <c r="K124" i="29"/>
  <c r="N124" i="29" s="1"/>
  <c r="K161" i="29"/>
  <c r="Q161" i="29" s="1"/>
  <c r="K137" i="29"/>
  <c r="K177" i="29"/>
  <c r="W177" i="29" s="1"/>
  <c r="K116" i="29"/>
  <c r="N116" i="29" s="1"/>
  <c r="K164" i="29"/>
  <c r="K138" i="29"/>
  <c r="K100" i="29"/>
  <c r="K147" i="29"/>
  <c r="K95" i="29"/>
  <c r="K132" i="29"/>
  <c r="K117" i="29"/>
  <c r="K122" i="29"/>
  <c r="Z122" i="29" s="1"/>
  <c r="K96" i="29"/>
  <c r="K108" i="29"/>
  <c r="K155" i="29"/>
  <c r="Z155" i="29" s="1"/>
  <c r="K98" i="29"/>
  <c r="K125" i="29"/>
  <c r="K130" i="29"/>
  <c r="K144" i="29"/>
  <c r="K139" i="29"/>
  <c r="K111" i="29"/>
  <c r="K163" i="29"/>
  <c r="K176" i="29"/>
  <c r="K157" i="29"/>
  <c r="K178" i="29"/>
  <c r="K170" i="29"/>
  <c r="Q170" i="29" s="1"/>
  <c r="K141" i="29"/>
  <c r="T141" i="29" s="1"/>
  <c r="K105" i="29"/>
  <c r="Q105" i="29" s="1"/>
  <c r="K143" i="29"/>
  <c r="K136" i="29"/>
  <c r="K112" i="29"/>
  <c r="K110" i="29"/>
  <c r="K171" i="29"/>
  <c r="K162" i="29"/>
  <c r="K175" i="29"/>
  <c r="I182" i="29"/>
  <c r="K182" i="29" s="1"/>
  <c r="K102" i="29"/>
  <c r="K173" i="29"/>
  <c r="K126" i="29"/>
  <c r="W126" i="29" s="1"/>
  <c r="K172" i="29"/>
  <c r="W172" i="29" s="1"/>
  <c r="K120" i="29"/>
  <c r="W120" i="29" s="1"/>
  <c r="K99" i="29"/>
  <c r="Z99" i="29" s="1"/>
  <c r="K109" i="29"/>
  <c r="W109" i="29" s="1"/>
  <c r="K106" i="29"/>
  <c r="W106" i="29" s="1"/>
  <c r="K153" i="29"/>
  <c r="N153" i="29" s="1"/>
  <c r="K145" i="29"/>
  <c r="N145" i="29" s="1"/>
  <c r="K135" i="29"/>
  <c r="T135" i="29" s="1"/>
  <c r="K119" i="29"/>
  <c r="T119" i="29" s="1"/>
  <c r="K103" i="29"/>
  <c r="K150" i="29"/>
  <c r="T150" i="29" s="1"/>
  <c r="K134" i="29"/>
  <c r="Q134" i="29" s="1"/>
  <c r="K121" i="29"/>
  <c r="Z121" i="29" s="1"/>
  <c r="G2" i="25"/>
  <c r="I12" i="33" l="1"/>
  <c r="J12" i="33" s="1"/>
  <c r="J11" i="33"/>
  <c r="Y11" i="33" s="1"/>
  <c r="AA11" i="33" s="1"/>
  <c r="I13" i="33"/>
  <c r="Z16" i="29"/>
  <c r="T16" i="29"/>
  <c r="N16" i="29"/>
  <c r="W16" i="29"/>
  <c r="Q16" i="29"/>
  <c r="Z18" i="29"/>
  <c r="W18" i="29"/>
  <c r="Q18" i="29"/>
  <c r="N18" i="29"/>
  <c r="T18" i="29"/>
  <c r="W13" i="29"/>
  <c r="Q13" i="29"/>
  <c r="Z13" i="29"/>
  <c r="T13" i="29"/>
  <c r="N13" i="29"/>
  <c r="Z21" i="29"/>
  <c r="T21" i="29"/>
  <c r="N21" i="29"/>
  <c r="W21" i="29"/>
  <c r="Q21" i="29"/>
  <c r="W19" i="29"/>
  <c r="Q19" i="29"/>
  <c r="Z19" i="29"/>
  <c r="T19" i="29"/>
  <c r="N19" i="29"/>
  <c r="Z11" i="29"/>
  <c r="T11" i="29"/>
  <c r="N11" i="29"/>
  <c r="W11" i="29"/>
  <c r="Q11" i="29"/>
  <c r="W15" i="29"/>
  <c r="Q15" i="29"/>
  <c r="Z15" i="29"/>
  <c r="T15" i="29"/>
  <c r="N15" i="29"/>
  <c r="Z22" i="29"/>
  <c r="T22" i="29"/>
  <c r="N22" i="29"/>
  <c r="W22" i="29"/>
  <c r="Q22" i="29"/>
  <c r="Z17" i="29"/>
  <c r="T17" i="29"/>
  <c r="N17" i="29"/>
  <c r="W17" i="29"/>
  <c r="Q17" i="29"/>
  <c r="W14" i="29"/>
  <c r="Q14" i="29"/>
  <c r="Z14" i="29"/>
  <c r="T14" i="29"/>
  <c r="N14" i="29"/>
  <c r="T12" i="29"/>
  <c r="W12" i="29"/>
  <c r="Q12" i="29"/>
  <c r="Z12" i="29"/>
  <c r="N12" i="29"/>
  <c r="W20" i="29"/>
  <c r="Q20" i="29"/>
  <c r="Z20" i="29"/>
  <c r="T20" i="29"/>
  <c r="N20" i="29"/>
  <c r="W167" i="29"/>
  <c r="Z167" i="29"/>
  <c r="T167" i="29"/>
  <c r="Z25" i="29"/>
  <c r="Q25" i="29"/>
  <c r="W25" i="29"/>
  <c r="N25" i="29"/>
  <c r="T25" i="29"/>
  <c r="N23" i="29"/>
  <c r="T23" i="29"/>
  <c r="W23" i="29"/>
  <c r="Q23" i="29"/>
  <c r="Z23" i="29"/>
  <c r="N24" i="29"/>
  <c r="W24" i="29"/>
  <c r="Q24" i="29"/>
  <c r="Z24" i="29"/>
  <c r="T24" i="29"/>
  <c r="Z26" i="29"/>
  <c r="N26" i="29"/>
  <c r="T26" i="29"/>
  <c r="W26" i="29"/>
  <c r="Q26" i="29"/>
  <c r="Q28" i="29"/>
  <c r="W28" i="29"/>
  <c r="N28" i="29"/>
  <c r="T28" i="29"/>
  <c r="Z28" i="29"/>
  <c r="W27" i="29"/>
  <c r="N27" i="29"/>
  <c r="Z27" i="29"/>
  <c r="T27" i="29"/>
  <c r="Q27" i="29"/>
  <c r="T32" i="29"/>
  <c r="W32" i="29"/>
  <c r="Q32" i="29"/>
  <c r="N32" i="29"/>
  <c r="Z32" i="29"/>
  <c r="Q34" i="29"/>
  <c r="W34" i="29"/>
  <c r="T34" i="29"/>
  <c r="Z34" i="29"/>
  <c r="N34" i="29"/>
  <c r="Q31" i="29"/>
  <c r="W31" i="29"/>
  <c r="Z31" i="29"/>
  <c r="N31" i="29"/>
  <c r="T31" i="29"/>
  <c r="N30" i="29"/>
  <c r="Q30" i="29"/>
  <c r="W30" i="29"/>
  <c r="Z30" i="29"/>
  <c r="T30" i="29"/>
  <c r="Z29" i="29"/>
  <c r="N29" i="29"/>
  <c r="Q29" i="29"/>
  <c r="T29" i="29"/>
  <c r="W29" i="29"/>
  <c r="N35" i="29"/>
  <c r="T35" i="29"/>
  <c r="Q35" i="29"/>
  <c r="W35" i="29"/>
  <c r="Z35" i="29"/>
  <c r="Q33" i="29"/>
  <c r="N33" i="29"/>
  <c r="T33" i="29"/>
  <c r="W33" i="29"/>
  <c r="Z33" i="29"/>
  <c r="Q72" i="29"/>
  <c r="N72" i="29"/>
  <c r="Z72" i="29"/>
  <c r="T72" i="29"/>
  <c r="W72" i="29"/>
  <c r="T90" i="29"/>
  <c r="N90" i="29"/>
  <c r="W90" i="29"/>
  <c r="Q90" i="29"/>
  <c r="Z90" i="29"/>
  <c r="Q47" i="29"/>
  <c r="T47" i="29"/>
  <c r="W47" i="29"/>
  <c r="Z47" i="29"/>
  <c r="N47" i="29"/>
  <c r="W65" i="29"/>
  <c r="N65" i="29"/>
  <c r="T65" i="29"/>
  <c r="Q65" i="29"/>
  <c r="Z65" i="29"/>
  <c r="T61" i="29"/>
  <c r="W61" i="29"/>
  <c r="Z61" i="29"/>
  <c r="N61" i="29"/>
  <c r="Q61" i="29"/>
  <c r="W48" i="29"/>
  <c r="N48" i="29"/>
  <c r="Z48" i="29"/>
  <c r="Q48" i="29"/>
  <c r="T48" i="29"/>
  <c r="Q52" i="29"/>
  <c r="W52" i="29"/>
  <c r="T52" i="29"/>
  <c r="Z52" i="29"/>
  <c r="N52" i="29"/>
  <c r="Q83" i="29"/>
  <c r="T83" i="29"/>
  <c r="Z83" i="29"/>
  <c r="W83" i="29"/>
  <c r="N83" i="29"/>
  <c r="W77" i="29"/>
  <c r="N77" i="29"/>
  <c r="T77" i="29"/>
  <c r="Z77" i="29"/>
  <c r="Q77" i="29"/>
  <c r="Q85" i="29"/>
  <c r="W85" i="29"/>
  <c r="T85" i="29"/>
  <c r="N85" i="29"/>
  <c r="Z85" i="29"/>
  <c r="Z74" i="29"/>
  <c r="Q74" i="29"/>
  <c r="T74" i="29"/>
  <c r="N74" i="29"/>
  <c r="W74" i="29"/>
  <c r="N89" i="29"/>
  <c r="Q89" i="29"/>
  <c r="T89" i="29"/>
  <c r="Z89" i="29"/>
  <c r="W89" i="29"/>
  <c r="W46" i="29"/>
  <c r="Z46" i="29"/>
  <c r="N46" i="29"/>
  <c r="T46" i="29"/>
  <c r="Q46" i="29"/>
  <c r="N62" i="29"/>
  <c r="Z62" i="29"/>
  <c r="T62" i="29"/>
  <c r="W62" i="29"/>
  <c r="Q62" i="29"/>
  <c r="W60" i="29"/>
  <c r="N60" i="29"/>
  <c r="Z60" i="29"/>
  <c r="Q60" i="29"/>
  <c r="T60" i="29"/>
  <c r="W41" i="29"/>
  <c r="Z41" i="29"/>
  <c r="N41" i="29"/>
  <c r="Q41" i="29"/>
  <c r="T41" i="29"/>
  <c r="T43" i="29"/>
  <c r="W43" i="29"/>
  <c r="N43" i="29"/>
  <c r="Z43" i="29"/>
  <c r="Q43" i="29"/>
  <c r="W70" i="29"/>
  <c r="N70" i="29"/>
  <c r="Q70" i="29"/>
  <c r="T70" i="29"/>
  <c r="Z70" i="29"/>
  <c r="Z75" i="29"/>
  <c r="N75" i="29"/>
  <c r="Q75" i="29"/>
  <c r="T75" i="29"/>
  <c r="W75" i="29"/>
  <c r="N71" i="29"/>
  <c r="T71" i="29"/>
  <c r="Z71" i="29"/>
  <c r="W71" i="29"/>
  <c r="Q71" i="29"/>
  <c r="Q91" i="29"/>
  <c r="W91" i="29"/>
  <c r="T91" i="29"/>
  <c r="N91" i="29"/>
  <c r="Z91" i="29"/>
  <c r="Q82" i="29"/>
  <c r="T82" i="29"/>
  <c r="W82" i="29"/>
  <c r="Z82" i="29"/>
  <c r="N82" i="29"/>
  <c r="W44" i="29"/>
  <c r="Q44" i="29"/>
  <c r="N44" i="29"/>
  <c r="T44" i="29"/>
  <c r="Z44" i="29"/>
  <c r="W93" i="29"/>
  <c r="Z93" i="29"/>
  <c r="Q93" i="29"/>
  <c r="T93" i="29"/>
  <c r="N93" i="29"/>
  <c r="Q58" i="29"/>
  <c r="T58" i="29"/>
  <c r="Z58" i="29"/>
  <c r="W58" i="29"/>
  <c r="N58" i="29"/>
  <c r="Z73" i="29"/>
  <c r="Q73" i="29"/>
  <c r="T73" i="29"/>
  <c r="W73" i="29"/>
  <c r="N73" i="29"/>
  <c r="W40" i="29"/>
  <c r="T40" i="29"/>
  <c r="Q40" i="29"/>
  <c r="Z40" i="29"/>
  <c r="N40" i="29"/>
  <c r="N94" i="29"/>
  <c r="Q94" i="29"/>
  <c r="W94" i="29"/>
  <c r="T94" i="29"/>
  <c r="Z94" i="29"/>
  <c r="Q57" i="29"/>
  <c r="W57" i="29"/>
  <c r="N57" i="29"/>
  <c r="T57" i="29"/>
  <c r="Z57" i="29"/>
  <c r="Z67" i="29"/>
  <c r="N67" i="29"/>
  <c r="T67" i="29"/>
  <c r="Q67" i="29"/>
  <c r="W67" i="29"/>
  <c r="W66" i="29"/>
  <c r="Q66" i="29"/>
  <c r="N66" i="29"/>
  <c r="T66" i="29"/>
  <c r="Z66" i="29"/>
  <c r="W80" i="29"/>
  <c r="Q80" i="29"/>
  <c r="T80" i="29"/>
  <c r="N80" i="29"/>
  <c r="Z80" i="29"/>
  <c r="N37" i="29"/>
  <c r="Z37" i="29"/>
  <c r="Q37" i="29"/>
  <c r="T37" i="29"/>
  <c r="W37" i="29"/>
  <c r="T69" i="29"/>
  <c r="N69" i="29"/>
  <c r="W69" i="29"/>
  <c r="Z69" i="29"/>
  <c r="Q69" i="29"/>
  <c r="W53" i="29"/>
  <c r="N53" i="29"/>
  <c r="Z53" i="29"/>
  <c r="Q53" i="29"/>
  <c r="T53" i="29"/>
  <c r="Q59" i="29"/>
  <c r="T59" i="29"/>
  <c r="W59" i="29"/>
  <c r="N59" i="29"/>
  <c r="Z59" i="29"/>
  <c r="Q39" i="29"/>
  <c r="W39" i="29"/>
  <c r="N39" i="29"/>
  <c r="T39" i="29"/>
  <c r="Z39" i="29"/>
  <c r="Q92" i="29"/>
  <c r="W92" i="29"/>
  <c r="Z92" i="29"/>
  <c r="N92" i="29"/>
  <c r="T92" i="29"/>
  <c r="N55" i="29"/>
  <c r="Q55" i="29"/>
  <c r="T55" i="29"/>
  <c r="W55" i="29"/>
  <c r="Z55" i="29"/>
  <c r="N56" i="29"/>
  <c r="T56" i="29"/>
  <c r="Z56" i="29"/>
  <c r="Q56" i="29"/>
  <c r="W56" i="29"/>
  <c r="N88" i="29"/>
  <c r="Q88" i="29"/>
  <c r="T88" i="29"/>
  <c r="Z88" i="29"/>
  <c r="W88" i="29"/>
  <c r="W78" i="29"/>
  <c r="N78" i="29"/>
  <c r="T78" i="29"/>
  <c r="Q78" i="29"/>
  <c r="Z78" i="29"/>
  <c r="Q36" i="29"/>
  <c r="T36" i="29"/>
  <c r="Z36" i="29"/>
  <c r="W36" i="29"/>
  <c r="N36" i="29"/>
  <c r="W64" i="29"/>
  <c r="N64" i="29"/>
  <c r="Z64" i="29"/>
  <c r="T64" i="29"/>
  <c r="Q64" i="29"/>
  <c r="Q50" i="29"/>
  <c r="W50" i="29"/>
  <c r="N50" i="29"/>
  <c r="Z50" i="29"/>
  <c r="T50" i="29"/>
  <c r="Q51" i="29"/>
  <c r="W51" i="29"/>
  <c r="Z51" i="29"/>
  <c r="T51" i="29"/>
  <c r="N51" i="29"/>
  <c r="Q38" i="29"/>
  <c r="W38" i="29"/>
  <c r="T38" i="29"/>
  <c r="Z38" i="29"/>
  <c r="N38" i="29"/>
  <c r="Q86" i="29"/>
  <c r="N86" i="29"/>
  <c r="W86" i="29"/>
  <c r="Z86" i="29"/>
  <c r="T86" i="29"/>
  <c r="Q45" i="29"/>
  <c r="W45" i="29"/>
  <c r="N45" i="29"/>
  <c r="T45" i="29"/>
  <c r="Z45" i="29"/>
  <c r="N76" i="29"/>
  <c r="Q76" i="29"/>
  <c r="T76" i="29"/>
  <c r="W76" i="29"/>
  <c r="Z76" i="29"/>
  <c r="N54" i="29"/>
  <c r="Q54" i="29"/>
  <c r="T54" i="29"/>
  <c r="W54" i="29"/>
  <c r="Z54" i="29"/>
  <c r="T68" i="29"/>
  <c r="Q68" i="29"/>
  <c r="N68" i="29"/>
  <c r="W68" i="29"/>
  <c r="Z68" i="29"/>
  <c r="Q79" i="29"/>
  <c r="W79" i="29"/>
  <c r="T79" i="29"/>
  <c r="N79" i="29"/>
  <c r="Z79" i="29"/>
  <c r="Z63" i="29"/>
  <c r="N63" i="29"/>
  <c r="W63" i="29"/>
  <c r="T63" i="29"/>
  <c r="Q63" i="29"/>
  <c r="W49" i="29"/>
  <c r="N49" i="29"/>
  <c r="Z49" i="29"/>
  <c r="Q49" i="29"/>
  <c r="T49" i="29"/>
  <c r="W87" i="29"/>
  <c r="Z87" i="29"/>
  <c r="N87" i="29"/>
  <c r="T87" i="29"/>
  <c r="Q87" i="29"/>
  <c r="W84" i="29"/>
  <c r="N84" i="29"/>
  <c r="Q84" i="29"/>
  <c r="Z84" i="29"/>
  <c r="T84" i="29"/>
  <c r="Z81" i="29"/>
  <c r="T81" i="29"/>
  <c r="N81" i="29"/>
  <c r="Q81" i="29"/>
  <c r="W81" i="29"/>
  <c r="N42" i="29"/>
  <c r="Q42" i="29"/>
  <c r="T42" i="29"/>
  <c r="W42" i="29"/>
  <c r="Z42" i="29"/>
  <c r="N167" i="29"/>
  <c r="G162" i="29"/>
  <c r="H162" i="29" s="1"/>
  <c r="Z159" i="29"/>
  <c r="Z115" i="29"/>
  <c r="Q174" i="29"/>
  <c r="Z170" i="29"/>
  <c r="T106" i="29"/>
  <c r="Q156" i="29"/>
  <c r="N159" i="29"/>
  <c r="W146" i="29"/>
  <c r="Z156" i="29"/>
  <c r="N146" i="29"/>
  <c r="T115" i="29"/>
  <c r="Z152" i="29"/>
  <c r="T174" i="29"/>
  <c r="Q115" i="29"/>
  <c r="N150" i="29"/>
  <c r="N174" i="29"/>
  <c r="Q106" i="29"/>
  <c r="Z174" i="29"/>
  <c r="Q159" i="29"/>
  <c r="Z146" i="29"/>
  <c r="N149" i="29"/>
  <c r="T146" i="29"/>
  <c r="N141" i="29"/>
  <c r="W156" i="29"/>
  <c r="N156" i="29"/>
  <c r="N106" i="29"/>
  <c r="T159" i="29"/>
  <c r="N118" i="29"/>
  <c r="W149" i="29"/>
  <c r="Q126" i="29"/>
  <c r="N166" i="29"/>
  <c r="N165" i="29"/>
  <c r="W165" i="29"/>
  <c r="W152" i="29"/>
  <c r="Q166" i="29"/>
  <c r="T109" i="29"/>
  <c r="T152" i="29"/>
  <c r="Q152" i="29"/>
  <c r="T134" i="29"/>
  <c r="Z107" i="29"/>
  <c r="Q129" i="29"/>
  <c r="Q140" i="29"/>
  <c r="T140" i="29"/>
  <c r="Q113" i="29"/>
  <c r="Z153" i="29"/>
  <c r="Z150" i="29"/>
  <c r="N129" i="29"/>
  <c r="N142" i="29"/>
  <c r="T113" i="29"/>
  <c r="N172" i="29"/>
  <c r="W168" i="29"/>
  <c r="Z168" i="29"/>
  <c r="W145" i="29"/>
  <c r="Z114" i="29"/>
  <c r="T114" i="29"/>
  <c r="Q128" i="29"/>
  <c r="Z149" i="29"/>
  <c r="Q142" i="29"/>
  <c r="N140" i="29"/>
  <c r="T153" i="29"/>
  <c r="N121" i="29"/>
  <c r="W114" i="29"/>
  <c r="T129" i="29"/>
  <c r="T105" i="29"/>
  <c r="Z142" i="29"/>
  <c r="T118" i="29"/>
  <c r="Z140" i="29"/>
  <c r="T149" i="29"/>
  <c r="W129" i="29"/>
  <c r="Q168" i="29"/>
  <c r="T168" i="29"/>
  <c r="N115" i="29"/>
  <c r="W161" i="29"/>
  <c r="N148" i="29"/>
  <c r="T131" i="29"/>
  <c r="N161" i="29"/>
  <c r="N135" i="29"/>
  <c r="T124" i="29"/>
  <c r="Q160" i="29"/>
  <c r="N134" i="29"/>
  <c r="Z161" i="29"/>
  <c r="T160" i="29"/>
  <c r="N160" i="29"/>
  <c r="T172" i="29"/>
  <c r="T161" i="29"/>
  <c r="Q172" i="29"/>
  <c r="Z154" i="29"/>
  <c r="Q148" i="29"/>
  <c r="Z160" i="29"/>
  <c r="W101" i="29"/>
  <c r="Q131" i="29"/>
  <c r="N131" i="29"/>
  <c r="Q124" i="29"/>
  <c r="W133" i="29"/>
  <c r="Q153" i="29"/>
  <c r="N169" i="29"/>
  <c r="N126" i="29"/>
  <c r="Z106" i="29"/>
  <c r="T154" i="29"/>
  <c r="W154" i="29"/>
  <c r="N133" i="29"/>
  <c r="Z133" i="29"/>
  <c r="Q135" i="29"/>
  <c r="N101" i="29"/>
  <c r="W158" i="29"/>
  <c r="T101" i="29"/>
  <c r="T148" i="29"/>
  <c r="N97" i="29"/>
  <c r="Z135" i="29"/>
  <c r="W135" i="29"/>
  <c r="Z131" i="29"/>
  <c r="N154" i="29"/>
  <c r="T142" i="29"/>
  <c r="T133" i="29"/>
  <c r="Q158" i="29"/>
  <c r="T158" i="29"/>
  <c r="Q97" i="29"/>
  <c r="Q120" i="29"/>
  <c r="N120" i="29"/>
  <c r="W153" i="29"/>
  <c r="Q101" i="29"/>
  <c r="N114" i="29"/>
  <c r="W103" i="29"/>
  <c r="Q103" i="29"/>
  <c r="Z109" i="29"/>
  <c r="Q109" i="29"/>
  <c r="Z102" i="29"/>
  <c r="N102" i="29"/>
  <c r="T102" i="29"/>
  <c r="W102" i="29"/>
  <c r="Q102" i="29"/>
  <c r="N112" i="29"/>
  <c r="T112" i="29"/>
  <c r="Z112" i="29"/>
  <c r="W112" i="29"/>
  <c r="Q112" i="29"/>
  <c r="W178" i="29"/>
  <c r="Z178" i="29"/>
  <c r="W144" i="29"/>
  <c r="Q144" i="29"/>
  <c r="N144" i="29"/>
  <c r="T144" i="29"/>
  <c r="Z144" i="29"/>
  <c r="Z96" i="29"/>
  <c r="Q96" i="29"/>
  <c r="T96" i="29"/>
  <c r="N96" i="29"/>
  <c r="N147" i="29"/>
  <c r="Z147" i="29"/>
  <c r="Q147" i="29"/>
  <c r="T147" i="29"/>
  <c r="W147" i="29"/>
  <c r="T137" i="29"/>
  <c r="N137" i="29"/>
  <c r="Q137" i="29"/>
  <c r="W137" i="29"/>
  <c r="Z137" i="29"/>
  <c r="N103" i="29"/>
  <c r="W96" i="29"/>
  <c r="N119" i="29"/>
  <c r="W119" i="29"/>
  <c r="N99" i="29"/>
  <c r="T99" i="29"/>
  <c r="I183" i="29"/>
  <c r="K183" i="29" s="1"/>
  <c r="W136" i="29"/>
  <c r="Q136" i="29"/>
  <c r="Z136" i="29"/>
  <c r="T136" i="29"/>
  <c r="N136" i="29"/>
  <c r="T157" i="29"/>
  <c r="N157" i="29"/>
  <c r="Z157" i="29"/>
  <c r="Q157" i="29"/>
  <c r="W157" i="29"/>
  <c r="N130" i="29"/>
  <c r="Q130" i="29"/>
  <c r="Z130" i="29"/>
  <c r="W130" i="29"/>
  <c r="W122" i="29"/>
  <c r="Q122" i="29"/>
  <c r="T122" i="29"/>
  <c r="N122" i="29"/>
  <c r="Z100" i="29"/>
  <c r="N100" i="29"/>
  <c r="Q100" i="29"/>
  <c r="T100" i="29"/>
  <c r="W100" i="29"/>
  <c r="Q175" i="29"/>
  <c r="T175" i="29"/>
  <c r="W175" i="29"/>
  <c r="Z175" i="29"/>
  <c r="N175" i="29"/>
  <c r="Z143" i="29"/>
  <c r="W143" i="29"/>
  <c r="Q143" i="29"/>
  <c r="T143" i="29"/>
  <c r="N143" i="29"/>
  <c r="N176" i="29"/>
  <c r="Q176" i="29"/>
  <c r="Z176" i="29"/>
  <c r="T176" i="29"/>
  <c r="W176" i="29"/>
  <c r="T125" i="29"/>
  <c r="N125" i="29"/>
  <c r="W125" i="29"/>
  <c r="Q125" i="29"/>
  <c r="T117" i="29"/>
  <c r="W117" i="29"/>
  <c r="Q117" i="29"/>
  <c r="Z117" i="29"/>
  <c r="Z138" i="29"/>
  <c r="N138" i="29"/>
  <c r="T138" i="29"/>
  <c r="Q138" i="29"/>
  <c r="W138" i="29"/>
  <c r="Q127" i="29"/>
  <c r="W127" i="29"/>
  <c r="Z127" i="29"/>
  <c r="T127" i="29"/>
  <c r="N107" i="29"/>
  <c r="Q107" i="29"/>
  <c r="T178" i="29"/>
  <c r="W99" i="29"/>
  <c r="T103" i="29"/>
  <c r="Z103" i="29"/>
  <c r="W104" i="29"/>
  <c r="Q119" i="29"/>
  <c r="W166" i="29"/>
  <c r="Z120" i="29"/>
  <c r="T169" i="29"/>
  <c r="T130" i="29"/>
  <c r="N117" i="29"/>
  <c r="Z148" i="29"/>
  <c r="W121" i="29"/>
  <c r="T121" i="29"/>
  <c r="Z145" i="29"/>
  <c r="Q145" i="29"/>
  <c r="T162" i="29"/>
  <c r="N162" i="29"/>
  <c r="Z162" i="29"/>
  <c r="W162" i="29"/>
  <c r="Q162" i="29"/>
  <c r="Z105" i="29"/>
  <c r="W105" i="29"/>
  <c r="N105" i="29"/>
  <c r="T163" i="29"/>
  <c r="N163" i="29"/>
  <c r="Q163" i="29"/>
  <c r="W163" i="29"/>
  <c r="Z163" i="29"/>
  <c r="N98" i="29"/>
  <c r="T98" i="29"/>
  <c r="Q98" i="29"/>
  <c r="Z98" i="29"/>
  <c r="W98" i="29"/>
  <c r="Q164" i="29"/>
  <c r="Z164" i="29"/>
  <c r="W164" i="29"/>
  <c r="N164" i="29"/>
  <c r="T164" i="29"/>
  <c r="Z128" i="29"/>
  <c r="T128" i="29"/>
  <c r="W113" i="29"/>
  <c r="N113" i="29"/>
  <c r="Z158" i="29"/>
  <c r="T120" i="29"/>
  <c r="T104" i="29"/>
  <c r="Z119" i="29"/>
  <c r="T145" i="29"/>
  <c r="W169" i="29"/>
  <c r="N104" i="29"/>
  <c r="Q104" i="29"/>
  <c r="Z134" i="29"/>
  <c r="W134" i="29"/>
  <c r="Z126" i="29"/>
  <c r="T126" i="29"/>
  <c r="N171" i="29"/>
  <c r="W171" i="29"/>
  <c r="Z171" i="29"/>
  <c r="Q171" i="29"/>
  <c r="T171" i="29"/>
  <c r="Q141" i="29"/>
  <c r="W141" i="29"/>
  <c r="Z141" i="29"/>
  <c r="Q111" i="29"/>
  <c r="N111" i="29"/>
  <c r="T111" i="29"/>
  <c r="Z111" i="29"/>
  <c r="W111" i="29"/>
  <c r="T155" i="29"/>
  <c r="Q155" i="29"/>
  <c r="N155" i="29"/>
  <c r="W155" i="29"/>
  <c r="Q132" i="29"/>
  <c r="Z132" i="29"/>
  <c r="T132" i="29"/>
  <c r="W132" i="29"/>
  <c r="N132" i="29"/>
  <c r="Q116" i="29"/>
  <c r="W116" i="29"/>
  <c r="Z116" i="29"/>
  <c r="T116" i="29"/>
  <c r="Z118" i="29"/>
  <c r="Q118" i="29"/>
  <c r="Z123" i="29"/>
  <c r="N123" i="29"/>
  <c r="Q123" i="29"/>
  <c r="T123" i="29"/>
  <c r="W123" i="29"/>
  <c r="Z124" i="29"/>
  <c r="Q99" i="29"/>
  <c r="N178" i="29"/>
  <c r="T97" i="29"/>
  <c r="Z165" i="29"/>
  <c r="W107" i="29"/>
  <c r="T165" i="29"/>
  <c r="Z97" i="29"/>
  <c r="Q178" i="29"/>
  <c r="N109" i="29"/>
  <c r="Q121" i="29"/>
  <c r="Z169" i="29"/>
  <c r="Z172" i="29"/>
  <c r="Z166" i="29"/>
  <c r="Z101" i="29"/>
  <c r="W128" i="29"/>
  <c r="Z125" i="29"/>
  <c r="W124" i="29"/>
  <c r="W150" i="29"/>
  <c r="Q150" i="29"/>
  <c r="T173" i="29"/>
  <c r="W173" i="29"/>
  <c r="Q173" i="29"/>
  <c r="N173" i="29"/>
  <c r="Z173" i="29"/>
  <c r="N110" i="29"/>
  <c r="T110" i="29"/>
  <c r="Z110" i="29"/>
  <c r="W110" i="29"/>
  <c r="Q110" i="29"/>
  <c r="T170" i="29"/>
  <c r="N170" i="29"/>
  <c r="W170" i="29"/>
  <c r="Z139" i="29"/>
  <c r="Q139" i="29"/>
  <c r="W139" i="29"/>
  <c r="N139" i="29"/>
  <c r="T139" i="29"/>
  <c r="Q108" i="29"/>
  <c r="Z108" i="29"/>
  <c r="T108" i="29"/>
  <c r="N108" i="29"/>
  <c r="W108" i="29"/>
  <c r="N95" i="29"/>
  <c r="Z95" i="29"/>
  <c r="T95" i="29"/>
  <c r="Q95" i="29"/>
  <c r="W95" i="29"/>
  <c r="Q177" i="29"/>
  <c r="Z177" i="29"/>
  <c r="T177" i="29"/>
  <c r="N177" i="29"/>
  <c r="W151" i="29"/>
  <c r="N151" i="29"/>
  <c r="T151" i="29"/>
  <c r="Z151" i="29"/>
  <c r="Q151" i="29"/>
  <c r="G2" i="24"/>
  <c r="V11" i="33" l="1"/>
  <c r="X11" i="33" s="1"/>
  <c r="P11" i="33"/>
  <c r="R11" i="33" s="1"/>
  <c r="L11" i="33"/>
  <c r="M11" i="33"/>
  <c r="O11" i="33" s="1"/>
  <c r="S11" i="33"/>
  <c r="U11" i="33" s="1"/>
  <c r="J13" i="33"/>
  <c r="I14" i="33"/>
  <c r="P12" i="33"/>
  <c r="R12" i="33" s="1"/>
  <c r="L12" i="33"/>
  <c r="V12" i="33"/>
  <c r="X12" i="33" s="1"/>
  <c r="M12" i="33"/>
  <c r="O12" i="33" s="1"/>
  <c r="S12" i="33"/>
  <c r="U12" i="33" s="1"/>
  <c r="Y12" i="33"/>
  <c r="AA12" i="33" s="1"/>
  <c r="G161" i="29"/>
  <c r="H161" i="29" s="1"/>
  <c r="I184" i="29"/>
  <c r="K184" i="29" s="1"/>
  <c r="W182" i="29"/>
  <c r="X182" i="29" s="1"/>
  <c r="Z182" i="29"/>
  <c r="AA182" i="29" s="1"/>
  <c r="T182" i="29"/>
  <c r="U182" i="29" s="1"/>
  <c r="N182" i="29"/>
  <c r="O182" i="29" s="1"/>
  <c r="L182" i="29"/>
  <c r="Q182" i="29"/>
  <c r="R182" i="29" s="1"/>
  <c r="J14" i="33" l="1"/>
  <c r="I15" i="33"/>
  <c r="P13" i="33"/>
  <c r="R13" i="33" s="1"/>
  <c r="L13" i="33"/>
  <c r="Y13" i="33"/>
  <c r="AA13" i="33" s="1"/>
  <c r="M13" i="33"/>
  <c r="O13" i="33" s="1"/>
  <c r="S13" i="33"/>
  <c r="U13" i="33" s="1"/>
  <c r="V13" i="33"/>
  <c r="X13" i="33" s="1"/>
  <c r="G160" i="29"/>
  <c r="H160" i="29" s="1"/>
  <c r="I185" i="29"/>
  <c r="K185" i="29" s="1"/>
  <c r="Q183" i="29"/>
  <c r="R183" i="29" s="1"/>
  <c r="Z183" i="29"/>
  <c r="AA183" i="29" s="1"/>
  <c r="L183" i="29"/>
  <c r="T183" i="29"/>
  <c r="U183" i="29" s="1"/>
  <c r="W183" i="29"/>
  <c r="X183" i="29" s="1"/>
  <c r="N183" i="29"/>
  <c r="O183" i="29" s="1"/>
  <c r="J15" i="33" l="1"/>
  <c r="I16" i="33"/>
  <c r="L14" i="33"/>
  <c r="P14" i="33"/>
  <c r="R14" i="33" s="1"/>
  <c r="Y14" i="33"/>
  <c r="AA14" i="33" s="1"/>
  <c r="S14" i="33"/>
  <c r="U14" i="33" s="1"/>
  <c r="V14" i="33"/>
  <c r="X14" i="33" s="1"/>
  <c r="M14" i="33"/>
  <c r="O14" i="33" s="1"/>
  <c r="G159" i="29"/>
  <c r="H159" i="29" s="1"/>
  <c r="L184" i="29"/>
  <c r="Q184" i="29"/>
  <c r="R184" i="29" s="1"/>
  <c r="Z184" i="29"/>
  <c r="AA184" i="29" s="1"/>
  <c r="N184" i="29"/>
  <c r="O184" i="29" s="1"/>
  <c r="T184" i="29"/>
  <c r="U184" i="29" s="1"/>
  <c r="W184" i="29"/>
  <c r="X184" i="29" s="1"/>
  <c r="I186" i="29"/>
  <c r="K186" i="29" s="1"/>
  <c r="O6" i="18"/>
  <c r="V8" i="21"/>
  <c r="F108" i="21" s="1"/>
  <c r="J16" i="33" l="1"/>
  <c r="I17" i="33"/>
  <c r="Y15" i="33"/>
  <c r="AA15" i="33" s="1"/>
  <c r="S15" i="33"/>
  <c r="U15" i="33" s="1"/>
  <c r="L15" i="33"/>
  <c r="P15" i="33"/>
  <c r="R15" i="33" s="1"/>
  <c r="V15" i="33"/>
  <c r="X15" i="33" s="1"/>
  <c r="M15" i="33"/>
  <c r="O15" i="33" s="1"/>
  <c r="G158" i="29"/>
  <c r="H158" i="29" s="1"/>
  <c r="I187" i="29"/>
  <c r="K187" i="29" s="1"/>
  <c r="Z185" i="29"/>
  <c r="AA185" i="29" s="1"/>
  <c r="N185" i="29"/>
  <c r="O185" i="29" s="1"/>
  <c r="W185" i="29"/>
  <c r="X185" i="29" s="1"/>
  <c r="T185" i="29"/>
  <c r="U185" i="29" s="1"/>
  <c r="Q185" i="29"/>
  <c r="R185" i="29" s="1"/>
  <c r="L185" i="29"/>
  <c r="J17" i="33" l="1"/>
  <c r="I18" i="33"/>
  <c r="L16" i="33"/>
  <c r="Y16" i="33"/>
  <c r="AA16" i="33" s="1"/>
  <c r="P16" i="33"/>
  <c r="R16" i="33" s="1"/>
  <c r="S16" i="33"/>
  <c r="U16" i="33" s="1"/>
  <c r="V16" i="33"/>
  <c r="X16" i="33" s="1"/>
  <c r="M16" i="33"/>
  <c r="O16" i="33" s="1"/>
  <c r="G157" i="29"/>
  <c r="H157" i="29" s="1"/>
  <c r="I188" i="29"/>
  <c r="K188" i="29" s="1"/>
  <c r="T186" i="29"/>
  <c r="U186" i="29" s="1"/>
  <c r="Z186" i="29"/>
  <c r="AA186" i="29" s="1"/>
  <c r="W186" i="29"/>
  <c r="X186" i="29" s="1"/>
  <c r="Q186" i="29"/>
  <c r="R186" i="29" s="1"/>
  <c r="N186" i="29"/>
  <c r="O186" i="29" s="1"/>
  <c r="L186" i="29"/>
  <c r="J18" i="33" l="1"/>
  <c r="I19" i="33"/>
  <c r="V17" i="33"/>
  <c r="X17" i="33" s="1"/>
  <c r="S17" i="33"/>
  <c r="U17" i="33" s="1"/>
  <c r="M17" i="33"/>
  <c r="O17" i="33" s="1"/>
  <c r="L17" i="33"/>
  <c r="P17" i="33"/>
  <c r="R17" i="33" s="1"/>
  <c r="Y17" i="33"/>
  <c r="AA17" i="33" s="1"/>
  <c r="G156" i="29"/>
  <c r="H156" i="29" s="1"/>
  <c r="I189" i="29"/>
  <c r="K189" i="29" s="1"/>
  <c r="Z187" i="29"/>
  <c r="AA187" i="29" s="1"/>
  <c r="L187" i="29"/>
  <c r="N187" i="29"/>
  <c r="O187" i="29" s="1"/>
  <c r="W187" i="29"/>
  <c r="X187" i="29" s="1"/>
  <c r="T187" i="29"/>
  <c r="U187" i="29" s="1"/>
  <c r="Q187" i="29"/>
  <c r="R187" i="29" s="1"/>
  <c r="J19" i="33" l="1"/>
  <c r="I20" i="33"/>
  <c r="V18" i="33"/>
  <c r="X18" i="33" s="1"/>
  <c r="L18" i="33"/>
  <c r="M18" i="33"/>
  <c r="O18" i="33" s="1"/>
  <c r="P18" i="33"/>
  <c r="R18" i="33" s="1"/>
  <c r="Y18" i="33"/>
  <c r="AA18" i="33" s="1"/>
  <c r="S18" i="33"/>
  <c r="U18" i="33" s="1"/>
  <c r="G155" i="29"/>
  <c r="H155" i="29" s="1"/>
  <c r="L188" i="29"/>
  <c r="T188" i="29"/>
  <c r="U188" i="29" s="1"/>
  <c r="N188" i="29"/>
  <c r="O188" i="29" s="1"/>
  <c r="W188" i="29"/>
  <c r="X188" i="29" s="1"/>
  <c r="Q188" i="29"/>
  <c r="R188" i="29" s="1"/>
  <c r="Z188" i="29"/>
  <c r="AA188" i="29" s="1"/>
  <c r="I190" i="29"/>
  <c r="K190" i="29" s="1"/>
  <c r="J22" i="33" l="1"/>
  <c r="J20" i="33"/>
  <c r="I21" i="33"/>
  <c r="L19" i="33"/>
  <c r="Y19" i="33"/>
  <c r="AA19" i="33" s="1"/>
  <c r="P19" i="33"/>
  <c r="R19" i="33" s="1"/>
  <c r="S19" i="33"/>
  <c r="U19" i="33" s="1"/>
  <c r="V19" i="33"/>
  <c r="X19" i="33" s="1"/>
  <c r="M19" i="33"/>
  <c r="O19" i="33" s="1"/>
  <c r="G154" i="29"/>
  <c r="H154" i="29" s="1"/>
  <c r="N189" i="29"/>
  <c r="O189" i="29" s="1"/>
  <c r="L189" i="29"/>
  <c r="Q189" i="29"/>
  <c r="R189" i="29" s="1"/>
  <c r="W189" i="29"/>
  <c r="X189" i="29" s="1"/>
  <c r="T189" i="29"/>
  <c r="U189" i="29" s="1"/>
  <c r="Z189" i="29"/>
  <c r="AA189" i="29" s="1"/>
  <c r="I191" i="29"/>
  <c r="K191" i="29" s="1"/>
  <c r="W107" i="21"/>
  <c r="T107" i="21"/>
  <c r="Q107" i="21"/>
  <c r="N107" i="21"/>
  <c r="Z107" i="21" s="1"/>
  <c r="W106" i="21"/>
  <c r="T106" i="21"/>
  <c r="Q106" i="21"/>
  <c r="N106" i="21"/>
  <c r="Z106" i="21" s="1"/>
  <c r="W105" i="21"/>
  <c r="T105" i="21"/>
  <c r="Q105" i="21"/>
  <c r="N105" i="21"/>
  <c r="Z105" i="21" s="1"/>
  <c r="W104" i="21"/>
  <c r="T104" i="21"/>
  <c r="Q104" i="21"/>
  <c r="N104" i="21"/>
  <c r="Z104" i="21" s="1"/>
  <c r="W103" i="21"/>
  <c r="T103" i="21"/>
  <c r="Q103" i="21"/>
  <c r="N103" i="21"/>
  <c r="Z103" i="21" s="1"/>
  <c r="W102" i="21"/>
  <c r="T102" i="21"/>
  <c r="Q102" i="21"/>
  <c r="N102" i="21"/>
  <c r="Z102" i="21" s="1"/>
  <c r="W101" i="21"/>
  <c r="T101" i="21"/>
  <c r="Q101" i="21"/>
  <c r="N101" i="21"/>
  <c r="Z101" i="21" s="1"/>
  <c r="W100" i="21"/>
  <c r="T100" i="21"/>
  <c r="Q100" i="21"/>
  <c r="N100" i="21"/>
  <c r="Z100" i="21" s="1"/>
  <c r="W99" i="21"/>
  <c r="T99" i="21"/>
  <c r="Q99" i="21"/>
  <c r="N99" i="21"/>
  <c r="Z99" i="21" s="1"/>
  <c r="W98" i="21"/>
  <c r="T98" i="21"/>
  <c r="Q98" i="21"/>
  <c r="N98" i="21"/>
  <c r="Z98" i="21" s="1"/>
  <c r="W97" i="21"/>
  <c r="T97" i="21"/>
  <c r="Q97" i="21"/>
  <c r="N97" i="21"/>
  <c r="Z97" i="21" s="1"/>
  <c r="W96" i="21"/>
  <c r="T96" i="21"/>
  <c r="Q96" i="21"/>
  <c r="N96" i="21"/>
  <c r="Z96" i="21" s="1"/>
  <c r="W95" i="21"/>
  <c r="T95" i="21"/>
  <c r="Q95" i="21"/>
  <c r="N95" i="21"/>
  <c r="Z95" i="21" s="1"/>
  <c r="W94" i="21"/>
  <c r="T94" i="21"/>
  <c r="Q94" i="21"/>
  <c r="N94" i="21"/>
  <c r="Z94" i="21" s="1"/>
  <c r="W93" i="21"/>
  <c r="T93" i="21"/>
  <c r="Q93" i="21"/>
  <c r="N93" i="21"/>
  <c r="Z93" i="21" s="1"/>
  <c r="W92" i="21"/>
  <c r="T92" i="21"/>
  <c r="Q92" i="21"/>
  <c r="N92" i="21"/>
  <c r="Z92" i="21" s="1"/>
  <c r="W91" i="21"/>
  <c r="T91" i="21"/>
  <c r="Q91" i="21"/>
  <c r="N91" i="21"/>
  <c r="Z91" i="21" s="1"/>
  <c r="W90" i="21"/>
  <c r="T90" i="21"/>
  <c r="Q90" i="21"/>
  <c r="N90" i="21"/>
  <c r="Z90" i="21" s="1"/>
  <c r="W89" i="21"/>
  <c r="T89" i="21"/>
  <c r="Q89" i="21"/>
  <c r="N89" i="21"/>
  <c r="Z89" i="21" s="1"/>
  <c r="W88" i="21"/>
  <c r="T88" i="21"/>
  <c r="Q88" i="21"/>
  <c r="N88" i="21"/>
  <c r="Z88" i="21" s="1"/>
  <c r="W87" i="21"/>
  <c r="T87" i="21"/>
  <c r="Q87" i="21"/>
  <c r="N87" i="21"/>
  <c r="Z87" i="21" s="1"/>
  <c r="W86" i="21"/>
  <c r="T86" i="21"/>
  <c r="Q86" i="21"/>
  <c r="N86" i="21"/>
  <c r="Z86" i="21" s="1"/>
  <c r="W85" i="21"/>
  <c r="T85" i="21"/>
  <c r="Q85" i="21"/>
  <c r="N85" i="21"/>
  <c r="Z85" i="21" s="1"/>
  <c r="W84" i="21"/>
  <c r="T84" i="21"/>
  <c r="Q84" i="21"/>
  <c r="N84" i="21"/>
  <c r="Z84" i="21" s="1"/>
  <c r="W83" i="21"/>
  <c r="T83" i="21"/>
  <c r="Q83" i="21"/>
  <c r="N83" i="21"/>
  <c r="Z83" i="21" s="1"/>
  <c r="W82" i="21"/>
  <c r="T82" i="21"/>
  <c r="Q82" i="21"/>
  <c r="N82" i="21"/>
  <c r="Z82" i="21" s="1"/>
  <c r="W81" i="21"/>
  <c r="T81" i="21"/>
  <c r="Q81" i="21"/>
  <c r="N81" i="21"/>
  <c r="Z81" i="21" s="1"/>
  <c r="W80" i="21"/>
  <c r="T80" i="21"/>
  <c r="Q80" i="21"/>
  <c r="N80" i="21"/>
  <c r="Z80" i="21" s="1"/>
  <c r="W79" i="21"/>
  <c r="T79" i="21"/>
  <c r="Q79" i="21"/>
  <c r="N79" i="21"/>
  <c r="Z79" i="21" s="1"/>
  <c r="W78" i="21"/>
  <c r="T78" i="21"/>
  <c r="Q78" i="21"/>
  <c r="N78" i="21"/>
  <c r="Z78" i="21" s="1"/>
  <c r="W77" i="21"/>
  <c r="T77" i="21"/>
  <c r="Q77" i="21"/>
  <c r="N77" i="21"/>
  <c r="Z77" i="21" s="1"/>
  <c r="W76" i="21"/>
  <c r="T76" i="21"/>
  <c r="Q76" i="21"/>
  <c r="N76" i="21"/>
  <c r="Z76" i="21" s="1"/>
  <c r="W75" i="21"/>
  <c r="T75" i="21"/>
  <c r="Q75" i="21"/>
  <c r="N75" i="21"/>
  <c r="Z75" i="21" s="1"/>
  <c r="W74" i="21"/>
  <c r="T74" i="21"/>
  <c r="Q74" i="21"/>
  <c r="N74" i="21"/>
  <c r="Z74" i="21" s="1"/>
  <c r="W73" i="21"/>
  <c r="T73" i="21"/>
  <c r="Q73" i="21"/>
  <c r="N73" i="21"/>
  <c r="Z73" i="21" s="1"/>
  <c r="W72" i="21"/>
  <c r="T72" i="21"/>
  <c r="Q72" i="21"/>
  <c r="N72" i="21"/>
  <c r="Z72" i="21" s="1"/>
  <c r="W71" i="21"/>
  <c r="T71" i="21"/>
  <c r="Q71" i="21"/>
  <c r="N71" i="21"/>
  <c r="Z71" i="21" s="1"/>
  <c r="W70" i="21"/>
  <c r="T70" i="21"/>
  <c r="Q70" i="21"/>
  <c r="N70" i="21"/>
  <c r="Z70" i="21" s="1"/>
  <c r="W69" i="21"/>
  <c r="T69" i="21"/>
  <c r="Q69" i="21"/>
  <c r="N69" i="21"/>
  <c r="Z69" i="21" s="1"/>
  <c r="W68" i="21"/>
  <c r="T68" i="21"/>
  <c r="Q68" i="21"/>
  <c r="N68" i="21"/>
  <c r="Z68" i="21" s="1"/>
  <c r="W67" i="21"/>
  <c r="T67" i="21"/>
  <c r="Q67" i="21"/>
  <c r="N67" i="21"/>
  <c r="Z67" i="21" s="1"/>
  <c r="W66" i="21"/>
  <c r="T66" i="21"/>
  <c r="Q66" i="21"/>
  <c r="N66" i="21"/>
  <c r="Z66" i="21" s="1"/>
  <c r="W65" i="21"/>
  <c r="T65" i="21"/>
  <c r="Q65" i="21"/>
  <c r="N65" i="21"/>
  <c r="Z65" i="21" s="1"/>
  <c r="W64" i="21"/>
  <c r="T64" i="21"/>
  <c r="Q64" i="21"/>
  <c r="N64" i="21"/>
  <c r="Z64" i="21" s="1"/>
  <c r="W63" i="21"/>
  <c r="T63" i="21"/>
  <c r="Q63" i="21"/>
  <c r="N63" i="21"/>
  <c r="Z63" i="21" s="1"/>
  <c r="W62" i="21"/>
  <c r="T62" i="21"/>
  <c r="Q62" i="21"/>
  <c r="N62" i="21"/>
  <c r="Z62" i="21" s="1"/>
  <c r="W61" i="21"/>
  <c r="T61" i="21"/>
  <c r="Q61" i="21"/>
  <c r="N61" i="21"/>
  <c r="Z61" i="21" s="1"/>
  <c r="W60" i="21"/>
  <c r="T60" i="21"/>
  <c r="Q60" i="21"/>
  <c r="N60" i="21"/>
  <c r="Z60" i="21" s="1"/>
  <c r="W59" i="21"/>
  <c r="T59" i="21"/>
  <c r="Q59" i="21"/>
  <c r="N59" i="21"/>
  <c r="Z59" i="21" s="1"/>
  <c r="W58" i="21"/>
  <c r="T58" i="21"/>
  <c r="Q58" i="21"/>
  <c r="N58" i="21"/>
  <c r="Z58" i="21" s="1"/>
  <c r="W57" i="21"/>
  <c r="T57" i="21"/>
  <c r="Q57" i="21"/>
  <c r="N57" i="21"/>
  <c r="Z57" i="21" s="1"/>
  <c r="W56" i="21"/>
  <c r="T56" i="21"/>
  <c r="Q56" i="21"/>
  <c r="N56" i="21"/>
  <c r="Z56" i="21" s="1"/>
  <c r="W55" i="21"/>
  <c r="T55" i="21"/>
  <c r="Q55" i="21"/>
  <c r="N55" i="21"/>
  <c r="Z55" i="21" s="1"/>
  <c r="W54" i="21"/>
  <c r="T54" i="21"/>
  <c r="Q54" i="21"/>
  <c r="N54" i="21"/>
  <c r="Z54" i="21" s="1"/>
  <c r="W53" i="21"/>
  <c r="T53" i="21"/>
  <c r="Q53" i="21"/>
  <c r="N53" i="21"/>
  <c r="Z53" i="21" s="1"/>
  <c r="W52" i="21"/>
  <c r="T52" i="21"/>
  <c r="Q52" i="21"/>
  <c r="N52" i="21"/>
  <c r="Z52" i="21" s="1"/>
  <c r="W51" i="21"/>
  <c r="T51" i="21"/>
  <c r="Q51" i="21"/>
  <c r="N51" i="21"/>
  <c r="Z51" i="21" s="1"/>
  <c r="W50" i="21"/>
  <c r="T50" i="21"/>
  <c r="Q50" i="21"/>
  <c r="N50" i="21"/>
  <c r="Z50" i="21" s="1"/>
  <c r="W49" i="21"/>
  <c r="T49" i="21"/>
  <c r="Q49" i="21"/>
  <c r="N49" i="21"/>
  <c r="Z49" i="21" s="1"/>
  <c r="W48" i="21"/>
  <c r="T48" i="21"/>
  <c r="Q48" i="21"/>
  <c r="N48" i="21"/>
  <c r="Z48" i="21" s="1"/>
  <c r="W47" i="21"/>
  <c r="T47" i="21"/>
  <c r="Q47" i="21"/>
  <c r="N47" i="21"/>
  <c r="Z47" i="21" s="1"/>
  <c r="W46" i="21"/>
  <c r="T46" i="21"/>
  <c r="Q46" i="21"/>
  <c r="N46" i="21"/>
  <c r="Z46" i="21" s="1"/>
  <c r="W45" i="21"/>
  <c r="T45" i="21"/>
  <c r="Q45" i="21"/>
  <c r="N45" i="21"/>
  <c r="Z45" i="21" s="1"/>
  <c r="W44" i="21"/>
  <c r="T44" i="21"/>
  <c r="Q44" i="21"/>
  <c r="N44" i="21"/>
  <c r="Z44" i="21" s="1"/>
  <c r="W43" i="21"/>
  <c r="T43" i="21"/>
  <c r="Q43" i="21"/>
  <c r="N43" i="21"/>
  <c r="Z43" i="21" s="1"/>
  <c r="W42" i="21"/>
  <c r="T42" i="21"/>
  <c r="Q42" i="21"/>
  <c r="N42" i="21"/>
  <c r="Z42" i="21" s="1"/>
  <c r="W41" i="21"/>
  <c r="T41" i="21"/>
  <c r="Q41" i="21"/>
  <c r="N41" i="21"/>
  <c r="Z41" i="21" s="1"/>
  <c r="W40" i="21"/>
  <c r="T40" i="21"/>
  <c r="Q40" i="21"/>
  <c r="N40" i="21"/>
  <c r="Z40" i="21" s="1"/>
  <c r="W39" i="21"/>
  <c r="T39" i="21"/>
  <c r="Q39" i="21"/>
  <c r="N39" i="21"/>
  <c r="Z39" i="21" s="1"/>
  <c r="W38" i="21"/>
  <c r="T38" i="21"/>
  <c r="Q38" i="21"/>
  <c r="N38" i="21"/>
  <c r="Z38" i="21" s="1"/>
  <c r="W37" i="21"/>
  <c r="T37" i="21"/>
  <c r="Q37" i="21"/>
  <c r="N37" i="21"/>
  <c r="Z37" i="21" s="1"/>
  <c r="W36" i="21"/>
  <c r="T36" i="21"/>
  <c r="Q36" i="21"/>
  <c r="N36" i="21"/>
  <c r="Z36" i="21" s="1"/>
  <c r="W35" i="21"/>
  <c r="T35" i="21"/>
  <c r="Q35" i="21"/>
  <c r="N35" i="21"/>
  <c r="Z35" i="21" s="1"/>
  <c r="W34" i="21"/>
  <c r="T34" i="21"/>
  <c r="Q34" i="21"/>
  <c r="N34" i="21"/>
  <c r="Z34" i="21" s="1"/>
  <c r="W33" i="21"/>
  <c r="T33" i="21"/>
  <c r="Q33" i="21"/>
  <c r="N33" i="21"/>
  <c r="Z33" i="21" s="1"/>
  <c r="W32" i="21"/>
  <c r="T32" i="21"/>
  <c r="Q32" i="21"/>
  <c r="N32" i="21"/>
  <c r="Z32" i="21" s="1"/>
  <c r="W31" i="21"/>
  <c r="T31" i="21"/>
  <c r="Q31" i="21"/>
  <c r="N31" i="21"/>
  <c r="Z31" i="21" s="1"/>
  <c r="W30" i="21"/>
  <c r="T30" i="21"/>
  <c r="Q30" i="21"/>
  <c r="N30" i="21"/>
  <c r="Z30" i="21" s="1"/>
  <c r="W29" i="21"/>
  <c r="T29" i="21"/>
  <c r="Q29" i="21"/>
  <c r="N29" i="21"/>
  <c r="Z29" i="21" s="1"/>
  <c r="W28" i="21"/>
  <c r="T28" i="21"/>
  <c r="Q28" i="21"/>
  <c r="N28" i="21"/>
  <c r="Z28" i="21" s="1"/>
  <c r="W27" i="21"/>
  <c r="T27" i="21"/>
  <c r="Q27" i="21"/>
  <c r="N27" i="21"/>
  <c r="Z27" i="21" s="1"/>
  <c r="W26" i="21"/>
  <c r="T26" i="21"/>
  <c r="Q26" i="21"/>
  <c r="N26" i="21"/>
  <c r="Z26" i="21" s="1"/>
  <c r="W25" i="21"/>
  <c r="T25" i="21"/>
  <c r="Q25" i="21"/>
  <c r="N25" i="21"/>
  <c r="Z25" i="21" s="1"/>
  <c r="W24" i="21"/>
  <c r="T24" i="21"/>
  <c r="Q24" i="21"/>
  <c r="N24" i="21"/>
  <c r="Z24" i="21" s="1"/>
  <c r="J21" i="33" l="1"/>
  <c r="I22" i="33"/>
  <c r="I23" i="33" s="1"/>
  <c r="S20" i="33"/>
  <c r="U20" i="33" s="1"/>
  <c r="Y20" i="33"/>
  <c r="AA20" i="33" s="1"/>
  <c r="V20" i="33"/>
  <c r="X20" i="33" s="1"/>
  <c r="P20" i="33"/>
  <c r="R20" i="33" s="1"/>
  <c r="L20" i="33"/>
  <c r="M20" i="33"/>
  <c r="O20" i="33" s="1"/>
  <c r="P22" i="33"/>
  <c r="R22" i="33" s="1"/>
  <c r="Y22" i="33"/>
  <c r="AA22" i="33" s="1"/>
  <c r="M22" i="33"/>
  <c r="O22" i="33" s="1"/>
  <c r="L22" i="33"/>
  <c r="V22" i="33"/>
  <c r="X22" i="33" s="1"/>
  <c r="S22" i="33"/>
  <c r="U22" i="33" s="1"/>
  <c r="G153" i="29"/>
  <c r="H153" i="29" s="1"/>
  <c r="I192" i="29"/>
  <c r="K192" i="29" s="1"/>
  <c r="T190" i="29"/>
  <c r="U190" i="29" s="1"/>
  <c r="Z190" i="29"/>
  <c r="AA190" i="29" s="1"/>
  <c r="W190" i="29"/>
  <c r="X190" i="29" s="1"/>
  <c r="N190" i="29"/>
  <c r="O190" i="29" s="1"/>
  <c r="Q190" i="29"/>
  <c r="R190" i="29" s="1"/>
  <c r="L190" i="29"/>
  <c r="J23" i="33" l="1"/>
  <c r="I24" i="33"/>
  <c r="P21" i="33"/>
  <c r="R21" i="33" s="1"/>
  <c r="L21" i="33"/>
  <c r="Y21" i="33"/>
  <c r="AA21" i="33" s="1"/>
  <c r="M21" i="33"/>
  <c r="O21" i="33" s="1"/>
  <c r="V21" i="33"/>
  <c r="X21" i="33" s="1"/>
  <c r="S21" i="33"/>
  <c r="U21" i="33" s="1"/>
  <c r="G152" i="29"/>
  <c r="H152" i="29" s="1"/>
  <c r="I193" i="29"/>
  <c r="K193" i="29" s="1"/>
  <c r="T191" i="29"/>
  <c r="U191" i="29" s="1"/>
  <c r="L191" i="29"/>
  <c r="N191" i="29"/>
  <c r="O191" i="29" s="1"/>
  <c r="Z191" i="29"/>
  <c r="AA191" i="29" s="1"/>
  <c r="W191" i="29"/>
  <c r="X191" i="29" s="1"/>
  <c r="Q191" i="29"/>
  <c r="R191" i="29" s="1"/>
  <c r="J24" i="33" l="1"/>
  <c r="I25" i="33"/>
  <c r="S23" i="33"/>
  <c r="U23" i="33" s="1"/>
  <c r="Y23" i="33"/>
  <c r="AA23" i="33" s="1"/>
  <c r="P23" i="33"/>
  <c r="R23" i="33" s="1"/>
  <c r="V23" i="33"/>
  <c r="X23" i="33" s="1"/>
  <c r="M23" i="33"/>
  <c r="O23" i="33" s="1"/>
  <c r="L23" i="33"/>
  <c r="G151" i="29"/>
  <c r="H151" i="29" s="1"/>
  <c r="Z193" i="29"/>
  <c r="AA193" i="29" s="1"/>
  <c r="Q193" i="29"/>
  <c r="R193" i="29" s="1"/>
  <c r="L193" i="29"/>
  <c r="T193" i="29"/>
  <c r="U193" i="29" s="1"/>
  <c r="W193" i="29"/>
  <c r="X193" i="29" s="1"/>
  <c r="N193" i="29"/>
  <c r="O193" i="29" s="1"/>
  <c r="Q192" i="29"/>
  <c r="R192" i="29" s="1"/>
  <c r="Z192" i="29"/>
  <c r="AA192" i="29" s="1"/>
  <c r="W192" i="29"/>
  <c r="X192" i="29" s="1"/>
  <c r="L192" i="29"/>
  <c r="T192" i="29"/>
  <c r="U192" i="29" s="1"/>
  <c r="N192" i="29"/>
  <c r="O192" i="29" s="1"/>
  <c r="E110" i="21"/>
  <c r="J25" i="33" l="1"/>
  <c r="I26" i="33"/>
  <c r="P24" i="33"/>
  <c r="R24" i="33" s="1"/>
  <c r="S24" i="33"/>
  <c r="U24" i="33" s="1"/>
  <c r="L24" i="33"/>
  <c r="V24" i="33"/>
  <c r="X24" i="33" s="1"/>
  <c r="M24" i="33"/>
  <c r="O24" i="33" s="1"/>
  <c r="Y24" i="33"/>
  <c r="AA24" i="33" s="1"/>
  <c r="G150" i="29"/>
  <c r="H150" i="29" s="1"/>
  <c r="E107" i="21"/>
  <c r="G110" i="21"/>
  <c r="H110" i="21" s="1"/>
  <c r="I110" i="21"/>
  <c r="J26" i="33" l="1"/>
  <c r="I27" i="33"/>
  <c r="P25" i="33"/>
  <c r="R25" i="33" s="1"/>
  <c r="S25" i="33"/>
  <c r="U25" i="33" s="1"/>
  <c r="L25" i="33"/>
  <c r="Y25" i="33"/>
  <c r="AA25" i="33" s="1"/>
  <c r="M25" i="33"/>
  <c r="O25" i="33" s="1"/>
  <c r="V25" i="33"/>
  <c r="X25" i="33" s="1"/>
  <c r="G149" i="29"/>
  <c r="H149" i="29" s="1"/>
  <c r="K110" i="21"/>
  <c r="Q110" i="21" s="1"/>
  <c r="G107" i="21"/>
  <c r="H107" i="21" s="1"/>
  <c r="I107" i="21"/>
  <c r="E106" i="21"/>
  <c r="I106" i="21" s="1"/>
  <c r="J27" i="33" l="1"/>
  <c r="I28" i="33"/>
  <c r="Y26" i="33"/>
  <c r="AA26" i="33" s="1"/>
  <c r="L26" i="33"/>
  <c r="S26" i="33"/>
  <c r="U26" i="33" s="1"/>
  <c r="V26" i="33"/>
  <c r="X26" i="33" s="1"/>
  <c r="P26" i="33"/>
  <c r="R26" i="33" s="1"/>
  <c r="M26" i="33"/>
  <c r="O26" i="33" s="1"/>
  <c r="G148" i="29"/>
  <c r="H148" i="29" s="1"/>
  <c r="Z110" i="21"/>
  <c r="T110" i="21"/>
  <c r="W110" i="21"/>
  <c r="N110" i="21"/>
  <c r="J107" i="21"/>
  <c r="V107" i="21" s="1"/>
  <c r="X107" i="21" s="1"/>
  <c r="E105" i="21"/>
  <c r="I105" i="21" s="1"/>
  <c r="G106" i="21"/>
  <c r="H106" i="21" s="1"/>
  <c r="J106" i="21" s="1"/>
  <c r="S110" i="21"/>
  <c r="V110" i="21"/>
  <c r="M110" i="21"/>
  <c r="Y110" i="21"/>
  <c r="L110" i="21"/>
  <c r="P110" i="21"/>
  <c r="R110" i="21" s="1"/>
  <c r="J28" i="33" l="1"/>
  <c r="I29" i="33"/>
  <c r="L27" i="33"/>
  <c r="V27" i="33"/>
  <c r="X27" i="33" s="1"/>
  <c r="M27" i="33"/>
  <c r="O27" i="33" s="1"/>
  <c r="S27" i="33"/>
  <c r="U27" i="33" s="1"/>
  <c r="P27" i="33"/>
  <c r="R27" i="33" s="1"/>
  <c r="Y27" i="33"/>
  <c r="AA27" i="33" s="1"/>
  <c r="G147" i="29"/>
  <c r="H147" i="29" s="1"/>
  <c r="U110" i="21"/>
  <c r="X110" i="21"/>
  <c r="AA110" i="21"/>
  <c r="O110" i="21"/>
  <c r="L107" i="21"/>
  <c r="S107" i="21"/>
  <c r="U107" i="21" s="1"/>
  <c r="M107" i="21"/>
  <c r="O107" i="21" s="1"/>
  <c r="P107" i="21"/>
  <c r="R107" i="21" s="1"/>
  <c r="Y107" i="21"/>
  <c r="AA107" i="21" s="1"/>
  <c r="G105" i="21"/>
  <c r="H105" i="21" s="1"/>
  <c r="J105" i="21" s="1"/>
  <c r="E104" i="21"/>
  <c r="I104" i="21" s="1"/>
  <c r="J29" i="33" l="1"/>
  <c r="I30" i="33"/>
  <c r="V28" i="33"/>
  <c r="X28" i="33" s="1"/>
  <c r="M28" i="33"/>
  <c r="O28" i="33" s="1"/>
  <c r="S28" i="33"/>
  <c r="U28" i="33" s="1"/>
  <c r="Y28" i="33"/>
  <c r="AA28" i="33" s="1"/>
  <c r="L28" i="33"/>
  <c r="P28" i="33"/>
  <c r="R28" i="33" s="1"/>
  <c r="G146" i="29"/>
  <c r="H146" i="29" s="1"/>
  <c r="S106" i="21"/>
  <c r="U106" i="21" s="1"/>
  <c r="V106" i="21"/>
  <c r="X106" i="21" s="1"/>
  <c r="L106" i="21"/>
  <c r="Y106" i="21"/>
  <c r="AA106" i="21" s="1"/>
  <c r="M106" i="21"/>
  <c r="O106" i="21" s="1"/>
  <c r="P106" i="21"/>
  <c r="R106" i="21" s="1"/>
  <c r="E103" i="21"/>
  <c r="I103" i="21" s="1"/>
  <c r="S105" i="21"/>
  <c r="U105" i="21" s="1"/>
  <c r="V105" i="21"/>
  <c r="X105" i="21" s="1"/>
  <c r="L105" i="21"/>
  <c r="Y105" i="21"/>
  <c r="AA105" i="21" s="1"/>
  <c r="M105" i="21"/>
  <c r="O105" i="21" s="1"/>
  <c r="P105" i="21"/>
  <c r="R105" i="21" s="1"/>
  <c r="G104" i="21"/>
  <c r="H104" i="21" s="1"/>
  <c r="J104" i="21" s="1"/>
  <c r="J30" i="33" l="1"/>
  <c r="I31" i="33"/>
  <c r="S29" i="33"/>
  <c r="U29" i="33" s="1"/>
  <c r="L29" i="33"/>
  <c r="P29" i="33"/>
  <c r="R29" i="33" s="1"/>
  <c r="M29" i="33"/>
  <c r="O29" i="33" s="1"/>
  <c r="V29" i="33"/>
  <c r="X29" i="33" s="1"/>
  <c r="Y29" i="33"/>
  <c r="AA29" i="33" s="1"/>
  <c r="G145" i="29"/>
  <c r="H145" i="29" s="1"/>
  <c r="Y104" i="21"/>
  <c r="AA104" i="21" s="1"/>
  <c r="V104" i="21"/>
  <c r="X104" i="21" s="1"/>
  <c r="S104" i="21"/>
  <c r="U104" i="21" s="1"/>
  <c r="L104" i="21"/>
  <c r="M104" i="21"/>
  <c r="O104" i="21" s="1"/>
  <c r="P104" i="21"/>
  <c r="R104" i="21" s="1"/>
  <c r="E102" i="21"/>
  <c r="I102" i="21" s="1"/>
  <c r="G103" i="21"/>
  <c r="H103" i="21" s="1"/>
  <c r="J103" i="21" s="1"/>
  <c r="J31" i="33" l="1"/>
  <c r="I32" i="33"/>
  <c r="Y30" i="33"/>
  <c r="AA30" i="33" s="1"/>
  <c r="L30" i="33"/>
  <c r="S30" i="33"/>
  <c r="U30" i="33" s="1"/>
  <c r="M30" i="33"/>
  <c r="O30" i="33" s="1"/>
  <c r="V30" i="33"/>
  <c r="X30" i="33" s="1"/>
  <c r="P30" i="33"/>
  <c r="R30" i="33" s="1"/>
  <c r="G144" i="29"/>
  <c r="H144" i="29" s="1"/>
  <c r="S103" i="21"/>
  <c r="U103" i="21" s="1"/>
  <c r="V103" i="21"/>
  <c r="X103" i="21" s="1"/>
  <c r="L103" i="21"/>
  <c r="Y103" i="21"/>
  <c r="AA103" i="21" s="1"/>
  <c r="M103" i="21"/>
  <c r="O103" i="21" s="1"/>
  <c r="P103" i="21"/>
  <c r="R103" i="21" s="1"/>
  <c r="E101" i="21"/>
  <c r="I101" i="21" s="1"/>
  <c r="G102" i="21"/>
  <c r="H102" i="21" s="1"/>
  <c r="J102" i="21" s="1"/>
  <c r="J34" i="33" l="1"/>
  <c r="M34" i="33" s="1"/>
  <c r="O34" i="33" s="1"/>
  <c r="J32" i="33"/>
  <c r="I33" i="33"/>
  <c r="M31" i="33"/>
  <c r="O31" i="33" s="1"/>
  <c r="P31" i="33"/>
  <c r="R31" i="33" s="1"/>
  <c r="S31" i="33"/>
  <c r="U31" i="33" s="1"/>
  <c r="L31" i="33"/>
  <c r="V31" i="33"/>
  <c r="X31" i="33" s="1"/>
  <c r="Y31" i="33"/>
  <c r="AA31" i="33" s="1"/>
  <c r="P34" i="33"/>
  <c r="R34" i="33" s="1"/>
  <c r="G143" i="29"/>
  <c r="H143" i="29" s="1"/>
  <c r="S102" i="21"/>
  <c r="U102" i="21" s="1"/>
  <c r="V102" i="21"/>
  <c r="X102" i="21" s="1"/>
  <c r="L102" i="21"/>
  <c r="Y102" i="21"/>
  <c r="AA102" i="21" s="1"/>
  <c r="M102" i="21"/>
  <c r="O102" i="21" s="1"/>
  <c r="P102" i="21"/>
  <c r="R102" i="21" s="1"/>
  <c r="G101" i="21"/>
  <c r="H101" i="21" s="1"/>
  <c r="J101" i="21" s="1"/>
  <c r="E100" i="21"/>
  <c r="I100" i="21" s="1"/>
  <c r="S34" i="33" l="1"/>
  <c r="U34" i="33" s="1"/>
  <c r="L34" i="33"/>
  <c r="V34" i="33"/>
  <c r="X34" i="33" s="1"/>
  <c r="Y34" i="33"/>
  <c r="AA34" i="33" s="1"/>
  <c r="Y32" i="33"/>
  <c r="AA32" i="33" s="1"/>
  <c r="L32" i="33"/>
  <c r="M32" i="33"/>
  <c r="O32" i="33" s="1"/>
  <c r="P32" i="33"/>
  <c r="R32" i="33" s="1"/>
  <c r="S32" i="33"/>
  <c r="U32" i="33" s="1"/>
  <c r="V32" i="33"/>
  <c r="X32" i="33" s="1"/>
  <c r="J33" i="33"/>
  <c r="I34" i="33"/>
  <c r="I35" i="33" s="1"/>
  <c r="G142" i="29"/>
  <c r="H142" i="29" s="1"/>
  <c r="S101" i="21"/>
  <c r="U101" i="21" s="1"/>
  <c r="V101" i="21"/>
  <c r="X101" i="21" s="1"/>
  <c r="L101" i="21"/>
  <c r="Y101" i="21"/>
  <c r="AA101" i="21" s="1"/>
  <c r="M101" i="21"/>
  <c r="O101" i="21" s="1"/>
  <c r="P101" i="21"/>
  <c r="R101" i="21" s="1"/>
  <c r="E99" i="21"/>
  <c r="I99" i="21" s="1"/>
  <c r="G100" i="21"/>
  <c r="H100" i="21" s="1"/>
  <c r="J100" i="21" s="1"/>
  <c r="J35" i="33" l="1"/>
  <c r="I36" i="33"/>
  <c r="S33" i="33"/>
  <c r="U33" i="33" s="1"/>
  <c r="L33" i="33"/>
  <c r="P33" i="33"/>
  <c r="R33" i="33" s="1"/>
  <c r="V33" i="33"/>
  <c r="X33" i="33" s="1"/>
  <c r="M33" i="33"/>
  <c r="O33" i="33" s="1"/>
  <c r="Y33" i="33"/>
  <c r="AA33" i="33" s="1"/>
  <c r="G141" i="29"/>
  <c r="H141" i="29" s="1"/>
  <c r="G99" i="21"/>
  <c r="H99" i="21" s="1"/>
  <c r="J99" i="21" s="1"/>
  <c r="E98" i="21"/>
  <c r="I98" i="21" s="1"/>
  <c r="J36" i="33" l="1"/>
  <c r="I37" i="33"/>
  <c r="L35" i="33"/>
  <c r="Y35" i="33"/>
  <c r="AA35" i="33" s="1"/>
  <c r="S35" i="33"/>
  <c r="U35" i="33" s="1"/>
  <c r="M35" i="33"/>
  <c r="O35" i="33" s="1"/>
  <c r="V35" i="33"/>
  <c r="X35" i="33" s="1"/>
  <c r="P35" i="33"/>
  <c r="R35" i="33" s="1"/>
  <c r="G140" i="29"/>
  <c r="H140" i="29" s="1"/>
  <c r="S99" i="21"/>
  <c r="U99" i="21" s="1"/>
  <c r="V99" i="21"/>
  <c r="X99" i="21" s="1"/>
  <c r="L99" i="21"/>
  <c r="Y99" i="21"/>
  <c r="AA99" i="21" s="1"/>
  <c r="M99" i="21"/>
  <c r="O99" i="21" s="1"/>
  <c r="P99" i="21"/>
  <c r="R99" i="21" s="1"/>
  <c r="G98" i="21"/>
  <c r="H98" i="21" s="1"/>
  <c r="J98" i="21" s="1"/>
  <c r="E97" i="21"/>
  <c r="I97" i="21" s="1"/>
  <c r="F17" i="18"/>
  <c r="H17" i="18" s="1"/>
  <c r="I17" i="18" s="1"/>
  <c r="J17" i="18" s="1"/>
  <c r="S100" i="21"/>
  <c r="U100" i="21" s="1"/>
  <c r="Y100" i="21"/>
  <c r="AA100" i="21" s="1"/>
  <c r="V100" i="21"/>
  <c r="X100" i="21" s="1"/>
  <c r="P100" i="21"/>
  <c r="R100" i="21" s="1"/>
  <c r="M100" i="21"/>
  <c r="O100" i="21" s="1"/>
  <c r="L100" i="21"/>
  <c r="J37" i="33" l="1"/>
  <c r="I38" i="33"/>
  <c r="L36" i="33"/>
  <c r="V36" i="33"/>
  <c r="X36" i="33" s="1"/>
  <c r="Y36" i="33"/>
  <c r="AA36" i="33" s="1"/>
  <c r="P36" i="33"/>
  <c r="R36" i="33" s="1"/>
  <c r="M36" i="33"/>
  <c r="O36" i="33" s="1"/>
  <c r="S36" i="33"/>
  <c r="U36" i="33" s="1"/>
  <c r="G139" i="29"/>
  <c r="H139" i="29" s="1"/>
  <c r="S98" i="21"/>
  <c r="U98" i="21" s="1"/>
  <c r="V98" i="21"/>
  <c r="X98" i="21" s="1"/>
  <c r="L98" i="21"/>
  <c r="Y98" i="21"/>
  <c r="AA98" i="21" s="1"/>
  <c r="M98" i="21"/>
  <c r="O98" i="21" s="1"/>
  <c r="P98" i="21"/>
  <c r="R98" i="21" s="1"/>
  <c r="O17" i="18"/>
  <c r="K17" i="18"/>
  <c r="L17" i="18"/>
  <c r="M17" i="18"/>
  <c r="N17" i="18"/>
  <c r="G97" i="21"/>
  <c r="H97" i="21" s="1"/>
  <c r="J97" i="21" s="1"/>
  <c r="E96" i="21"/>
  <c r="I96" i="21" s="1"/>
  <c r="J38" i="33" l="1"/>
  <c r="I39" i="33"/>
  <c r="L37" i="33"/>
  <c r="M37" i="33"/>
  <c r="O37" i="33" s="1"/>
  <c r="Y37" i="33"/>
  <c r="AA37" i="33" s="1"/>
  <c r="V37" i="33"/>
  <c r="X37" i="33" s="1"/>
  <c r="P37" i="33"/>
  <c r="R37" i="33" s="1"/>
  <c r="S37" i="33"/>
  <c r="U37" i="33" s="1"/>
  <c r="G138" i="29"/>
  <c r="H138" i="29" s="1"/>
  <c r="E95" i="21"/>
  <c r="S97" i="21"/>
  <c r="U97" i="21" s="1"/>
  <c r="V97" i="21"/>
  <c r="X97" i="21" s="1"/>
  <c r="L97" i="21"/>
  <c r="Y97" i="21"/>
  <c r="AA97" i="21" s="1"/>
  <c r="M97" i="21"/>
  <c r="O97" i="21" s="1"/>
  <c r="P97" i="21"/>
  <c r="R97" i="21" s="1"/>
  <c r="G96" i="21"/>
  <c r="H96" i="21" s="1"/>
  <c r="J96" i="21" s="1"/>
  <c r="J39" i="33" l="1"/>
  <c r="I40" i="33"/>
  <c r="S38" i="33"/>
  <c r="U38" i="33" s="1"/>
  <c r="Y38" i="33"/>
  <c r="AA38" i="33" s="1"/>
  <c r="V38" i="33"/>
  <c r="X38" i="33" s="1"/>
  <c r="P38" i="33"/>
  <c r="R38" i="33" s="1"/>
  <c r="M38" i="33"/>
  <c r="O38" i="33" s="1"/>
  <c r="L38" i="33"/>
  <c r="G137" i="29"/>
  <c r="H137" i="29" s="1"/>
  <c r="G95" i="21"/>
  <c r="H95" i="21" s="1"/>
  <c r="I95" i="21"/>
  <c r="E94" i="21"/>
  <c r="J40" i="33" l="1"/>
  <c r="I41" i="33"/>
  <c r="L39" i="33"/>
  <c r="P39" i="33"/>
  <c r="R39" i="33" s="1"/>
  <c r="S39" i="33"/>
  <c r="U39" i="33" s="1"/>
  <c r="Y39" i="33"/>
  <c r="AA39" i="33" s="1"/>
  <c r="V39" i="33"/>
  <c r="X39" i="33" s="1"/>
  <c r="M39" i="33"/>
  <c r="O39" i="33" s="1"/>
  <c r="G136" i="29"/>
  <c r="H136" i="29" s="1"/>
  <c r="J95" i="21"/>
  <c r="V95" i="21" s="1"/>
  <c r="X95" i="21" s="1"/>
  <c r="I94" i="21"/>
  <c r="G94" i="21"/>
  <c r="H94" i="21" s="1"/>
  <c r="Y96" i="21"/>
  <c r="AA96" i="21" s="1"/>
  <c r="S96" i="21"/>
  <c r="U96" i="21" s="1"/>
  <c r="L96" i="21"/>
  <c r="V96" i="21"/>
  <c r="X96" i="21" s="1"/>
  <c r="M96" i="21"/>
  <c r="O96" i="21" s="1"/>
  <c r="P96" i="21"/>
  <c r="R96" i="21" s="1"/>
  <c r="E93" i="21"/>
  <c r="J41" i="33" l="1"/>
  <c r="I42" i="33"/>
  <c r="S40" i="33"/>
  <c r="U40" i="33" s="1"/>
  <c r="Y40" i="33"/>
  <c r="AA40" i="33" s="1"/>
  <c r="V40" i="33"/>
  <c r="X40" i="33" s="1"/>
  <c r="P40" i="33"/>
  <c r="R40" i="33" s="1"/>
  <c r="M40" i="33"/>
  <c r="O40" i="33" s="1"/>
  <c r="L40" i="33"/>
  <c r="G135" i="29"/>
  <c r="H135" i="29" s="1"/>
  <c r="L95" i="21"/>
  <c r="M95" i="21"/>
  <c r="O95" i="21" s="1"/>
  <c r="S95" i="21"/>
  <c r="U95" i="21" s="1"/>
  <c r="P95" i="21"/>
  <c r="R95" i="21" s="1"/>
  <c r="Y95" i="21"/>
  <c r="AA95" i="21" s="1"/>
  <c r="J94" i="21"/>
  <c r="P94" i="21" s="1"/>
  <c r="R94" i="21" s="1"/>
  <c r="E92" i="21"/>
  <c r="G93" i="21"/>
  <c r="H93" i="21" s="1"/>
  <c r="I93" i="21"/>
  <c r="J42" i="33" l="1"/>
  <c r="I43" i="33"/>
  <c r="M41" i="33"/>
  <c r="O41" i="33" s="1"/>
  <c r="P41" i="33"/>
  <c r="R41" i="33" s="1"/>
  <c r="S41" i="33"/>
  <c r="U41" i="33" s="1"/>
  <c r="Y41" i="33"/>
  <c r="AA41" i="33" s="1"/>
  <c r="V41" i="33"/>
  <c r="X41" i="33" s="1"/>
  <c r="L41" i="33"/>
  <c r="G134" i="29"/>
  <c r="H134" i="29" s="1"/>
  <c r="Y94" i="21"/>
  <c r="AA94" i="21" s="1"/>
  <c r="M94" i="21"/>
  <c r="O94" i="21" s="1"/>
  <c r="L94" i="21"/>
  <c r="V94" i="21"/>
  <c r="X94" i="21" s="1"/>
  <c r="S94" i="21"/>
  <c r="U94" i="21" s="1"/>
  <c r="J93" i="21"/>
  <c r="S93" i="21" s="1"/>
  <c r="U93" i="21" s="1"/>
  <c r="I92" i="21"/>
  <c r="G92" i="21"/>
  <c r="H92" i="21" s="1"/>
  <c r="E91" i="21"/>
  <c r="J43" i="33" l="1"/>
  <c r="I44" i="33"/>
  <c r="L42" i="33"/>
  <c r="P42" i="33"/>
  <c r="R42" i="33" s="1"/>
  <c r="S42" i="33"/>
  <c r="U42" i="33" s="1"/>
  <c r="M42" i="33"/>
  <c r="O42" i="33" s="1"/>
  <c r="V42" i="33"/>
  <c r="X42" i="33" s="1"/>
  <c r="Y42" i="33"/>
  <c r="AA42" i="33" s="1"/>
  <c r="G133" i="29"/>
  <c r="H133" i="29" s="1"/>
  <c r="P93" i="21"/>
  <c r="R93" i="21" s="1"/>
  <c r="V93" i="21"/>
  <c r="X93" i="21" s="1"/>
  <c r="M93" i="21"/>
  <c r="O93" i="21" s="1"/>
  <c r="Y93" i="21"/>
  <c r="AA93" i="21" s="1"/>
  <c r="L93" i="21"/>
  <c r="J92" i="21"/>
  <c r="Y92" i="21" s="1"/>
  <c r="AA92" i="21" s="1"/>
  <c r="G91" i="21"/>
  <c r="H91" i="21" s="1"/>
  <c r="I91" i="21"/>
  <c r="E90" i="21"/>
  <c r="J46" i="33" l="1"/>
  <c r="J44" i="33"/>
  <c r="I45" i="33"/>
  <c r="V43" i="33"/>
  <c r="X43" i="33" s="1"/>
  <c r="S43" i="33"/>
  <c r="U43" i="33" s="1"/>
  <c r="P43" i="33"/>
  <c r="R43" i="33" s="1"/>
  <c r="Y43" i="33"/>
  <c r="AA43" i="33" s="1"/>
  <c r="M43" i="33"/>
  <c r="O43" i="33" s="1"/>
  <c r="L43" i="33"/>
  <c r="G132" i="29"/>
  <c r="H132" i="29" s="1"/>
  <c r="V92" i="21"/>
  <c r="X92" i="21" s="1"/>
  <c r="L92" i="21"/>
  <c r="S92" i="21"/>
  <c r="U92" i="21" s="1"/>
  <c r="M92" i="21"/>
  <c r="O92" i="21" s="1"/>
  <c r="J91" i="21"/>
  <c r="S91" i="21" s="1"/>
  <c r="U91" i="21" s="1"/>
  <c r="P92" i="21"/>
  <c r="R92" i="21" s="1"/>
  <c r="E89" i="21"/>
  <c r="I90" i="21"/>
  <c r="G90" i="21"/>
  <c r="H90" i="21" s="1"/>
  <c r="V44" i="33" l="1"/>
  <c r="X44" i="33" s="1"/>
  <c r="Y44" i="33"/>
  <c r="AA44" i="33" s="1"/>
  <c r="L44" i="33"/>
  <c r="S44" i="33"/>
  <c r="U44" i="33" s="1"/>
  <c r="P44" i="33"/>
  <c r="R44" i="33" s="1"/>
  <c r="M44" i="33"/>
  <c r="O44" i="33" s="1"/>
  <c r="J45" i="33"/>
  <c r="I46" i="33"/>
  <c r="I47" i="33" s="1"/>
  <c r="J47" i="33" s="1"/>
  <c r="E4" i="38" s="1"/>
  <c r="G4" i="38" s="1"/>
  <c r="S46" i="33"/>
  <c r="U46" i="33" s="1"/>
  <c r="V46" i="33"/>
  <c r="X46" i="33" s="1"/>
  <c r="Y46" i="33"/>
  <c r="AA46" i="33" s="1"/>
  <c r="P46" i="33"/>
  <c r="R46" i="33" s="1"/>
  <c r="M46" i="33"/>
  <c r="O46" i="33" s="1"/>
  <c r="L46" i="33"/>
  <c r="G131" i="29"/>
  <c r="H131" i="29" s="1"/>
  <c r="Y91" i="21"/>
  <c r="AA91" i="21" s="1"/>
  <c r="L91" i="21"/>
  <c r="M91" i="21"/>
  <c r="O91" i="21" s="1"/>
  <c r="V91" i="21"/>
  <c r="X91" i="21" s="1"/>
  <c r="P91" i="21"/>
  <c r="R91" i="21" s="1"/>
  <c r="J90" i="21"/>
  <c r="L90" i="21" s="1"/>
  <c r="G89" i="21"/>
  <c r="H89" i="21" s="1"/>
  <c r="I89" i="21"/>
  <c r="E88" i="21"/>
  <c r="I48" i="33" l="1"/>
  <c r="J48" i="33" s="1"/>
  <c r="E5" i="38" s="1"/>
  <c r="G5" i="38" s="1"/>
  <c r="M45" i="33"/>
  <c r="O45" i="33" s="1"/>
  <c r="L45" i="33"/>
  <c r="P45" i="33"/>
  <c r="R45" i="33" s="1"/>
  <c r="S45" i="33"/>
  <c r="U45" i="33" s="1"/>
  <c r="V45" i="33"/>
  <c r="X45" i="33" s="1"/>
  <c r="Y45" i="33"/>
  <c r="AA45" i="33" s="1"/>
  <c r="I49" i="33"/>
  <c r="J49" i="33" s="1"/>
  <c r="E6" i="38" s="1"/>
  <c r="G6" i="38" s="1"/>
  <c r="L47" i="33"/>
  <c r="M47" i="33"/>
  <c r="V47" i="33"/>
  <c r="X47" i="33" s="1"/>
  <c r="P47" i="33"/>
  <c r="S47" i="33"/>
  <c r="U47" i="33" s="1"/>
  <c r="Y47" i="33"/>
  <c r="AA47" i="33" s="1"/>
  <c r="G130" i="29"/>
  <c r="H130" i="29" s="1"/>
  <c r="V90" i="21"/>
  <c r="X90" i="21" s="1"/>
  <c r="S90" i="21"/>
  <c r="U90" i="21" s="1"/>
  <c r="P90" i="21"/>
  <c r="R90" i="21" s="1"/>
  <c r="M90" i="21"/>
  <c r="O90" i="21" s="1"/>
  <c r="Y90" i="21"/>
  <c r="AA90" i="21" s="1"/>
  <c r="J89" i="21"/>
  <c r="Y89" i="21" s="1"/>
  <c r="AA89" i="21" s="1"/>
  <c r="E87" i="21"/>
  <c r="I88" i="21"/>
  <c r="G88" i="21"/>
  <c r="H88" i="21" s="1"/>
  <c r="O47" i="33" l="1"/>
  <c r="E4" i="36"/>
  <c r="G4" i="36" s="1"/>
  <c r="R47" i="33"/>
  <c r="E4" i="25"/>
  <c r="S48" i="33"/>
  <c r="U48" i="33" s="1"/>
  <c r="P48" i="33"/>
  <c r="Y48" i="33"/>
  <c r="AA48" i="33" s="1"/>
  <c r="V48" i="33"/>
  <c r="X48" i="33" s="1"/>
  <c r="L48" i="33"/>
  <c r="M48" i="33"/>
  <c r="I50" i="33"/>
  <c r="J50" i="33" s="1"/>
  <c r="E7" i="38" s="1"/>
  <c r="G7" i="38" s="1"/>
  <c r="G129" i="29"/>
  <c r="H129" i="29" s="1"/>
  <c r="V89" i="21"/>
  <c r="X89" i="21" s="1"/>
  <c r="P89" i="21"/>
  <c r="R89" i="21" s="1"/>
  <c r="S89" i="21"/>
  <c r="U89" i="21" s="1"/>
  <c r="M89" i="21"/>
  <c r="O89" i="21" s="1"/>
  <c r="L89" i="21"/>
  <c r="J88" i="21"/>
  <c r="G87" i="21"/>
  <c r="H87" i="21" s="1"/>
  <c r="I87" i="21"/>
  <c r="E86" i="21"/>
  <c r="O48" i="33" l="1"/>
  <c r="E5" i="36"/>
  <c r="G5" i="36" s="1"/>
  <c r="R48" i="33"/>
  <c r="E5" i="25"/>
  <c r="M49" i="33"/>
  <c r="Y49" i="33"/>
  <c r="AA49" i="33" s="1"/>
  <c r="S49" i="33"/>
  <c r="U49" i="33" s="1"/>
  <c r="L49" i="33"/>
  <c r="P49" i="33"/>
  <c r="V49" i="33"/>
  <c r="X49" i="33" s="1"/>
  <c r="I51" i="33"/>
  <c r="J51" i="33" s="1"/>
  <c r="E8" i="38" s="1"/>
  <c r="G8" i="38" s="1"/>
  <c r="G128" i="29"/>
  <c r="H128" i="29" s="1"/>
  <c r="J87" i="21"/>
  <c r="S87" i="21" s="1"/>
  <c r="U87" i="21" s="1"/>
  <c r="I86" i="21"/>
  <c r="G86" i="21"/>
  <c r="H86" i="21" s="1"/>
  <c r="E85" i="21"/>
  <c r="F16" i="18"/>
  <c r="H16" i="18" s="1"/>
  <c r="I16" i="18" s="1"/>
  <c r="J16" i="18" s="1"/>
  <c r="Y88" i="21"/>
  <c r="AA88" i="21" s="1"/>
  <c r="M88" i="21"/>
  <c r="O88" i="21" s="1"/>
  <c r="P88" i="21"/>
  <c r="R88" i="21" s="1"/>
  <c r="S88" i="21"/>
  <c r="U88" i="21" s="1"/>
  <c r="V88" i="21"/>
  <c r="X88" i="21" s="1"/>
  <c r="L88" i="21"/>
  <c r="O49" i="33" l="1"/>
  <c r="E6" i="36"/>
  <c r="G6" i="36" s="1"/>
  <c r="R49" i="33"/>
  <c r="E6" i="25"/>
  <c r="Y50" i="33"/>
  <c r="AA50" i="33" s="1"/>
  <c r="M50" i="33"/>
  <c r="S50" i="33"/>
  <c r="U50" i="33" s="1"/>
  <c r="V50" i="33"/>
  <c r="X50" i="33" s="1"/>
  <c r="L50" i="33"/>
  <c r="P50" i="33"/>
  <c r="I52" i="33"/>
  <c r="J52" i="33" s="1"/>
  <c r="E9" i="38" s="1"/>
  <c r="G9" i="38" s="1"/>
  <c r="G127" i="29"/>
  <c r="H127" i="29" s="1"/>
  <c r="M87" i="21"/>
  <c r="O87" i="21" s="1"/>
  <c r="Y87" i="21"/>
  <c r="AA87" i="21" s="1"/>
  <c r="L87" i="21"/>
  <c r="P87" i="21"/>
  <c r="R87" i="21" s="1"/>
  <c r="V87" i="21"/>
  <c r="X87" i="21" s="1"/>
  <c r="J86" i="21"/>
  <c r="M86" i="21" s="1"/>
  <c r="O86" i="21" s="1"/>
  <c r="G85" i="21"/>
  <c r="H85" i="21" s="1"/>
  <c r="I85" i="21"/>
  <c r="O16" i="18"/>
  <c r="K16" i="18"/>
  <c r="L16" i="18"/>
  <c r="M16" i="18"/>
  <c r="N16" i="18"/>
  <c r="E84" i="21"/>
  <c r="O50" i="33" l="1"/>
  <c r="E7" i="36"/>
  <c r="G7" i="36" s="1"/>
  <c r="R50" i="33"/>
  <c r="E7" i="25"/>
  <c r="I53" i="33"/>
  <c r="J53" i="33" s="1"/>
  <c r="E10" i="38" s="1"/>
  <c r="G10" i="38" s="1"/>
  <c r="S51" i="33"/>
  <c r="U51" i="33" s="1"/>
  <c r="Y51" i="33"/>
  <c r="AA51" i="33" s="1"/>
  <c r="L51" i="33"/>
  <c r="V51" i="33"/>
  <c r="X51" i="33" s="1"/>
  <c r="P51" i="33"/>
  <c r="M51" i="33"/>
  <c r="G126" i="29"/>
  <c r="H126" i="29" s="1"/>
  <c r="P86" i="21"/>
  <c r="R86" i="21" s="1"/>
  <c r="V86" i="21"/>
  <c r="X86" i="21" s="1"/>
  <c r="Y86" i="21"/>
  <c r="AA86" i="21" s="1"/>
  <c r="L86" i="21"/>
  <c r="S86" i="21"/>
  <c r="U86" i="21" s="1"/>
  <c r="J85" i="21"/>
  <c r="S85" i="21" s="1"/>
  <c r="U85" i="21" s="1"/>
  <c r="E83" i="21"/>
  <c r="I84" i="21"/>
  <c r="G84" i="21"/>
  <c r="H84" i="21" s="1"/>
  <c r="R51" i="33" l="1"/>
  <c r="E8" i="25"/>
  <c r="O51" i="33"/>
  <c r="E8" i="36"/>
  <c r="G8" i="36" s="1"/>
  <c r="I54" i="33"/>
  <c r="J54" i="33" s="1"/>
  <c r="E11" i="38" s="1"/>
  <c r="G11" i="38" s="1"/>
  <c r="Y52" i="33"/>
  <c r="AA52" i="33" s="1"/>
  <c r="P52" i="33"/>
  <c r="M52" i="33"/>
  <c r="S52" i="33"/>
  <c r="U52" i="33" s="1"/>
  <c r="V52" i="33"/>
  <c r="X52" i="33" s="1"/>
  <c r="L52" i="33"/>
  <c r="G125" i="29"/>
  <c r="H125" i="29" s="1"/>
  <c r="P85" i="21"/>
  <c r="R85" i="21" s="1"/>
  <c r="L85" i="21"/>
  <c r="M85" i="21"/>
  <c r="O85" i="21" s="1"/>
  <c r="V85" i="21"/>
  <c r="X85" i="21" s="1"/>
  <c r="Y85" i="21"/>
  <c r="AA85" i="21" s="1"/>
  <c r="J84" i="21"/>
  <c r="G83" i="21"/>
  <c r="H83" i="21" s="1"/>
  <c r="I83" i="21"/>
  <c r="E82" i="21"/>
  <c r="O52" i="33" l="1"/>
  <c r="E9" i="36"/>
  <c r="G9" i="36" s="1"/>
  <c r="R52" i="33"/>
  <c r="E9" i="25"/>
  <c r="I55" i="33"/>
  <c r="J55" i="33" s="1"/>
  <c r="E12" i="38" s="1"/>
  <c r="G12" i="38" s="1"/>
  <c r="S53" i="33"/>
  <c r="U53" i="33" s="1"/>
  <c r="Y53" i="33"/>
  <c r="AA53" i="33" s="1"/>
  <c r="L53" i="33"/>
  <c r="V53" i="33"/>
  <c r="X53" i="33" s="1"/>
  <c r="P53" i="33"/>
  <c r="M53" i="33"/>
  <c r="G124" i="29"/>
  <c r="H124" i="29" s="1"/>
  <c r="J83" i="21"/>
  <c r="S83" i="21" s="1"/>
  <c r="U83" i="21" s="1"/>
  <c r="E81" i="21"/>
  <c r="Y84" i="21"/>
  <c r="AA84" i="21" s="1"/>
  <c r="M84" i="21"/>
  <c r="O84" i="21" s="1"/>
  <c r="P84" i="21"/>
  <c r="R84" i="21" s="1"/>
  <c r="S84" i="21"/>
  <c r="U84" i="21" s="1"/>
  <c r="V84" i="21"/>
  <c r="X84" i="21" s="1"/>
  <c r="L84" i="21"/>
  <c r="I82" i="21"/>
  <c r="G82" i="21"/>
  <c r="H82" i="21" s="1"/>
  <c r="R53" i="33" l="1"/>
  <c r="E10" i="25"/>
  <c r="O53" i="33"/>
  <c r="E10" i="36"/>
  <c r="G10" i="36" s="1"/>
  <c r="I56" i="33"/>
  <c r="L54" i="33"/>
  <c r="P54" i="33"/>
  <c r="M54" i="33"/>
  <c r="V54" i="33"/>
  <c r="X54" i="33" s="1"/>
  <c r="Y54" i="33"/>
  <c r="AA54" i="33" s="1"/>
  <c r="S54" i="33"/>
  <c r="U54" i="33" s="1"/>
  <c r="G123" i="29"/>
  <c r="H123" i="29" s="1"/>
  <c r="L83" i="21"/>
  <c r="Y83" i="21"/>
  <c r="AA83" i="21" s="1"/>
  <c r="P83" i="21"/>
  <c r="R83" i="21" s="1"/>
  <c r="V83" i="21"/>
  <c r="X83" i="21" s="1"/>
  <c r="M83" i="21"/>
  <c r="O83" i="21" s="1"/>
  <c r="J82" i="21"/>
  <c r="G81" i="21"/>
  <c r="H81" i="21" s="1"/>
  <c r="I81" i="21"/>
  <c r="E80" i="21"/>
  <c r="O54" i="33" l="1"/>
  <c r="E11" i="36"/>
  <c r="G11" i="36" s="1"/>
  <c r="R54" i="33"/>
  <c r="E11" i="25"/>
  <c r="J56" i="33"/>
  <c r="E13" i="38" s="1"/>
  <c r="G13" i="38" s="1"/>
  <c r="I57" i="33"/>
  <c r="J57" i="33" s="1"/>
  <c r="E14" i="38" s="1"/>
  <c r="G14" i="38" s="1"/>
  <c r="L55" i="33"/>
  <c r="P55" i="33"/>
  <c r="V55" i="33"/>
  <c r="X55" i="33" s="1"/>
  <c r="S55" i="33"/>
  <c r="U55" i="33" s="1"/>
  <c r="M55" i="33"/>
  <c r="Y55" i="33"/>
  <c r="AA55" i="33" s="1"/>
  <c r="G122" i="29"/>
  <c r="H122" i="29" s="1"/>
  <c r="J81" i="21"/>
  <c r="S81" i="21" s="1"/>
  <c r="U81" i="21" s="1"/>
  <c r="I80" i="21"/>
  <c r="G80" i="21"/>
  <c r="H80" i="21" s="1"/>
  <c r="E79" i="21"/>
  <c r="Y82" i="21"/>
  <c r="AA82" i="21" s="1"/>
  <c r="M82" i="21"/>
  <c r="O82" i="21" s="1"/>
  <c r="P82" i="21"/>
  <c r="R82" i="21" s="1"/>
  <c r="S82" i="21"/>
  <c r="U82" i="21" s="1"/>
  <c r="V82" i="21"/>
  <c r="X82" i="21" s="1"/>
  <c r="L82" i="21"/>
  <c r="R55" i="33" l="1"/>
  <c r="E12" i="25"/>
  <c r="O55" i="33"/>
  <c r="E12" i="36"/>
  <c r="G12" i="36" s="1"/>
  <c r="I58" i="33"/>
  <c r="J58" i="33" s="1"/>
  <c r="E15" i="38" s="1"/>
  <c r="G15" i="38" s="1"/>
  <c r="P56" i="33"/>
  <c r="Y56" i="33"/>
  <c r="AA56" i="33" s="1"/>
  <c r="V56" i="33"/>
  <c r="X56" i="33" s="1"/>
  <c r="S56" i="33"/>
  <c r="U56" i="33" s="1"/>
  <c r="L56" i="33"/>
  <c r="M56" i="33"/>
  <c r="G121" i="29"/>
  <c r="H121" i="29" s="1"/>
  <c r="Y81" i="21"/>
  <c r="AA81" i="21" s="1"/>
  <c r="P81" i="21"/>
  <c r="R81" i="21" s="1"/>
  <c r="M81" i="21"/>
  <c r="O81" i="21" s="1"/>
  <c r="V81" i="21"/>
  <c r="X81" i="21" s="1"/>
  <c r="L81" i="21"/>
  <c r="J80" i="21"/>
  <c r="P80" i="21" s="1"/>
  <c r="R80" i="21" s="1"/>
  <c r="E78" i="21"/>
  <c r="G79" i="21"/>
  <c r="H79" i="21" s="1"/>
  <c r="I79" i="21"/>
  <c r="O56" i="33" l="1"/>
  <c r="E13" i="36"/>
  <c r="G13" i="36" s="1"/>
  <c r="R56" i="33"/>
  <c r="E13" i="25"/>
  <c r="I59" i="33"/>
  <c r="J59" i="33" s="1"/>
  <c r="E16" i="38" s="1"/>
  <c r="G16" i="38" s="1"/>
  <c r="S57" i="33"/>
  <c r="U57" i="33" s="1"/>
  <c r="M57" i="33"/>
  <c r="Y57" i="33"/>
  <c r="AA57" i="33" s="1"/>
  <c r="V57" i="33"/>
  <c r="X57" i="33" s="1"/>
  <c r="L57" i="33"/>
  <c r="P57" i="33"/>
  <c r="G120" i="29"/>
  <c r="H120" i="29" s="1"/>
  <c r="M80" i="21"/>
  <c r="O80" i="21" s="1"/>
  <c r="Y80" i="21"/>
  <c r="AA80" i="21" s="1"/>
  <c r="L80" i="21"/>
  <c r="V80" i="21"/>
  <c r="X80" i="21" s="1"/>
  <c r="S80" i="21"/>
  <c r="U80" i="21" s="1"/>
  <c r="J79" i="21"/>
  <c r="S79" i="21" s="1"/>
  <c r="U79" i="21" s="1"/>
  <c r="I78" i="21"/>
  <c r="G78" i="21"/>
  <c r="H78" i="21" s="1"/>
  <c r="E77" i="21"/>
  <c r="E118" i="21"/>
  <c r="R57" i="33" l="1"/>
  <c r="E14" i="25"/>
  <c r="O57" i="33"/>
  <c r="E14" i="36"/>
  <c r="G14" i="36" s="1"/>
  <c r="I60" i="33"/>
  <c r="J60" i="33" s="1"/>
  <c r="E17" i="38" s="1"/>
  <c r="G17" i="38" s="1"/>
  <c r="Y58" i="33"/>
  <c r="AA58" i="33" s="1"/>
  <c r="P58" i="33"/>
  <c r="V58" i="33"/>
  <c r="X58" i="33" s="1"/>
  <c r="M58" i="33"/>
  <c r="L58" i="33"/>
  <c r="S58" i="33"/>
  <c r="U58" i="33" s="1"/>
  <c r="G119" i="29"/>
  <c r="H119" i="29" s="1"/>
  <c r="V79" i="21"/>
  <c r="X79" i="21" s="1"/>
  <c r="Y79" i="21"/>
  <c r="AA79" i="21" s="1"/>
  <c r="M79" i="21"/>
  <c r="O79" i="21" s="1"/>
  <c r="P79" i="21"/>
  <c r="R79" i="21" s="1"/>
  <c r="L79" i="21"/>
  <c r="J78" i="21"/>
  <c r="G77" i="21"/>
  <c r="H77" i="21" s="1"/>
  <c r="I77" i="21"/>
  <c r="E76" i="21"/>
  <c r="I118" i="21"/>
  <c r="G118" i="21"/>
  <c r="H118" i="21" s="1"/>
  <c r="O58" i="33" l="1"/>
  <c r="E15" i="36"/>
  <c r="G15" i="36" s="1"/>
  <c r="R58" i="33"/>
  <c r="E15" i="25"/>
  <c r="L59" i="33"/>
  <c r="S59" i="33"/>
  <c r="U59" i="33" s="1"/>
  <c r="M59" i="33"/>
  <c r="Y59" i="33"/>
  <c r="AA59" i="33" s="1"/>
  <c r="V59" i="33"/>
  <c r="X59" i="33" s="1"/>
  <c r="P59" i="33"/>
  <c r="I61" i="33"/>
  <c r="J61" i="33" s="1"/>
  <c r="E18" i="38" s="1"/>
  <c r="G18" i="38" s="1"/>
  <c r="K118" i="21"/>
  <c r="Q118" i="21" s="1"/>
  <c r="G118" i="29"/>
  <c r="H118" i="29" s="1"/>
  <c r="J77" i="21"/>
  <c r="S77" i="21" s="1"/>
  <c r="U77" i="21" s="1"/>
  <c r="I76" i="21"/>
  <c r="G76" i="21"/>
  <c r="H76" i="21" s="1"/>
  <c r="E75" i="21"/>
  <c r="Y78" i="21"/>
  <c r="AA78" i="21" s="1"/>
  <c r="M78" i="21"/>
  <c r="O78" i="21" s="1"/>
  <c r="P78" i="21"/>
  <c r="R78" i="21" s="1"/>
  <c r="S78" i="21"/>
  <c r="U78" i="21" s="1"/>
  <c r="V78" i="21"/>
  <c r="X78" i="21" s="1"/>
  <c r="L78" i="21"/>
  <c r="S118" i="21"/>
  <c r="R59" i="33" l="1"/>
  <c r="E16" i="25"/>
  <c r="O59" i="33"/>
  <c r="E16" i="36"/>
  <c r="G16" i="36" s="1"/>
  <c r="I62" i="33"/>
  <c r="J62" i="33" s="1"/>
  <c r="E19" i="38" s="1"/>
  <c r="G19" i="38" s="1"/>
  <c r="V60" i="33"/>
  <c r="X60" i="33" s="1"/>
  <c r="S60" i="33"/>
  <c r="U60" i="33" s="1"/>
  <c r="L60" i="33"/>
  <c r="Y60" i="33"/>
  <c r="AA60" i="33" s="1"/>
  <c r="M60" i="33"/>
  <c r="P60" i="33"/>
  <c r="T118" i="21"/>
  <c r="U118" i="21" s="1"/>
  <c r="N118" i="21"/>
  <c r="Z118" i="21"/>
  <c r="W118" i="21"/>
  <c r="G117" i="29"/>
  <c r="H117" i="29" s="1"/>
  <c r="M77" i="21"/>
  <c r="O77" i="21" s="1"/>
  <c r="L77" i="21"/>
  <c r="P77" i="21"/>
  <c r="R77" i="21" s="1"/>
  <c r="J76" i="21"/>
  <c r="Y76" i="21" s="1"/>
  <c r="AA76" i="21" s="1"/>
  <c r="V77" i="21"/>
  <c r="X77" i="21" s="1"/>
  <c r="Y77" i="21"/>
  <c r="AA77" i="21" s="1"/>
  <c r="G75" i="21"/>
  <c r="H75" i="21" s="1"/>
  <c r="I75" i="21"/>
  <c r="E74" i="21"/>
  <c r="Y118" i="21"/>
  <c r="P118" i="21"/>
  <c r="R118" i="21" s="1"/>
  <c r="V118" i="21"/>
  <c r="M118" i="21"/>
  <c r="L118" i="21"/>
  <c r="R60" i="33" l="1"/>
  <c r="E17" i="25"/>
  <c r="O60" i="33"/>
  <c r="E17" i="36"/>
  <c r="G17" i="36" s="1"/>
  <c r="O118" i="21"/>
  <c r="AA118" i="21"/>
  <c r="Y61" i="33"/>
  <c r="AA61" i="33" s="1"/>
  <c r="S61" i="33"/>
  <c r="U61" i="33" s="1"/>
  <c r="L61" i="33"/>
  <c r="V61" i="33"/>
  <c r="X61" i="33" s="1"/>
  <c r="P61" i="33"/>
  <c r="M61" i="33"/>
  <c r="I63" i="33"/>
  <c r="J63" i="33" s="1"/>
  <c r="E20" i="38" s="1"/>
  <c r="G20" i="38" s="1"/>
  <c r="X118" i="21"/>
  <c r="G116" i="29"/>
  <c r="H116" i="29" s="1"/>
  <c r="S76" i="21"/>
  <c r="U76" i="21" s="1"/>
  <c r="L76" i="21"/>
  <c r="M76" i="21"/>
  <c r="O76" i="21" s="1"/>
  <c r="P76" i="21"/>
  <c r="R76" i="21" s="1"/>
  <c r="V76" i="21"/>
  <c r="X76" i="21" s="1"/>
  <c r="J75" i="21"/>
  <c r="S75" i="21" s="1"/>
  <c r="U75" i="21" s="1"/>
  <c r="E73" i="21"/>
  <c r="F15" i="18"/>
  <c r="H15" i="18" s="1"/>
  <c r="I15" i="18" s="1"/>
  <c r="J15" i="18" s="1"/>
  <c r="I74" i="21"/>
  <c r="G74" i="21"/>
  <c r="H74" i="21" s="1"/>
  <c r="E111" i="21"/>
  <c r="E112" i="21"/>
  <c r="E113" i="21"/>
  <c r="E114" i="21"/>
  <c r="E115" i="21"/>
  <c r="E116" i="21"/>
  <c r="E117" i="21"/>
  <c r="E119" i="21"/>
  <c r="E120" i="21"/>
  <c r="E109" i="21"/>
  <c r="R61" i="33" l="1"/>
  <c r="E18" i="25"/>
  <c r="O61" i="33"/>
  <c r="E18" i="36"/>
  <c r="G18" i="36" s="1"/>
  <c r="L62" i="33"/>
  <c r="Y62" i="33"/>
  <c r="AA62" i="33" s="1"/>
  <c r="M62" i="33"/>
  <c r="P62" i="33"/>
  <c r="S62" i="33"/>
  <c r="U62" i="33" s="1"/>
  <c r="V62" i="33"/>
  <c r="X62" i="33" s="1"/>
  <c r="I64" i="33"/>
  <c r="J64" i="33" s="1"/>
  <c r="E21" i="38" s="1"/>
  <c r="G21" i="38" s="1"/>
  <c r="G115" i="29"/>
  <c r="H115" i="29" s="1"/>
  <c r="M75" i="21"/>
  <c r="O75" i="21" s="1"/>
  <c r="Y75" i="21"/>
  <c r="AA75" i="21" s="1"/>
  <c r="V75" i="21"/>
  <c r="X75" i="21" s="1"/>
  <c r="P75" i="21"/>
  <c r="R75" i="21" s="1"/>
  <c r="L75" i="21"/>
  <c r="J74" i="21"/>
  <c r="O15" i="18"/>
  <c r="M15" i="18"/>
  <c r="N15" i="18"/>
  <c r="K15" i="18"/>
  <c r="L15" i="18"/>
  <c r="G73" i="21"/>
  <c r="H73" i="21" s="1"/>
  <c r="I73" i="21"/>
  <c r="E72" i="21"/>
  <c r="I120" i="21"/>
  <c r="G120" i="21"/>
  <c r="H120" i="21" s="1"/>
  <c r="I116" i="21"/>
  <c r="G116" i="21"/>
  <c r="H116" i="21" s="1"/>
  <c r="I114" i="21"/>
  <c r="G114" i="21"/>
  <c r="H114" i="21" s="1"/>
  <c r="I112" i="21"/>
  <c r="G112" i="21"/>
  <c r="H112" i="21" s="1"/>
  <c r="H109" i="21"/>
  <c r="I109" i="21"/>
  <c r="G109" i="21"/>
  <c r="G119" i="21"/>
  <c r="H119" i="21" s="1"/>
  <c r="I119" i="21"/>
  <c r="I117" i="21"/>
  <c r="G117" i="21"/>
  <c r="H117" i="21" s="1"/>
  <c r="I115" i="21"/>
  <c r="G115" i="21"/>
  <c r="H115" i="21" s="1"/>
  <c r="I113" i="21"/>
  <c r="G113" i="21"/>
  <c r="H113" i="21" s="1"/>
  <c r="I111" i="21"/>
  <c r="G111" i="21"/>
  <c r="H111" i="21" s="1"/>
  <c r="R62" i="33" l="1"/>
  <c r="E19" i="25"/>
  <c r="O62" i="33"/>
  <c r="E19" i="36"/>
  <c r="G19" i="36" s="1"/>
  <c r="S63" i="33"/>
  <c r="U63" i="33" s="1"/>
  <c r="M63" i="33"/>
  <c r="L63" i="33"/>
  <c r="Y63" i="33"/>
  <c r="AA63" i="33" s="1"/>
  <c r="V63" i="33"/>
  <c r="X63" i="33" s="1"/>
  <c r="P63" i="33"/>
  <c r="I65" i="33"/>
  <c r="J65" i="33" s="1"/>
  <c r="E22" i="38" s="1"/>
  <c r="G22" i="38" s="1"/>
  <c r="K120" i="21"/>
  <c r="Z120" i="21" s="1"/>
  <c r="K116" i="21"/>
  <c r="Q116" i="21" s="1"/>
  <c r="K115" i="21"/>
  <c r="Q115" i="21" s="1"/>
  <c r="K111" i="21"/>
  <c r="Z111" i="21" s="1"/>
  <c r="K117" i="21"/>
  <c r="N117" i="21" s="1"/>
  <c r="G114" i="29"/>
  <c r="H114" i="29" s="1"/>
  <c r="K112" i="21"/>
  <c r="Q112" i="21" s="1"/>
  <c r="K119" i="21"/>
  <c r="N119" i="21" s="1"/>
  <c r="K114" i="21"/>
  <c r="Q114" i="21" s="1"/>
  <c r="K109" i="21"/>
  <c r="Z109" i="21" s="1"/>
  <c r="K113" i="21"/>
  <c r="Q113" i="21" s="1"/>
  <c r="J73" i="21"/>
  <c r="S73" i="21" s="1"/>
  <c r="U73" i="21" s="1"/>
  <c r="I72" i="21"/>
  <c r="G72" i="21"/>
  <c r="H72" i="21" s="1"/>
  <c r="Y74" i="21"/>
  <c r="AA74" i="21" s="1"/>
  <c r="M74" i="21"/>
  <c r="O74" i="21" s="1"/>
  <c r="P74" i="21"/>
  <c r="R74" i="21" s="1"/>
  <c r="S74" i="21"/>
  <c r="U74" i="21" s="1"/>
  <c r="V74" i="21"/>
  <c r="X74" i="21" s="1"/>
  <c r="L74" i="21"/>
  <c r="E71" i="21"/>
  <c r="Y119" i="21"/>
  <c r="V120" i="21"/>
  <c r="V114" i="21"/>
  <c r="S116" i="21"/>
  <c r="V113" i="21"/>
  <c r="Y115" i="21"/>
  <c r="V117" i="21"/>
  <c r="V112" i="21"/>
  <c r="P111" i="21"/>
  <c r="R63" i="33" l="1"/>
  <c r="E20" i="25"/>
  <c r="O63" i="33"/>
  <c r="E20" i="36"/>
  <c r="G20" i="36" s="1"/>
  <c r="T115" i="21"/>
  <c r="N115" i="21"/>
  <c r="M64" i="33"/>
  <c r="S64" i="33"/>
  <c r="U64" i="33" s="1"/>
  <c r="L64" i="33"/>
  <c r="Y64" i="33"/>
  <c r="AA64" i="33" s="1"/>
  <c r="P64" i="33"/>
  <c r="V64" i="33"/>
  <c r="X64" i="33" s="1"/>
  <c r="I66" i="33"/>
  <c r="J66" i="33" s="1"/>
  <c r="E23" i="38" s="1"/>
  <c r="G23" i="38" s="1"/>
  <c r="Q120" i="21"/>
  <c r="T120" i="21"/>
  <c r="N120" i="21"/>
  <c r="W120" i="21"/>
  <c r="X120" i="21" s="1"/>
  <c r="T116" i="21"/>
  <c r="U116" i="21" s="1"/>
  <c r="Z116" i="21"/>
  <c r="W116" i="21"/>
  <c r="N116" i="21"/>
  <c r="W115" i="21"/>
  <c r="Z115" i="21"/>
  <c r="AA115" i="21" s="1"/>
  <c r="Q117" i="21"/>
  <c r="Z117" i="21"/>
  <c r="T111" i="21"/>
  <c r="W111" i="21"/>
  <c r="Q111" i="21"/>
  <c r="R111" i="21" s="1"/>
  <c r="N111" i="21"/>
  <c r="N112" i="21"/>
  <c r="T112" i="21"/>
  <c r="T117" i="21"/>
  <c r="W117" i="21"/>
  <c r="X117" i="21" s="1"/>
  <c r="G113" i="29"/>
  <c r="H113" i="29" s="1"/>
  <c r="W112" i="21"/>
  <c r="X112" i="21" s="1"/>
  <c r="Z112" i="21"/>
  <c r="W119" i="21"/>
  <c r="T109" i="21"/>
  <c r="T114" i="21"/>
  <c r="J72" i="21"/>
  <c r="V72" i="21" s="1"/>
  <c r="X72" i="21" s="1"/>
  <c r="T119" i="21"/>
  <c r="W114" i="21"/>
  <c r="X114" i="21" s="1"/>
  <c r="Q119" i="21"/>
  <c r="Z113" i="21"/>
  <c r="Z114" i="21"/>
  <c r="Z119" i="21"/>
  <c r="AA119" i="21" s="1"/>
  <c r="N114" i="21"/>
  <c r="W113" i="21"/>
  <c r="X113" i="21" s="1"/>
  <c r="T113" i="21"/>
  <c r="N109" i="21"/>
  <c r="N113" i="21"/>
  <c r="Q109" i="21"/>
  <c r="W109" i="21"/>
  <c r="L73" i="21"/>
  <c r="Y73" i="21"/>
  <c r="AA73" i="21" s="1"/>
  <c r="V73" i="21"/>
  <c r="X73" i="21" s="1"/>
  <c r="M73" i="21"/>
  <c r="O73" i="21" s="1"/>
  <c r="P119" i="21"/>
  <c r="M115" i="21"/>
  <c r="P73" i="21"/>
  <c r="R73" i="21" s="1"/>
  <c r="E70" i="21"/>
  <c r="G71" i="21"/>
  <c r="H71" i="21" s="1"/>
  <c r="I71" i="21"/>
  <c r="L114" i="21"/>
  <c r="S120" i="21"/>
  <c r="L119" i="21"/>
  <c r="M120" i="21"/>
  <c r="L120" i="21"/>
  <c r="Y116" i="21"/>
  <c r="S112" i="21"/>
  <c r="M119" i="21"/>
  <c r="O119" i="21" s="1"/>
  <c r="P120" i="21"/>
  <c r="Y120" i="21"/>
  <c r="AA120" i="21" s="1"/>
  <c r="P116" i="21"/>
  <c r="R116" i="21" s="1"/>
  <c r="V116" i="21"/>
  <c r="M112" i="21"/>
  <c r="S119" i="21"/>
  <c r="V119" i="21"/>
  <c r="M114" i="21"/>
  <c r="S114" i="21"/>
  <c r="M113" i="21"/>
  <c r="L113" i="21"/>
  <c r="P114" i="21"/>
  <c r="R114" i="21" s="1"/>
  <c r="Y114" i="21"/>
  <c r="P113" i="21"/>
  <c r="R113" i="21" s="1"/>
  <c r="V111" i="21"/>
  <c r="M117" i="21"/>
  <c r="O117" i="21" s="1"/>
  <c r="M116" i="21"/>
  <c r="L116" i="21"/>
  <c r="L112" i="21"/>
  <c r="L115" i="21"/>
  <c r="P115" i="21"/>
  <c r="R115" i="21" s="1"/>
  <c r="S111" i="21"/>
  <c r="Y111" i="21"/>
  <c r="AA111" i="21" s="1"/>
  <c r="P117" i="21"/>
  <c r="S115" i="21"/>
  <c r="V115" i="21"/>
  <c r="L111" i="21"/>
  <c r="M111" i="21"/>
  <c r="L117" i="21"/>
  <c r="Y113" i="21"/>
  <c r="S113" i="21"/>
  <c r="Y117" i="21"/>
  <c r="S117" i="21"/>
  <c r="P112" i="21"/>
  <c r="R112" i="21" s="1"/>
  <c r="Y112" i="21"/>
  <c r="Y109" i="21"/>
  <c r="AA109" i="21" s="1"/>
  <c r="M109" i="21"/>
  <c r="P109" i="21"/>
  <c r="S109" i="21"/>
  <c r="V109" i="21"/>
  <c r="L109" i="21"/>
  <c r="U115" i="21" l="1"/>
  <c r="R64" i="33"/>
  <c r="E21" i="25"/>
  <c r="O64" i="33"/>
  <c r="E21" i="36"/>
  <c r="G21" i="36" s="1"/>
  <c r="R120" i="21"/>
  <c r="O115" i="21"/>
  <c r="Y65" i="33"/>
  <c r="AA65" i="33" s="1"/>
  <c r="P65" i="33"/>
  <c r="M65" i="33"/>
  <c r="V65" i="33"/>
  <c r="X65" i="33" s="1"/>
  <c r="S65" i="33"/>
  <c r="U65" i="33" s="1"/>
  <c r="L65" i="33"/>
  <c r="I67" i="33"/>
  <c r="J67" i="33" s="1"/>
  <c r="E24" i="38" s="1"/>
  <c r="G24" i="38" s="1"/>
  <c r="U120" i="21"/>
  <c r="O120" i="21"/>
  <c r="AA116" i="21"/>
  <c r="O116" i="21"/>
  <c r="X116" i="21"/>
  <c r="R117" i="21"/>
  <c r="X115" i="21"/>
  <c r="U112" i="21"/>
  <c r="AA117" i="21"/>
  <c r="U111" i="21"/>
  <c r="X119" i="21"/>
  <c r="U117" i="21"/>
  <c r="X111" i="21"/>
  <c r="U114" i="21"/>
  <c r="O111" i="21"/>
  <c r="O112" i="21"/>
  <c r="U109" i="21"/>
  <c r="AA112" i="21"/>
  <c r="S72" i="21"/>
  <c r="U72" i="21" s="1"/>
  <c r="G112" i="29"/>
  <c r="H112" i="29" s="1"/>
  <c r="AA113" i="21"/>
  <c r="L72" i="21"/>
  <c r="P72" i="21"/>
  <c r="R72" i="21" s="1"/>
  <c r="M72" i="21"/>
  <c r="O72" i="21" s="1"/>
  <c r="Y72" i="21"/>
  <c r="AA72" i="21" s="1"/>
  <c r="O109" i="21"/>
  <c r="U113" i="21"/>
  <c r="AA114" i="21"/>
  <c r="U119" i="21"/>
  <c r="R119" i="21"/>
  <c r="O114" i="21"/>
  <c r="R109" i="21"/>
  <c r="O113" i="21"/>
  <c r="X109" i="21"/>
  <c r="J71" i="21"/>
  <c r="S71" i="21" s="1"/>
  <c r="U71" i="21" s="1"/>
  <c r="I70" i="21"/>
  <c r="G70" i="21"/>
  <c r="H70" i="21" s="1"/>
  <c r="E69" i="21"/>
  <c r="O65" i="33" l="1"/>
  <c r="E22" i="36"/>
  <c r="G22" i="36" s="1"/>
  <c r="R65" i="33"/>
  <c r="E22" i="25"/>
  <c r="Y66" i="33"/>
  <c r="AA66" i="33" s="1"/>
  <c r="P66" i="33"/>
  <c r="V66" i="33"/>
  <c r="X66" i="33" s="1"/>
  <c r="S66" i="33"/>
  <c r="U66" i="33" s="1"/>
  <c r="M66" i="33"/>
  <c r="L66" i="33"/>
  <c r="I68" i="33"/>
  <c r="J68" i="33" s="1"/>
  <c r="E25" i="38" s="1"/>
  <c r="G25" i="38" s="1"/>
  <c r="G111" i="29"/>
  <c r="H111" i="29" s="1"/>
  <c r="M71" i="21"/>
  <c r="O71" i="21" s="1"/>
  <c r="V71" i="21"/>
  <c r="X71" i="21" s="1"/>
  <c r="Y71" i="21"/>
  <c r="AA71" i="21" s="1"/>
  <c r="P71" i="21"/>
  <c r="R71" i="21" s="1"/>
  <c r="L71" i="21"/>
  <c r="G69" i="21"/>
  <c r="H69" i="21" s="1"/>
  <c r="I69" i="21"/>
  <c r="E68" i="21"/>
  <c r="J70" i="21"/>
  <c r="O66" i="33" l="1"/>
  <c r="E23" i="36"/>
  <c r="G23" i="36" s="1"/>
  <c r="R66" i="33"/>
  <c r="E23" i="25"/>
  <c r="M67" i="33"/>
  <c r="V67" i="33"/>
  <c r="X67" i="33" s="1"/>
  <c r="S67" i="33"/>
  <c r="U67" i="33" s="1"/>
  <c r="P67" i="33"/>
  <c r="L67" i="33"/>
  <c r="Y67" i="33"/>
  <c r="AA67" i="33" s="1"/>
  <c r="I69" i="33"/>
  <c r="J69" i="33" s="1"/>
  <c r="E26" i="38" s="1"/>
  <c r="G26" i="38" s="1"/>
  <c r="G110" i="29"/>
  <c r="H110" i="29" s="1"/>
  <c r="J69" i="21"/>
  <c r="Y69" i="21" s="1"/>
  <c r="AA69" i="21" s="1"/>
  <c r="E67" i="21"/>
  <c r="Y70" i="21"/>
  <c r="AA70" i="21" s="1"/>
  <c r="M70" i="21"/>
  <c r="O70" i="21" s="1"/>
  <c r="P70" i="21"/>
  <c r="R70" i="21" s="1"/>
  <c r="S70" i="21"/>
  <c r="U70" i="21" s="1"/>
  <c r="V70" i="21"/>
  <c r="X70" i="21" s="1"/>
  <c r="L70" i="21"/>
  <c r="I68" i="21"/>
  <c r="G68" i="21"/>
  <c r="H68" i="21" s="1"/>
  <c r="R67" i="33" l="1"/>
  <c r="E24" i="25"/>
  <c r="O67" i="33"/>
  <c r="E24" i="36"/>
  <c r="G24" i="36" s="1"/>
  <c r="S68" i="33"/>
  <c r="U68" i="33" s="1"/>
  <c r="P68" i="33"/>
  <c r="M68" i="33"/>
  <c r="L68" i="33"/>
  <c r="V68" i="33"/>
  <c r="X68" i="33" s="1"/>
  <c r="Y68" i="33"/>
  <c r="AA68" i="33" s="1"/>
  <c r="I70" i="33"/>
  <c r="J70" i="33" s="1"/>
  <c r="E27" i="38" s="1"/>
  <c r="G27" i="38" s="1"/>
  <c r="G109" i="29"/>
  <c r="H109" i="29" s="1"/>
  <c r="L69" i="21"/>
  <c r="V69" i="21"/>
  <c r="X69" i="21" s="1"/>
  <c r="M69" i="21"/>
  <c r="O69" i="21" s="1"/>
  <c r="S69" i="21"/>
  <c r="U69" i="21" s="1"/>
  <c r="P69" i="21"/>
  <c r="R69" i="21" s="1"/>
  <c r="J68" i="21"/>
  <c r="G67" i="21"/>
  <c r="H67" i="21" s="1"/>
  <c r="I67" i="21"/>
  <c r="E66" i="21"/>
  <c r="O68" i="33" l="1"/>
  <c r="E25" i="36"/>
  <c r="G25" i="36" s="1"/>
  <c r="R68" i="33"/>
  <c r="E25" i="25"/>
  <c r="L69" i="33"/>
  <c r="M69" i="33"/>
  <c r="V69" i="33"/>
  <c r="X69" i="33" s="1"/>
  <c r="P69" i="33"/>
  <c r="Y69" i="33"/>
  <c r="AA69" i="33" s="1"/>
  <c r="S69" i="33"/>
  <c r="U69" i="33" s="1"/>
  <c r="I71" i="33"/>
  <c r="J71" i="33" s="1"/>
  <c r="E28" i="38" s="1"/>
  <c r="G28" i="38" s="1"/>
  <c r="G108" i="29"/>
  <c r="H108" i="29" s="1"/>
  <c r="J67" i="21"/>
  <c r="S67" i="21" s="1"/>
  <c r="U67" i="21" s="1"/>
  <c r="I66" i="21"/>
  <c r="G66" i="21"/>
  <c r="H66" i="21" s="1"/>
  <c r="E65" i="21"/>
  <c r="Y68" i="21"/>
  <c r="AA68" i="21" s="1"/>
  <c r="M68" i="21"/>
  <c r="O68" i="21" s="1"/>
  <c r="P68" i="21"/>
  <c r="R68" i="21" s="1"/>
  <c r="S68" i="21"/>
  <c r="U68" i="21" s="1"/>
  <c r="V68" i="21"/>
  <c r="X68" i="21" s="1"/>
  <c r="L68" i="21"/>
  <c r="R69" i="33" l="1"/>
  <c r="E26" i="25"/>
  <c r="O69" i="33"/>
  <c r="E26" i="36"/>
  <c r="G26" i="36" s="1"/>
  <c r="M70" i="33"/>
  <c r="L70" i="33"/>
  <c r="V70" i="33"/>
  <c r="X70" i="33" s="1"/>
  <c r="P70" i="33"/>
  <c r="Y70" i="33"/>
  <c r="AA70" i="33" s="1"/>
  <c r="S70" i="33"/>
  <c r="U70" i="33" s="1"/>
  <c r="I72" i="33"/>
  <c r="J72" i="33" s="1"/>
  <c r="E29" i="38" s="1"/>
  <c r="G29" i="38" s="1"/>
  <c r="G107" i="29"/>
  <c r="H107" i="29" s="1"/>
  <c r="V67" i="21"/>
  <c r="X67" i="21" s="1"/>
  <c r="L67" i="21"/>
  <c r="M67" i="21"/>
  <c r="O67" i="21" s="1"/>
  <c r="J66" i="21"/>
  <c r="Y66" i="21" s="1"/>
  <c r="AA66" i="21" s="1"/>
  <c r="P67" i="21"/>
  <c r="R67" i="21" s="1"/>
  <c r="Y67" i="21"/>
  <c r="AA67" i="21" s="1"/>
  <c r="G65" i="21"/>
  <c r="H65" i="21" s="1"/>
  <c r="I65" i="21"/>
  <c r="E64" i="21"/>
  <c r="O70" i="33" l="1"/>
  <c r="E27" i="36"/>
  <c r="G27" i="36" s="1"/>
  <c r="R70" i="33"/>
  <c r="E27" i="25"/>
  <c r="I73" i="33"/>
  <c r="J73" i="33" s="1"/>
  <c r="E30" i="38" s="1"/>
  <c r="G30" i="38" s="1"/>
  <c r="V71" i="33"/>
  <c r="X71" i="33" s="1"/>
  <c r="P71" i="33"/>
  <c r="Y71" i="33"/>
  <c r="AA71" i="33" s="1"/>
  <c r="S71" i="33"/>
  <c r="U71" i="33" s="1"/>
  <c r="M71" i="33"/>
  <c r="L71" i="33"/>
  <c r="G106" i="29"/>
  <c r="H106" i="29" s="1"/>
  <c r="L66" i="21"/>
  <c r="S66" i="21"/>
  <c r="U66" i="21" s="1"/>
  <c r="M66" i="21"/>
  <c r="O66" i="21" s="1"/>
  <c r="V66" i="21"/>
  <c r="X66" i="21" s="1"/>
  <c r="P66" i="21"/>
  <c r="R66" i="21" s="1"/>
  <c r="G64" i="21"/>
  <c r="H64" i="21" s="1"/>
  <c r="I64" i="21"/>
  <c r="E63" i="21"/>
  <c r="J65" i="21"/>
  <c r="O71" i="33" l="1"/>
  <c r="E28" i="36"/>
  <c r="G28" i="36" s="1"/>
  <c r="R71" i="33"/>
  <c r="E28" i="25"/>
  <c r="P72" i="33"/>
  <c r="V72" i="33"/>
  <c r="X72" i="33" s="1"/>
  <c r="L72" i="33"/>
  <c r="Y72" i="33"/>
  <c r="AA72" i="33" s="1"/>
  <c r="S72" i="33"/>
  <c r="U72" i="33" s="1"/>
  <c r="M72" i="33"/>
  <c r="I74" i="33"/>
  <c r="J74" i="33" s="1"/>
  <c r="E31" i="38" s="1"/>
  <c r="G31" i="38" s="1"/>
  <c r="G105" i="29"/>
  <c r="H105" i="29" s="1"/>
  <c r="P65" i="21"/>
  <c r="R65" i="21" s="1"/>
  <c r="V65" i="21"/>
  <c r="X65" i="21" s="1"/>
  <c r="M65" i="21"/>
  <c r="O65" i="21" s="1"/>
  <c r="Y65" i="21"/>
  <c r="AA65" i="21" s="1"/>
  <c r="L65" i="21"/>
  <c r="S65" i="21"/>
  <c r="U65" i="21" s="1"/>
  <c r="G63" i="21"/>
  <c r="H63" i="21" s="1"/>
  <c r="I63" i="21"/>
  <c r="E62" i="21"/>
  <c r="J64" i="21"/>
  <c r="O72" i="33" l="1"/>
  <c r="E29" i="36"/>
  <c r="G29" i="36" s="1"/>
  <c r="R72" i="33"/>
  <c r="E29" i="25"/>
  <c r="I75" i="33"/>
  <c r="J75" i="33" s="1"/>
  <c r="E32" i="38" s="1"/>
  <c r="G32" i="38" s="1"/>
  <c r="V73" i="33"/>
  <c r="X73" i="33" s="1"/>
  <c r="S73" i="33"/>
  <c r="U73" i="33" s="1"/>
  <c r="L73" i="33"/>
  <c r="Y73" i="33"/>
  <c r="AA73" i="33" s="1"/>
  <c r="P73" i="33"/>
  <c r="M73" i="33"/>
  <c r="G104" i="29"/>
  <c r="H104" i="29" s="1"/>
  <c r="J63" i="21"/>
  <c r="Y63" i="21" s="1"/>
  <c r="AA63" i="21" s="1"/>
  <c r="E61" i="21"/>
  <c r="F14" i="18"/>
  <c r="H14" i="18" s="1"/>
  <c r="I14" i="18" s="1"/>
  <c r="J14" i="18" s="1"/>
  <c r="P64" i="21"/>
  <c r="R64" i="21" s="1"/>
  <c r="Y64" i="21"/>
  <c r="AA64" i="21" s="1"/>
  <c r="M64" i="21"/>
  <c r="O64" i="21" s="1"/>
  <c r="V64" i="21"/>
  <c r="X64" i="21" s="1"/>
  <c r="L64" i="21"/>
  <c r="S64" i="21"/>
  <c r="U64" i="21" s="1"/>
  <c r="G62" i="21"/>
  <c r="H62" i="21" s="1"/>
  <c r="I62" i="21"/>
  <c r="O73" i="33" l="1"/>
  <c r="E30" i="36"/>
  <c r="G30" i="36" s="1"/>
  <c r="R73" i="33"/>
  <c r="E30" i="25"/>
  <c r="L74" i="33"/>
  <c r="Y74" i="33"/>
  <c r="AA74" i="33" s="1"/>
  <c r="V74" i="33"/>
  <c r="X74" i="33" s="1"/>
  <c r="P74" i="33"/>
  <c r="M74" i="33"/>
  <c r="S74" i="33"/>
  <c r="U74" i="33" s="1"/>
  <c r="I76" i="33"/>
  <c r="J76" i="33" s="1"/>
  <c r="E33" i="38" s="1"/>
  <c r="G33" i="38" s="1"/>
  <c r="G103" i="29"/>
  <c r="H103" i="29" s="1"/>
  <c r="P63" i="21"/>
  <c r="R63" i="21" s="1"/>
  <c r="S63" i="21"/>
  <c r="U63" i="21" s="1"/>
  <c r="L63" i="21"/>
  <c r="V63" i="21"/>
  <c r="X63" i="21" s="1"/>
  <c r="M63" i="21"/>
  <c r="O63" i="21" s="1"/>
  <c r="J62" i="21"/>
  <c r="Y62" i="21" s="1"/>
  <c r="AA62" i="21" s="1"/>
  <c r="G61" i="21"/>
  <c r="H61" i="21" s="1"/>
  <c r="I61" i="21"/>
  <c r="M14" i="18"/>
  <c r="O14" i="18"/>
  <c r="K14" i="18"/>
  <c r="L14" i="18"/>
  <c r="N14" i="18"/>
  <c r="E60" i="21"/>
  <c r="O74" i="33" l="1"/>
  <c r="E31" i="36"/>
  <c r="G31" i="36" s="1"/>
  <c r="R74" i="33"/>
  <c r="E31" i="25"/>
  <c r="V75" i="33"/>
  <c r="X75" i="33" s="1"/>
  <c r="P75" i="33"/>
  <c r="M75" i="33"/>
  <c r="Y75" i="33"/>
  <c r="AA75" i="33" s="1"/>
  <c r="S75" i="33"/>
  <c r="U75" i="33" s="1"/>
  <c r="L75" i="33"/>
  <c r="I77" i="33"/>
  <c r="J77" i="33" s="1"/>
  <c r="E34" i="38" s="1"/>
  <c r="G34" i="38" s="1"/>
  <c r="G102" i="29"/>
  <c r="H102" i="29" s="1"/>
  <c r="M62" i="21"/>
  <c r="O62" i="21" s="1"/>
  <c r="L62" i="21"/>
  <c r="V62" i="21"/>
  <c r="X62" i="21" s="1"/>
  <c r="P62" i="21"/>
  <c r="R62" i="21" s="1"/>
  <c r="S62" i="21"/>
  <c r="U62" i="21" s="1"/>
  <c r="J61" i="21"/>
  <c r="P61" i="21" s="1"/>
  <c r="R61" i="21" s="1"/>
  <c r="E59" i="21"/>
  <c r="G60" i="21"/>
  <c r="H60" i="21" s="1"/>
  <c r="I60" i="21"/>
  <c r="O75" i="33" l="1"/>
  <c r="E32" i="36"/>
  <c r="G32" i="36" s="1"/>
  <c r="R75" i="33"/>
  <c r="E32" i="25"/>
  <c r="Y76" i="33"/>
  <c r="AA76" i="33" s="1"/>
  <c r="V76" i="33"/>
  <c r="X76" i="33" s="1"/>
  <c r="M76" i="33"/>
  <c r="P76" i="33"/>
  <c r="S76" i="33"/>
  <c r="U76" i="33" s="1"/>
  <c r="L76" i="33"/>
  <c r="I78" i="33"/>
  <c r="J78" i="33" s="1"/>
  <c r="E35" i="38" s="1"/>
  <c r="G35" i="38" s="1"/>
  <c r="G101" i="29"/>
  <c r="H101" i="29" s="1"/>
  <c r="S61" i="21"/>
  <c r="U61" i="21" s="1"/>
  <c r="M61" i="21"/>
  <c r="O61" i="21" s="1"/>
  <c r="Y61" i="21"/>
  <c r="AA61" i="21" s="1"/>
  <c r="V61" i="21"/>
  <c r="X61" i="21" s="1"/>
  <c r="L61" i="21"/>
  <c r="J60" i="21"/>
  <c r="P60" i="21" s="1"/>
  <c r="R60" i="21" s="1"/>
  <c r="G59" i="21"/>
  <c r="H59" i="21" s="1"/>
  <c r="I59" i="21"/>
  <c r="E58" i="21"/>
  <c r="R76" i="33" l="1"/>
  <c r="E33" i="25"/>
  <c r="O76" i="33"/>
  <c r="E33" i="36"/>
  <c r="G33" i="36" s="1"/>
  <c r="P77" i="33"/>
  <c r="M77" i="33"/>
  <c r="S77" i="33"/>
  <c r="U77" i="33" s="1"/>
  <c r="V77" i="33"/>
  <c r="X77" i="33" s="1"/>
  <c r="L77" i="33"/>
  <c r="Y77" i="33"/>
  <c r="AA77" i="33" s="1"/>
  <c r="I79" i="33"/>
  <c r="J79" i="33" s="1"/>
  <c r="E36" i="38" s="1"/>
  <c r="G36" i="38" s="1"/>
  <c r="G100" i="29"/>
  <c r="H100" i="29" s="1"/>
  <c r="V60" i="21"/>
  <c r="X60" i="21" s="1"/>
  <c r="Y60" i="21"/>
  <c r="AA60" i="21" s="1"/>
  <c r="S60" i="21"/>
  <c r="U60" i="21" s="1"/>
  <c r="L60" i="21"/>
  <c r="M60" i="21"/>
  <c r="O60" i="21" s="1"/>
  <c r="G58" i="21"/>
  <c r="H58" i="21" s="1"/>
  <c r="I58" i="21"/>
  <c r="E57" i="21"/>
  <c r="J59" i="21"/>
  <c r="R77" i="33" l="1"/>
  <c r="E34" i="25"/>
  <c r="O77" i="33"/>
  <c r="E34" i="36"/>
  <c r="G34" i="36" s="1"/>
  <c r="I80" i="33"/>
  <c r="J80" i="33" s="1"/>
  <c r="E37" i="38" s="1"/>
  <c r="G37" i="38" s="1"/>
  <c r="S78" i="33"/>
  <c r="U78" i="33" s="1"/>
  <c r="P78" i="33"/>
  <c r="L78" i="33"/>
  <c r="Y78" i="33"/>
  <c r="AA78" i="33" s="1"/>
  <c r="V78" i="33"/>
  <c r="X78" i="33" s="1"/>
  <c r="M78" i="33"/>
  <c r="G99" i="29"/>
  <c r="H99" i="29" s="1"/>
  <c r="G57" i="21"/>
  <c r="H57" i="21" s="1"/>
  <c r="I57" i="21"/>
  <c r="E56" i="21"/>
  <c r="P59" i="21"/>
  <c r="R59" i="21" s="1"/>
  <c r="Y59" i="21"/>
  <c r="AA59" i="21" s="1"/>
  <c r="M59" i="21"/>
  <c r="O59" i="21" s="1"/>
  <c r="V59" i="21"/>
  <c r="X59" i="21" s="1"/>
  <c r="L59" i="21"/>
  <c r="S59" i="21"/>
  <c r="U59" i="21" s="1"/>
  <c r="J58" i="21"/>
  <c r="R78" i="33" l="1"/>
  <c r="E35" i="25"/>
  <c r="O78" i="33"/>
  <c r="E35" i="36"/>
  <c r="G35" i="36" s="1"/>
  <c r="I81" i="33"/>
  <c r="J81" i="33" s="1"/>
  <c r="E38" i="38" s="1"/>
  <c r="G38" i="38" s="1"/>
  <c r="M79" i="33"/>
  <c r="L79" i="33"/>
  <c r="P79" i="33"/>
  <c r="V79" i="33"/>
  <c r="X79" i="33" s="1"/>
  <c r="Y79" i="33"/>
  <c r="AA79" i="33" s="1"/>
  <c r="S79" i="33"/>
  <c r="U79" i="33" s="1"/>
  <c r="G98" i="29"/>
  <c r="H98" i="29" s="1"/>
  <c r="J57" i="21"/>
  <c r="M57" i="21" s="1"/>
  <c r="O57" i="21" s="1"/>
  <c r="P58" i="21"/>
  <c r="R58" i="21" s="1"/>
  <c r="Y58" i="21"/>
  <c r="AA58" i="21" s="1"/>
  <c r="M58" i="21"/>
  <c r="O58" i="21" s="1"/>
  <c r="V58" i="21"/>
  <c r="X58" i="21" s="1"/>
  <c r="L58" i="21"/>
  <c r="S58" i="21"/>
  <c r="U58" i="21" s="1"/>
  <c r="G56" i="21"/>
  <c r="H56" i="21" s="1"/>
  <c r="I56" i="21"/>
  <c r="E55" i="21"/>
  <c r="R79" i="33" l="1"/>
  <c r="E36" i="25"/>
  <c r="O79" i="33"/>
  <c r="E36" i="36"/>
  <c r="G36" i="36" s="1"/>
  <c r="I82" i="33"/>
  <c r="J82" i="33" s="1"/>
  <c r="E39" i="38" s="1"/>
  <c r="G39" i="38" s="1"/>
  <c r="Y80" i="33"/>
  <c r="AA80" i="33" s="1"/>
  <c r="P80" i="33"/>
  <c r="M80" i="33"/>
  <c r="L80" i="33"/>
  <c r="S80" i="33"/>
  <c r="U80" i="33" s="1"/>
  <c r="V80" i="33"/>
  <c r="X80" i="33" s="1"/>
  <c r="G97" i="29"/>
  <c r="H97" i="29" s="1"/>
  <c r="Y57" i="21"/>
  <c r="AA57" i="21" s="1"/>
  <c r="P57" i="21"/>
  <c r="R57" i="21" s="1"/>
  <c r="S57" i="21"/>
  <c r="U57" i="21" s="1"/>
  <c r="L57" i="21"/>
  <c r="V57" i="21"/>
  <c r="X57" i="21" s="1"/>
  <c r="G55" i="21"/>
  <c r="H55" i="21" s="1"/>
  <c r="I55" i="21"/>
  <c r="E54" i="21"/>
  <c r="J56" i="21"/>
  <c r="O80" i="33" l="1"/>
  <c r="E37" i="36"/>
  <c r="G37" i="36" s="1"/>
  <c r="R80" i="33"/>
  <c r="E37" i="25"/>
  <c r="I83" i="33"/>
  <c r="J83" i="33" s="1"/>
  <c r="E40" i="38" s="1"/>
  <c r="G40" i="38" s="1"/>
  <c r="V81" i="33"/>
  <c r="X81" i="33" s="1"/>
  <c r="L81" i="33"/>
  <c r="P81" i="33"/>
  <c r="M81" i="33"/>
  <c r="Y81" i="33"/>
  <c r="AA81" i="33" s="1"/>
  <c r="S81" i="33"/>
  <c r="U81" i="33" s="1"/>
  <c r="G96" i="29"/>
  <c r="H96" i="29" s="1"/>
  <c r="P56" i="21"/>
  <c r="R56" i="21" s="1"/>
  <c r="Y56" i="21"/>
  <c r="AA56" i="21" s="1"/>
  <c r="M56" i="21"/>
  <c r="O56" i="21" s="1"/>
  <c r="V56" i="21"/>
  <c r="X56" i="21" s="1"/>
  <c r="L56" i="21"/>
  <c r="S56" i="21"/>
  <c r="U56" i="21" s="1"/>
  <c r="G54" i="21"/>
  <c r="H54" i="21" s="1"/>
  <c r="I54" i="21"/>
  <c r="E53" i="21"/>
  <c r="J55" i="21"/>
  <c r="O81" i="33" l="1"/>
  <c r="E38" i="36"/>
  <c r="G38" i="36" s="1"/>
  <c r="R81" i="33"/>
  <c r="E38" i="25"/>
  <c r="I84" i="33"/>
  <c r="J84" i="33" s="1"/>
  <c r="E41" i="38" s="1"/>
  <c r="G41" i="38" s="1"/>
  <c r="L82" i="33"/>
  <c r="P82" i="33"/>
  <c r="V82" i="33"/>
  <c r="X82" i="33" s="1"/>
  <c r="M82" i="33"/>
  <c r="Y82" i="33"/>
  <c r="AA82" i="33" s="1"/>
  <c r="S82" i="33"/>
  <c r="U82" i="33" s="1"/>
  <c r="G95" i="29"/>
  <c r="H95" i="29" s="1"/>
  <c r="I179" i="29" s="1"/>
  <c r="G53" i="21"/>
  <c r="H53" i="21" s="1"/>
  <c r="I53" i="21"/>
  <c r="E52" i="21"/>
  <c r="P55" i="21"/>
  <c r="R55" i="21" s="1"/>
  <c r="Y55" i="21"/>
  <c r="AA55" i="21" s="1"/>
  <c r="M55" i="21"/>
  <c r="O55" i="21" s="1"/>
  <c r="V55" i="21"/>
  <c r="X55" i="21" s="1"/>
  <c r="L55" i="21"/>
  <c r="S55" i="21"/>
  <c r="U55" i="21" s="1"/>
  <c r="J54" i="21"/>
  <c r="O82" i="33" l="1"/>
  <c r="E39" i="36"/>
  <c r="G39" i="36" s="1"/>
  <c r="R82" i="33"/>
  <c r="E39" i="25"/>
  <c r="Y83" i="33"/>
  <c r="AA83" i="33" s="1"/>
  <c r="S83" i="33"/>
  <c r="U83" i="33" s="1"/>
  <c r="M83" i="33"/>
  <c r="L83" i="33"/>
  <c r="V83" i="33"/>
  <c r="X83" i="33" s="1"/>
  <c r="P83" i="33"/>
  <c r="I85" i="33"/>
  <c r="J85" i="33" s="1"/>
  <c r="E42" i="38" s="1"/>
  <c r="G42" i="38" s="1"/>
  <c r="J53" i="21"/>
  <c r="M53" i="21" s="1"/>
  <c r="O53" i="21" s="1"/>
  <c r="P54" i="21"/>
  <c r="R54" i="21" s="1"/>
  <c r="Y54" i="21"/>
  <c r="AA54" i="21" s="1"/>
  <c r="M54" i="21"/>
  <c r="O54" i="21" s="1"/>
  <c r="V54" i="21"/>
  <c r="X54" i="21" s="1"/>
  <c r="L54" i="21"/>
  <c r="S54" i="21"/>
  <c r="U54" i="21" s="1"/>
  <c r="G52" i="21"/>
  <c r="H52" i="21" s="1"/>
  <c r="I52" i="21"/>
  <c r="E51" i="21"/>
  <c r="R83" i="33" l="1"/>
  <c r="E40" i="25"/>
  <c r="O83" i="33"/>
  <c r="E40" i="36"/>
  <c r="G40" i="36" s="1"/>
  <c r="I11" i="29"/>
  <c r="J11" i="29" s="1"/>
  <c r="I86" i="33"/>
  <c r="J86" i="33" s="1"/>
  <c r="E43" i="38" s="1"/>
  <c r="G43" i="38" s="1"/>
  <c r="V84" i="33"/>
  <c r="X84" i="33" s="1"/>
  <c r="M84" i="33"/>
  <c r="L84" i="33"/>
  <c r="P84" i="33"/>
  <c r="S84" i="33"/>
  <c r="U84" i="33" s="1"/>
  <c r="Y84" i="33"/>
  <c r="AA84" i="33" s="1"/>
  <c r="Y53" i="21"/>
  <c r="AA53" i="21" s="1"/>
  <c r="P53" i="21"/>
  <c r="R53" i="21" s="1"/>
  <c r="S53" i="21"/>
  <c r="U53" i="21" s="1"/>
  <c r="L53" i="21"/>
  <c r="V53" i="21"/>
  <c r="X53" i="21" s="1"/>
  <c r="G51" i="21"/>
  <c r="H51" i="21" s="1"/>
  <c r="I51" i="21"/>
  <c r="E50" i="21"/>
  <c r="J52" i="21"/>
  <c r="R84" i="33" l="1"/>
  <c r="E41" i="25"/>
  <c r="O84" i="33"/>
  <c r="E41" i="36"/>
  <c r="G41" i="36" s="1"/>
  <c r="I12" i="29"/>
  <c r="J12" i="29" s="1"/>
  <c r="S85" i="33"/>
  <c r="U85" i="33" s="1"/>
  <c r="P85" i="33"/>
  <c r="L85" i="33"/>
  <c r="V85" i="33"/>
  <c r="X85" i="33" s="1"/>
  <c r="Y85" i="33"/>
  <c r="AA85" i="33" s="1"/>
  <c r="M85" i="33"/>
  <c r="I87" i="33"/>
  <c r="J87" i="33" s="1"/>
  <c r="E44" i="38" s="1"/>
  <c r="G44" i="38" s="1"/>
  <c r="P52" i="21"/>
  <c r="R52" i="21" s="1"/>
  <c r="Y52" i="21"/>
  <c r="AA52" i="21" s="1"/>
  <c r="M52" i="21"/>
  <c r="O52" i="21" s="1"/>
  <c r="V52" i="21"/>
  <c r="X52" i="21" s="1"/>
  <c r="L52" i="21"/>
  <c r="S52" i="21"/>
  <c r="U52" i="21" s="1"/>
  <c r="G50" i="21"/>
  <c r="H50" i="21" s="1"/>
  <c r="I50" i="21"/>
  <c r="E49" i="21"/>
  <c r="F13" i="18"/>
  <c r="H13" i="18" s="1"/>
  <c r="I13" i="18" s="1"/>
  <c r="J13" i="18" s="1"/>
  <c r="J51" i="21"/>
  <c r="O85" i="33" l="1"/>
  <c r="E42" i="36"/>
  <c r="G42" i="36" s="1"/>
  <c r="R85" i="33"/>
  <c r="E42" i="25"/>
  <c r="Y11" i="29"/>
  <c r="AA11" i="29" s="1"/>
  <c r="S11" i="29"/>
  <c r="U11" i="29" s="1"/>
  <c r="M11" i="29"/>
  <c r="O11" i="29" s="1"/>
  <c r="L11" i="29"/>
  <c r="V11" i="29"/>
  <c r="X11" i="29" s="1"/>
  <c r="P11" i="29"/>
  <c r="R11" i="29" s="1"/>
  <c r="I13" i="29"/>
  <c r="J13" i="29" s="1"/>
  <c r="I88" i="33"/>
  <c r="J88" i="33" s="1"/>
  <c r="E45" i="38" s="1"/>
  <c r="G45" i="38" s="1"/>
  <c r="L86" i="33"/>
  <c r="M86" i="33"/>
  <c r="Y86" i="33"/>
  <c r="AA86" i="33" s="1"/>
  <c r="P86" i="33"/>
  <c r="V86" i="33"/>
  <c r="X86" i="33" s="1"/>
  <c r="S86" i="33"/>
  <c r="U86" i="33" s="1"/>
  <c r="P51" i="21"/>
  <c r="R51" i="21" s="1"/>
  <c r="Y51" i="21"/>
  <c r="AA51" i="21" s="1"/>
  <c r="M51" i="21"/>
  <c r="O51" i="21" s="1"/>
  <c r="V51" i="21"/>
  <c r="X51" i="21" s="1"/>
  <c r="L51" i="21"/>
  <c r="S51" i="21"/>
  <c r="U51" i="21" s="1"/>
  <c r="K13" i="18"/>
  <c r="M13" i="18"/>
  <c r="N13" i="18"/>
  <c r="O13" i="18"/>
  <c r="L13" i="18"/>
  <c r="G49" i="21"/>
  <c r="H49" i="21" s="1"/>
  <c r="I49" i="21"/>
  <c r="E48" i="21"/>
  <c r="J50" i="21"/>
  <c r="O86" i="33" l="1"/>
  <c r="E43" i="36"/>
  <c r="G43" i="36" s="1"/>
  <c r="R86" i="33"/>
  <c r="E43" i="25"/>
  <c r="Y12" i="29"/>
  <c r="AA12" i="29" s="1"/>
  <c r="S12" i="29"/>
  <c r="U12" i="29" s="1"/>
  <c r="M12" i="29"/>
  <c r="O12" i="29" s="1"/>
  <c r="L12" i="29"/>
  <c r="V12" i="29"/>
  <c r="X12" i="29" s="1"/>
  <c r="P12" i="29"/>
  <c r="R12" i="29" s="1"/>
  <c r="I14" i="29"/>
  <c r="J14" i="29" s="1"/>
  <c r="I89" i="33"/>
  <c r="J89" i="33" s="1"/>
  <c r="L4" i="38" s="1"/>
  <c r="N4" i="38" s="1"/>
  <c r="P87" i="33"/>
  <c r="S87" i="33"/>
  <c r="U87" i="33" s="1"/>
  <c r="L87" i="33"/>
  <c r="Y87" i="33"/>
  <c r="AA87" i="33" s="1"/>
  <c r="V87" i="33"/>
  <c r="X87" i="33" s="1"/>
  <c r="M87" i="33"/>
  <c r="J49" i="21"/>
  <c r="Y49" i="21" s="1"/>
  <c r="AA49" i="21" s="1"/>
  <c r="P50" i="21"/>
  <c r="R50" i="21" s="1"/>
  <c r="Y50" i="21"/>
  <c r="AA50" i="21" s="1"/>
  <c r="M50" i="21"/>
  <c r="O50" i="21" s="1"/>
  <c r="V50" i="21"/>
  <c r="X50" i="21" s="1"/>
  <c r="L50" i="21"/>
  <c r="S50" i="21"/>
  <c r="U50" i="21" s="1"/>
  <c r="G48" i="21"/>
  <c r="H48" i="21" s="1"/>
  <c r="I48" i="21"/>
  <c r="O87" i="33" l="1"/>
  <c r="E44" i="36"/>
  <c r="G44" i="36" s="1"/>
  <c r="R87" i="33"/>
  <c r="E44" i="25"/>
  <c r="L13" i="29"/>
  <c r="M13" i="29"/>
  <c r="O13" i="29" s="1"/>
  <c r="V13" i="29"/>
  <c r="X13" i="29" s="1"/>
  <c r="P13" i="29"/>
  <c r="R13" i="29" s="1"/>
  <c r="S13" i="29"/>
  <c r="U13" i="29" s="1"/>
  <c r="Y13" i="29"/>
  <c r="AA13" i="29" s="1"/>
  <c r="I15" i="29"/>
  <c r="J15" i="29" s="1"/>
  <c r="Y88" i="33"/>
  <c r="AA88" i="33" s="1"/>
  <c r="M88" i="33"/>
  <c r="S88" i="33"/>
  <c r="U88" i="33" s="1"/>
  <c r="L88" i="33"/>
  <c r="P88" i="33"/>
  <c r="V88" i="33"/>
  <c r="X88" i="33" s="1"/>
  <c r="I90" i="33"/>
  <c r="J90" i="33" s="1"/>
  <c r="L5" i="38" s="1"/>
  <c r="N5" i="38" s="1"/>
  <c r="L49" i="21"/>
  <c r="M49" i="21"/>
  <c r="O49" i="21" s="1"/>
  <c r="P49" i="21"/>
  <c r="R49" i="21" s="1"/>
  <c r="S49" i="21"/>
  <c r="U49" i="21" s="1"/>
  <c r="V49" i="21"/>
  <c r="X49" i="21" s="1"/>
  <c r="J48" i="21"/>
  <c r="Y48" i="21" s="1"/>
  <c r="AA48" i="21" s="1"/>
  <c r="I47" i="21"/>
  <c r="O88" i="33" l="1"/>
  <c r="E45" i="36"/>
  <c r="G45" i="36" s="1"/>
  <c r="R88" i="33"/>
  <c r="E45" i="25"/>
  <c r="I16" i="29"/>
  <c r="J16" i="29" s="1"/>
  <c r="V14" i="29"/>
  <c r="X14" i="29" s="1"/>
  <c r="P14" i="29"/>
  <c r="R14" i="29" s="1"/>
  <c r="L14" i="29"/>
  <c r="Y14" i="29"/>
  <c r="AA14" i="29" s="1"/>
  <c r="S14" i="29"/>
  <c r="U14" i="29" s="1"/>
  <c r="M14" i="29"/>
  <c r="O14" i="29" s="1"/>
  <c r="I91" i="33"/>
  <c r="J91" i="33" s="1"/>
  <c r="L6" i="38" s="1"/>
  <c r="N6" i="38" s="1"/>
  <c r="L89" i="33"/>
  <c r="Y89" i="33"/>
  <c r="AA89" i="33" s="1"/>
  <c r="V89" i="33"/>
  <c r="X89" i="33" s="1"/>
  <c r="P89" i="33"/>
  <c r="S89" i="33"/>
  <c r="U89" i="33" s="1"/>
  <c r="M89" i="33"/>
  <c r="P48" i="21"/>
  <c r="R48" i="21" s="1"/>
  <c r="L48" i="21"/>
  <c r="M48" i="21"/>
  <c r="O48" i="21" s="1"/>
  <c r="S48" i="21"/>
  <c r="U48" i="21" s="1"/>
  <c r="V48" i="21"/>
  <c r="X48" i="21" s="1"/>
  <c r="I46" i="21"/>
  <c r="J47" i="21"/>
  <c r="O89" i="33" l="1"/>
  <c r="L4" i="36"/>
  <c r="N4" i="36" s="1"/>
  <c r="R89" i="33"/>
  <c r="L4" i="25"/>
  <c r="V15" i="29"/>
  <c r="X15" i="29" s="1"/>
  <c r="P15" i="29"/>
  <c r="R15" i="29" s="1"/>
  <c r="Y15" i="29"/>
  <c r="AA15" i="29" s="1"/>
  <c r="S15" i="29"/>
  <c r="U15" i="29" s="1"/>
  <c r="M15" i="29"/>
  <c r="O15" i="29" s="1"/>
  <c r="L15" i="29"/>
  <c r="I17" i="29"/>
  <c r="J17" i="29" s="1"/>
  <c r="M90" i="33"/>
  <c r="P90" i="33"/>
  <c r="V90" i="33"/>
  <c r="X90" i="33" s="1"/>
  <c r="Y90" i="33"/>
  <c r="AA90" i="33" s="1"/>
  <c r="L90" i="33"/>
  <c r="S90" i="33"/>
  <c r="U90" i="33" s="1"/>
  <c r="I92" i="33"/>
  <c r="J92" i="33" s="1"/>
  <c r="L7" i="38" s="1"/>
  <c r="N7" i="38" s="1"/>
  <c r="P47" i="21"/>
  <c r="R47" i="21" s="1"/>
  <c r="Y47" i="21"/>
  <c r="AA47" i="21" s="1"/>
  <c r="M47" i="21"/>
  <c r="O47" i="21" s="1"/>
  <c r="V47" i="21"/>
  <c r="X47" i="21" s="1"/>
  <c r="L47" i="21"/>
  <c r="S47" i="21"/>
  <c r="U47" i="21" s="1"/>
  <c r="I45" i="21"/>
  <c r="J46" i="21"/>
  <c r="O90" i="33" l="1"/>
  <c r="L5" i="36"/>
  <c r="N5" i="36" s="1"/>
  <c r="R90" i="33"/>
  <c r="L5" i="25"/>
  <c r="P16" i="29"/>
  <c r="R16" i="29" s="1"/>
  <c r="Y16" i="29"/>
  <c r="AA16" i="29" s="1"/>
  <c r="S16" i="29"/>
  <c r="U16" i="29" s="1"/>
  <c r="M16" i="29"/>
  <c r="O16" i="29" s="1"/>
  <c r="V16" i="29"/>
  <c r="X16" i="29" s="1"/>
  <c r="L16" i="29"/>
  <c r="I18" i="29"/>
  <c r="J18" i="29" s="1"/>
  <c r="I93" i="33"/>
  <c r="J93" i="33" s="1"/>
  <c r="L8" i="38" s="1"/>
  <c r="N8" i="38" s="1"/>
  <c r="L91" i="33"/>
  <c r="S91" i="33"/>
  <c r="U91" i="33" s="1"/>
  <c r="M91" i="33"/>
  <c r="Y91" i="33"/>
  <c r="AA91" i="33" s="1"/>
  <c r="V91" i="33"/>
  <c r="X91" i="33" s="1"/>
  <c r="P91" i="33"/>
  <c r="P46" i="21"/>
  <c r="R46" i="21" s="1"/>
  <c r="Y46" i="21"/>
  <c r="AA46" i="21" s="1"/>
  <c r="M46" i="21"/>
  <c r="O46" i="21" s="1"/>
  <c r="V46" i="21"/>
  <c r="X46" i="21" s="1"/>
  <c r="L46" i="21"/>
  <c r="S46" i="21"/>
  <c r="U46" i="21" s="1"/>
  <c r="I44" i="21"/>
  <c r="J45" i="21"/>
  <c r="O91" i="33" l="1"/>
  <c r="L6" i="36"/>
  <c r="N6" i="36" s="1"/>
  <c r="R91" i="33"/>
  <c r="L6" i="25"/>
  <c r="Y17" i="29"/>
  <c r="AA17" i="29" s="1"/>
  <c r="S17" i="29"/>
  <c r="U17" i="29" s="1"/>
  <c r="M17" i="29"/>
  <c r="O17" i="29" s="1"/>
  <c r="L17" i="29"/>
  <c r="V17" i="29"/>
  <c r="X17" i="29" s="1"/>
  <c r="P17" i="29"/>
  <c r="R17" i="29" s="1"/>
  <c r="I19" i="29"/>
  <c r="J19" i="29" s="1"/>
  <c r="L92" i="33"/>
  <c r="S92" i="33"/>
  <c r="U92" i="33" s="1"/>
  <c r="M92" i="33"/>
  <c r="Y92" i="33"/>
  <c r="AA92" i="33" s="1"/>
  <c r="V92" i="33"/>
  <c r="X92" i="33" s="1"/>
  <c r="P92" i="33"/>
  <c r="I94" i="33"/>
  <c r="J94" i="33" s="1"/>
  <c r="L9" i="38" s="1"/>
  <c r="N9" i="38" s="1"/>
  <c r="J44" i="21"/>
  <c r="Y44" i="21" s="1"/>
  <c r="AA44" i="21" s="1"/>
  <c r="P45" i="21"/>
  <c r="R45" i="21" s="1"/>
  <c r="Y45" i="21"/>
  <c r="AA45" i="21" s="1"/>
  <c r="M45" i="21"/>
  <c r="O45" i="21" s="1"/>
  <c r="V45" i="21"/>
  <c r="X45" i="21" s="1"/>
  <c r="L45" i="21"/>
  <c r="S45" i="21"/>
  <c r="U45" i="21" s="1"/>
  <c r="I43" i="21"/>
  <c r="O92" i="33" l="1"/>
  <c r="L7" i="36"/>
  <c r="N7" i="36" s="1"/>
  <c r="R92" i="33"/>
  <c r="L7" i="25"/>
  <c r="Y18" i="29"/>
  <c r="AA18" i="29" s="1"/>
  <c r="S18" i="29"/>
  <c r="U18" i="29" s="1"/>
  <c r="M18" i="29"/>
  <c r="O18" i="29" s="1"/>
  <c r="L18" i="29"/>
  <c r="V18" i="29"/>
  <c r="X18" i="29" s="1"/>
  <c r="P18" i="29"/>
  <c r="R18" i="29" s="1"/>
  <c r="I20" i="29"/>
  <c r="J20" i="29" s="1"/>
  <c r="Y93" i="33"/>
  <c r="AA93" i="33" s="1"/>
  <c r="L93" i="33"/>
  <c r="V93" i="33"/>
  <c r="X93" i="33" s="1"/>
  <c r="M93" i="33"/>
  <c r="S93" i="33"/>
  <c r="U93" i="33" s="1"/>
  <c r="P93" i="33"/>
  <c r="I95" i="33"/>
  <c r="J95" i="33" s="1"/>
  <c r="L10" i="38" s="1"/>
  <c r="N10" i="38" s="1"/>
  <c r="L44" i="21"/>
  <c r="M44" i="21"/>
  <c r="O44" i="21" s="1"/>
  <c r="P44" i="21"/>
  <c r="R44" i="21" s="1"/>
  <c r="S44" i="21"/>
  <c r="U44" i="21" s="1"/>
  <c r="V44" i="21"/>
  <c r="X44" i="21" s="1"/>
  <c r="J43" i="21"/>
  <c r="Y43" i="21" s="1"/>
  <c r="AA43" i="21" s="1"/>
  <c r="I42" i="21"/>
  <c r="O93" i="33" l="1"/>
  <c r="L8" i="36"/>
  <c r="N8" i="36" s="1"/>
  <c r="R93" i="33"/>
  <c r="L8" i="25"/>
  <c r="L19" i="29"/>
  <c r="S19" i="29"/>
  <c r="U19" i="29" s="1"/>
  <c r="V19" i="29"/>
  <c r="X19" i="29" s="1"/>
  <c r="P19" i="29"/>
  <c r="R19" i="29" s="1"/>
  <c r="Y19" i="29"/>
  <c r="AA19" i="29" s="1"/>
  <c r="M19" i="29"/>
  <c r="O19" i="29" s="1"/>
  <c r="I21" i="29"/>
  <c r="J21" i="29" s="1"/>
  <c r="V94" i="33"/>
  <c r="X94" i="33" s="1"/>
  <c r="S94" i="33"/>
  <c r="U94" i="33" s="1"/>
  <c r="P94" i="33"/>
  <c r="M94" i="33"/>
  <c r="L94" i="33"/>
  <c r="Y94" i="33"/>
  <c r="AA94" i="33" s="1"/>
  <c r="I96" i="33"/>
  <c r="J96" i="33" s="1"/>
  <c r="L11" i="38" s="1"/>
  <c r="N11" i="38" s="1"/>
  <c r="L43" i="21"/>
  <c r="M43" i="21"/>
  <c r="O43" i="21" s="1"/>
  <c r="P43" i="21"/>
  <c r="R43" i="21" s="1"/>
  <c r="J42" i="21"/>
  <c r="Y42" i="21" s="1"/>
  <c r="AA42" i="21" s="1"/>
  <c r="S43" i="21"/>
  <c r="U43" i="21" s="1"/>
  <c r="V43" i="21"/>
  <c r="X43" i="21" s="1"/>
  <c r="I41" i="21"/>
  <c r="O94" i="33" l="1"/>
  <c r="L9" i="36"/>
  <c r="N9" i="36" s="1"/>
  <c r="R94" i="33"/>
  <c r="L9" i="25"/>
  <c r="I22" i="29"/>
  <c r="V20" i="29"/>
  <c r="X20" i="29" s="1"/>
  <c r="P20" i="29"/>
  <c r="R20" i="29" s="1"/>
  <c r="L20" i="29"/>
  <c r="Y20" i="29"/>
  <c r="AA20" i="29" s="1"/>
  <c r="S20" i="29"/>
  <c r="U20" i="29" s="1"/>
  <c r="M20" i="29"/>
  <c r="O20" i="29" s="1"/>
  <c r="I97" i="33"/>
  <c r="J97" i="33" s="1"/>
  <c r="L12" i="38" s="1"/>
  <c r="N12" i="38" s="1"/>
  <c r="Y95" i="33"/>
  <c r="AA95" i="33" s="1"/>
  <c r="L95" i="33"/>
  <c r="S95" i="33"/>
  <c r="U95" i="33" s="1"/>
  <c r="M95" i="33"/>
  <c r="V95" i="33"/>
  <c r="X95" i="33" s="1"/>
  <c r="P95" i="33"/>
  <c r="M42" i="21"/>
  <c r="O42" i="21" s="1"/>
  <c r="P42" i="21"/>
  <c r="R42" i="21" s="1"/>
  <c r="L42" i="21"/>
  <c r="S42" i="21"/>
  <c r="U42" i="21" s="1"/>
  <c r="V42" i="21"/>
  <c r="X42" i="21" s="1"/>
  <c r="I40" i="21"/>
  <c r="J41" i="21"/>
  <c r="I23" i="29" l="1"/>
  <c r="J23" i="29" s="1"/>
  <c r="J22" i="29"/>
  <c r="P22" i="29" s="1"/>
  <c r="R22" i="29" s="1"/>
  <c r="R95" i="33"/>
  <c r="L10" i="25"/>
  <c r="O95" i="33"/>
  <c r="L10" i="36"/>
  <c r="N10" i="36" s="1"/>
  <c r="I24" i="29"/>
  <c r="J24" i="29" s="1"/>
  <c r="V21" i="29"/>
  <c r="X21" i="29" s="1"/>
  <c r="P21" i="29"/>
  <c r="R21" i="29" s="1"/>
  <c r="Y21" i="29"/>
  <c r="AA21" i="29" s="1"/>
  <c r="S21" i="29"/>
  <c r="U21" i="29" s="1"/>
  <c r="M21" i="29"/>
  <c r="O21" i="29" s="1"/>
  <c r="L21" i="29"/>
  <c r="P96" i="33"/>
  <c r="M96" i="33"/>
  <c r="Y96" i="33"/>
  <c r="AA96" i="33" s="1"/>
  <c r="S96" i="33"/>
  <c r="U96" i="33" s="1"/>
  <c r="V96" i="33"/>
  <c r="X96" i="33" s="1"/>
  <c r="L96" i="33"/>
  <c r="I98" i="33"/>
  <c r="J98" i="33" s="1"/>
  <c r="L13" i="38" s="1"/>
  <c r="N13" i="38" s="1"/>
  <c r="P41" i="21"/>
  <c r="R41" i="21" s="1"/>
  <c r="Y41" i="21"/>
  <c r="AA41" i="21" s="1"/>
  <c r="M41" i="21"/>
  <c r="O41" i="21" s="1"/>
  <c r="V41" i="21"/>
  <c r="X41" i="21" s="1"/>
  <c r="L41" i="21"/>
  <c r="S41" i="21"/>
  <c r="U41" i="21" s="1"/>
  <c r="I39" i="21"/>
  <c r="J40" i="21"/>
  <c r="M22" i="29" l="1"/>
  <c r="O22" i="29" s="1"/>
  <c r="V22" i="29"/>
  <c r="X22" i="29" s="1"/>
  <c r="O96" i="33"/>
  <c r="L11" i="36"/>
  <c r="N11" i="36" s="1"/>
  <c r="S22" i="29"/>
  <c r="U22" i="29" s="1"/>
  <c r="L22" i="29"/>
  <c r="R96" i="33"/>
  <c r="L11" i="25"/>
  <c r="Y22" i="29"/>
  <c r="AA22" i="29" s="1"/>
  <c r="I25" i="29"/>
  <c r="J25" i="29" s="1"/>
  <c r="L97" i="33"/>
  <c r="S97" i="33"/>
  <c r="U97" i="33" s="1"/>
  <c r="Y97" i="33"/>
  <c r="AA97" i="33" s="1"/>
  <c r="P97" i="33"/>
  <c r="M97" i="33"/>
  <c r="V97" i="33"/>
  <c r="X97" i="33" s="1"/>
  <c r="I99" i="33"/>
  <c r="J99" i="33" s="1"/>
  <c r="L14" i="38" s="1"/>
  <c r="N14" i="38" s="1"/>
  <c r="P40" i="21"/>
  <c r="R40" i="21" s="1"/>
  <c r="Y40" i="21"/>
  <c r="AA40" i="21" s="1"/>
  <c r="M40" i="21"/>
  <c r="O40" i="21" s="1"/>
  <c r="V40" i="21"/>
  <c r="X40" i="21" s="1"/>
  <c r="L40" i="21"/>
  <c r="S40" i="21"/>
  <c r="U40" i="21" s="1"/>
  <c r="I38" i="21"/>
  <c r="F12" i="18"/>
  <c r="H12" i="18" s="1"/>
  <c r="I12" i="18" s="1"/>
  <c r="J12" i="18" s="1"/>
  <c r="J39" i="21"/>
  <c r="O97" i="33" l="1"/>
  <c r="L12" i="36"/>
  <c r="N12" i="36" s="1"/>
  <c r="R97" i="33"/>
  <c r="L12" i="25"/>
  <c r="I26" i="29"/>
  <c r="J26" i="29" s="1"/>
  <c r="I100" i="33"/>
  <c r="J100" i="33" s="1"/>
  <c r="L15" i="38" s="1"/>
  <c r="N15" i="38" s="1"/>
  <c r="P98" i="33"/>
  <c r="S98" i="33"/>
  <c r="U98" i="33" s="1"/>
  <c r="Y98" i="33"/>
  <c r="AA98" i="33" s="1"/>
  <c r="L98" i="33"/>
  <c r="V98" i="33"/>
  <c r="X98" i="33" s="1"/>
  <c r="M98" i="33"/>
  <c r="P39" i="21"/>
  <c r="R39" i="21" s="1"/>
  <c r="Y39" i="21"/>
  <c r="AA39" i="21" s="1"/>
  <c r="M39" i="21"/>
  <c r="O39" i="21" s="1"/>
  <c r="V39" i="21"/>
  <c r="X39" i="21" s="1"/>
  <c r="L39" i="21"/>
  <c r="S39" i="21"/>
  <c r="U39" i="21" s="1"/>
  <c r="I37" i="21"/>
  <c r="M12" i="18"/>
  <c r="N12" i="18"/>
  <c r="O12" i="18"/>
  <c r="K12" i="18"/>
  <c r="L12" i="18"/>
  <c r="J38" i="21"/>
  <c r="O98" i="33" l="1"/>
  <c r="L13" i="36"/>
  <c r="N13" i="36" s="1"/>
  <c r="R98" i="33"/>
  <c r="L13" i="25"/>
  <c r="I27" i="29"/>
  <c r="J27" i="29" s="1"/>
  <c r="Y99" i="33"/>
  <c r="AA99" i="33" s="1"/>
  <c r="M99" i="33"/>
  <c r="L99" i="33"/>
  <c r="S99" i="33"/>
  <c r="U99" i="33" s="1"/>
  <c r="V99" i="33"/>
  <c r="X99" i="33" s="1"/>
  <c r="P99" i="33"/>
  <c r="I101" i="33"/>
  <c r="J101" i="33" s="1"/>
  <c r="L16" i="38" s="1"/>
  <c r="N16" i="38" s="1"/>
  <c r="P38" i="21"/>
  <c r="R38" i="21" s="1"/>
  <c r="Y38" i="21"/>
  <c r="AA38" i="21" s="1"/>
  <c r="M38" i="21"/>
  <c r="O38" i="21" s="1"/>
  <c r="V38" i="21"/>
  <c r="X38" i="21" s="1"/>
  <c r="L38" i="21"/>
  <c r="S38" i="21"/>
  <c r="U38" i="21" s="1"/>
  <c r="I36" i="21"/>
  <c r="J37" i="21"/>
  <c r="O99" i="33" l="1"/>
  <c r="L14" i="36"/>
  <c r="N14" i="36" s="1"/>
  <c r="R99" i="33"/>
  <c r="L14" i="25"/>
  <c r="I28" i="29"/>
  <c r="J28" i="29" s="1"/>
  <c r="I102" i="33"/>
  <c r="J102" i="33" s="1"/>
  <c r="L17" i="38" s="1"/>
  <c r="N17" i="38" s="1"/>
  <c r="L100" i="33"/>
  <c r="P100" i="33"/>
  <c r="M100" i="33"/>
  <c r="Y100" i="33"/>
  <c r="AA100" i="33" s="1"/>
  <c r="S100" i="33"/>
  <c r="U100" i="33" s="1"/>
  <c r="V100" i="33"/>
  <c r="X100" i="33" s="1"/>
  <c r="P37" i="21"/>
  <c r="R37" i="21" s="1"/>
  <c r="Y37" i="21"/>
  <c r="AA37" i="21" s="1"/>
  <c r="M37" i="21"/>
  <c r="O37" i="21" s="1"/>
  <c r="V37" i="21"/>
  <c r="X37" i="21" s="1"/>
  <c r="L37" i="21"/>
  <c r="S37" i="21"/>
  <c r="U37" i="21" s="1"/>
  <c r="I35" i="21"/>
  <c r="J36" i="21"/>
  <c r="R100" i="33" l="1"/>
  <c r="L15" i="25"/>
  <c r="O100" i="33"/>
  <c r="L15" i="36"/>
  <c r="N15" i="36" s="1"/>
  <c r="I29" i="29"/>
  <c r="J29" i="29" s="1"/>
  <c r="I103" i="33"/>
  <c r="J103" i="33" s="1"/>
  <c r="L18" i="38" s="1"/>
  <c r="N18" i="38" s="1"/>
  <c r="L101" i="33"/>
  <c r="Y101" i="33"/>
  <c r="AA101" i="33" s="1"/>
  <c r="P101" i="33"/>
  <c r="V101" i="33"/>
  <c r="X101" i="33" s="1"/>
  <c r="S101" i="33"/>
  <c r="U101" i="33" s="1"/>
  <c r="M101" i="33"/>
  <c r="P36" i="21"/>
  <c r="R36" i="21" s="1"/>
  <c r="Y36" i="21"/>
  <c r="AA36" i="21" s="1"/>
  <c r="M36" i="21"/>
  <c r="O36" i="21" s="1"/>
  <c r="V36" i="21"/>
  <c r="X36" i="21" s="1"/>
  <c r="L36" i="21"/>
  <c r="S36" i="21"/>
  <c r="U36" i="21" s="1"/>
  <c r="I34" i="21"/>
  <c r="J35" i="21"/>
  <c r="R101" i="33" l="1"/>
  <c r="L16" i="25"/>
  <c r="O101" i="33"/>
  <c r="L16" i="36"/>
  <c r="N16" i="36" s="1"/>
  <c r="I30" i="29"/>
  <c r="J30" i="29" s="1"/>
  <c r="M102" i="33"/>
  <c r="V102" i="33"/>
  <c r="X102" i="33" s="1"/>
  <c r="L102" i="33"/>
  <c r="Y102" i="33"/>
  <c r="AA102" i="33" s="1"/>
  <c r="S102" i="33"/>
  <c r="U102" i="33" s="1"/>
  <c r="P102" i="33"/>
  <c r="I104" i="33"/>
  <c r="J104" i="33" s="1"/>
  <c r="L19" i="38" s="1"/>
  <c r="N19" i="38" s="1"/>
  <c r="P35" i="21"/>
  <c r="R35" i="21" s="1"/>
  <c r="Y35" i="21"/>
  <c r="AA35" i="21" s="1"/>
  <c r="M35" i="21"/>
  <c r="O35" i="21" s="1"/>
  <c r="V35" i="21"/>
  <c r="X35" i="21" s="1"/>
  <c r="L35" i="21"/>
  <c r="S35" i="21"/>
  <c r="U35" i="21" s="1"/>
  <c r="I33" i="21"/>
  <c r="J34" i="21"/>
  <c r="O102" i="33" l="1"/>
  <c r="L17" i="36"/>
  <c r="N17" i="36" s="1"/>
  <c r="R102" i="33"/>
  <c r="L17" i="25"/>
  <c r="I31" i="29"/>
  <c r="J31" i="29" s="1"/>
  <c r="P103" i="33"/>
  <c r="L103" i="33"/>
  <c r="Y103" i="33"/>
  <c r="AA103" i="33" s="1"/>
  <c r="V103" i="33"/>
  <c r="X103" i="33" s="1"/>
  <c r="S103" i="33"/>
  <c r="U103" i="33" s="1"/>
  <c r="M103" i="33"/>
  <c r="I105" i="33"/>
  <c r="J105" i="33" s="1"/>
  <c r="L20" i="38" s="1"/>
  <c r="N20" i="38" s="1"/>
  <c r="J33" i="21"/>
  <c r="Y33" i="21" s="1"/>
  <c r="AA33" i="21" s="1"/>
  <c r="P34" i="21"/>
  <c r="R34" i="21" s="1"/>
  <c r="Y34" i="21"/>
  <c r="AA34" i="21" s="1"/>
  <c r="M34" i="21"/>
  <c r="O34" i="21" s="1"/>
  <c r="V34" i="21"/>
  <c r="X34" i="21" s="1"/>
  <c r="L34" i="21"/>
  <c r="S34" i="21"/>
  <c r="U34" i="21" s="1"/>
  <c r="I32" i="21"/>
  <c r="R103" i="33" l="1"/>
  <c r="L18" i="25"/>
  <c r="O103" i="33"/>
  <c r="L18" i="36"/>
  <c r="N18" i="36" s="1"/>
  <c r="I32" i="29"/>
  <c r="J32" i="29" s="1"/>
  <c r="I106" i="33"/>
  <c r="J106" i="33" s="1"/>
  <c r="L21" i="38" s="1"/>
  <c r="N21" i="38" s="1"/>
  <c r="Y104" i="33"/>
  <c r="AA104" i="33" s="1"/>
  <c r="S104" i="33"/>
  <c r="U104" i="33" s="1"/>
  <c r="P104" i="33"/>
  <c r="L104" i="33"/>
  <c r="M104" i="33"/>
  <c r="V104" i="33"/>
  <c r="X104" i="33" s="1"/>
  <c r="P33" i="21"/>
  <c r="R33" i="21" s="1"/>
  <c r="M33" i="21"/>
  <c r="O33" i="21" s="1"/>
  <c r="L33" i="21"/>
  <c r="J32" i="21"/>
  <c r="P32" i="21" s="1"/>
  <c r="R32" i="21" s="1"/>
  <c r="S33" i="21"/>
  <c r="U33" i="21" s="1"/>
  <c r="V33" i="21"/>
  <c r="X33" i="21" s="1"/>
  <c r="I31" i="21"/>
  <c r="R104" i="33" l="1"/>
  <c r="L19" i="25"/>
  <c r="O104" i="33"/>
  <c r="L19" i="36"/>
  <c r="N19" i="36" s="1"/>
  <c r="I33" i="29"/>
  <c r="J33" i="29" s="1"/>
  <c r="Y106" i="33"/>
  <c r="AA106" i="33" s="1"/>
  <c r="I107" i="33"/>
  <c r="J107" i="33" s="1"/>
  <c r="L22" i="38" s="1"/>
  <c r="N22" i="38" s="1"/>
  <c r="S106" i="33"/>
  <c r="U106" i="33" s="1"/>
  <c r="P105" i="33"/>
  <c r="M105" i="33"/>
  <c r="V105" i="33"/>
  <c r="X105" i="33" s="1"/>
  <c r="S105" i="33"/>
  <c r="U105" i="33" s="1"/>
  <c r="L105" i="33"/>
  <c r="Y105" i="33"/>
  <c r="AA105" i="33" s="1"/>
  <c r="V32" i="21"/>
  <c r="X32" i="21" s="1"/>
  <c r="Y32" i="21"/>
  <c r="AA32" i="21" s="1"/>
  <c r="S32" i="21"/>
  <c r="U32" i="21" s="1"/>
  <c r="L32" i="21"/>
  <c r="M32" i="21"/>
  <c r="O32" i="21" s="1"/>
  <c r="I30" i="21"/>
  <c r="J31" i="21"/>
  <c r="R105" i="33" l="1"/>
  <c r="L20" i="25"/>
  <c r="O105" i="33"/>
  <c r="L20" i="36"/>
  <c r="N20" i="36" s="1"/>
  <c r="I34" i="29"/>
  <c r="J34" i="29" s="1"/>
  <c r="L106" i="33"/>
  <c r="P106" i="33"/>
  <c r="V106" i="33"/>
  <c r="X106" i="33" s="1"/>
  <c r="I108" i="33"/>
  <c r="J108" i="33" s="1"/>
  <c r="L23" i="38" s="1"/>
  <c r="N23" i="38" s="1"/>
  <c r="M106" i="33"/>
  <c r="J30" i="21"/>
  <c r="P30" i="21" s="1"/>
  <c r="R30" i="21" s="1"/>
  <c r="P31" i="21"/>
  <c r="R31" i="21" s="1"/>
  <c r="Y31" i="21"/>
  <c r="AA31" i="21" s="1"/>
  <c r="M31" i="21"/>
  <c r="O31" i="21" s="1"/>
  <c r="V31" i="21"/>
  <c r="X31" i="21" s="1"/>
  <c r="L31" i="21"/>
  <c r="S31" i="21"/>
  <c r="U31" i="21" s="1"/>
  <c r="I29" i="21"/>
  <c r="O106" i="33" l="1"/>
  <c r="L21" i="36"/>
  <c r="N21" i="36" s="1"/>
  <c r="R106" i="33"/>
  <c r="L21" i="25"/>
  <c r="I35" i="29"/>
  <c r="J35" i="29" s="1"/>
  <c r="I109" i="33"/>
  <c r="J109" i="33" s="1"/>
  <c r="L24" i="38" s="1"/>
  <c r="N24" i="38" s="1"/>
  <c r="P107" i="33"/>
  <c r="V107" i="33"/>
  <c r="X107" i="33" s="1"/>
  <c r="Y107" i="33"/>
  <c r="AA107" i="33" s="1"/>
  <c r="M107" i="33"/>
  <c r="S107" i="33"/>
  <c r="U107" i="33" s="1"/>
  <c r="L107" i="33"/>
  <c r="S30" i="21"/>
  <c r="U30" i="21" s="1"/>
  <c r="L30" i="21"/>
  <c r="V30" i="21"/>
  <c r="X30" i="21" s="1"/>
  <c r="Y30" i="21"/>
  <c r="AA30" i="21" s="1"/>
  <c r="M30" i="21"/>
  <c r="O30" i="21" s="1"/>
  <c r="I28" i="21"/>
  <c r="J29" i="21"/>
  <c r="O107" i="33" l="1"/>
  <c r="L22" i="36"/>
  <c r="N22" i="36" s="1"/>
  <c r="R107" i="33"/>
  <c r="L22" i="25"/>
  <c r="N22" i="25" s="1"/>
  <c r="I36" i="29"/>
  <c r="J36" i="29" s="1"/>
  <c r="I110" i="33"/>
  <c r="J110" i="33" s="1"/>
  <c r="L25" i="38" s="1"/>
  <c r="N25" i="38" s="1"/>
  <c r="P108" i="33"/>
  <c r="Y108" i="33"/>
  <c r="AA108" i="33" s="1"/>
  <c r="S108" i="33"/>
  <c r="U108" i="33" s="1"/>
  <c r="M108" i="33"/>
  <c r="L108" i="33"/>
  <c r="V108" i="33"/>
  <c r="X108" i="33" s="1"/>
  <c r="P29" i="21"/>
  <c r="R29" i="21" s="1"/>
  <c r="Y29" i="21"/>
  <c r="AA29" i="21" s="1"/>
  <c r="M29" i="21"/>
  <c r="O29" i="21" s="1"/>
  <c r="V29" i="21"/>
  <c r="X29" i="21" s="1"/>
  <c r="L29" i="21"/>
  <c r="S29" i="21"/>
  <c r="U29" i="21" s="1"/>
  <c r="I27" i="21"/>
  <c r="J28" i="21"/>
  <c r="R108" i="33" l="1"/>
  <c r="L23" i="25"/>
  <c r="N23" i="25" s="1"/>
  <c r="O108" i="33"/>
  <c r="L23" i="36"/>
  <c r="N23" i="36" s="1"/>
  <c r="I37" i="29"/>
  <c r="J37" i="29" s="1"/>
  <c r="V109" i="33"/>
  <c r="X109" i="33" s="1"/>
  <c r="P109" i="33"/>
  <c r="Y109" i="33"/>
  <c r="AA109" i="33" s="1"/>
  <c r="L109" i="33"/>
  <c r="S109" i="33"/>
  <c r="U109" i="33" s="1"/>
  <c r="M109" i="33"/>
  <c r="I111" i="33"/>
  <c r="J111" i="33" s="1"/>
  <c r="L26" i="38" s="1"/>
  <c r="N26" i="38" s="1"/>
  <c r="P28" i="21"/>
  <c r="R28" i="21" s="1"/>
  <c r="Y28" i="21"/>
  <c r="AA28" i="21" s="1"/>
  <c r="M28" i="21"/>
  <c r="O28" i="21" s="1"/>
  <c r="V28" i="21"/>
  <c r="X28" i="21" s="1"/>
  <c r="L28" i="21"/>
  <c r="S28" i="21"/>
  <c r="U28" i="21" s="1"/>
  <c r="I26" i="21"/>
  <c r="F11" i="18"/>
  <c r="H11" i="18" s="1"/>
  <c r="I11" i="18" s="1"/>
  <c r="J11" i="18" s="1"/>
  <c r="J27" i="21"/>
  <c r="O109" i="33" l="1"/>
  <c r="L24" i="36"/>
  <c r="N24" i="36" s="1"/>
  <c r="R109" i="33"/>
  <c r="L24" i="25"/>
  <c r="N24" i="25" s="1"/>
  <c r="I38" i="29"/>
  <c r="J38" i="29" s="1"/>
  <c r="I112" i="33"/>
  <c r="J112" i="33" s="1"/>
  <c r="L27" i="38" s="1"/>
  <c r="N27" i="38" s="1"/>
  <c r="S110" i="33"/>
  <c r="U110" i="33" s="1"/>
  <c r="Y110" i="33"/>
  <c r="AA110" i="33" s="1"/>
  <c r="M110" i="33"/>
  <c r="P110" i="33"/>
  <c r="L110" i="33"/>
  <c r="V110" i="33"/>
  <c r="X110" i="33" s="1"/>
  <c r="P27" i="21"/>
  <c r="R27" i="21" s="1"/>
  <c r="Y27" i="21"/>
  <c r="AA27" i="21" s="1"/>
  <c r="M27" i="21"/>
  <c r="O27" i="21" s="1"/>
  <c r="V27" i="21"/>
  <c r="X27" i="21" s="1"/>
  <c r="L27" i="21"/>
  <c r="S27" i="21"/>
  <c r="U27" i="21" s="1"/>
  <c r="I25" i="21"/>
  <c r="M11" i="18"/>
  <c r="O11" i="18"/>
  <c r="K11" i="18"/>
  <c r="L11" i="18"/>
  <c r="N11" i="18"/>
  <c r="J26" i="21"/>
  <c r="R110" i="33" l="1"/>
  <c r="L25" i="25"/>
  <c r="N25" i="25" s="1"/>
  <c r="O110" i="33"/>
  <c r="L25" i="36"/>
  <c r="N25" i="36" s="1"/>
  <c r="I39" i="29"/>
  <c r="J39" i="29" s="1"/>
  <c r="I113" i="33"/>
  <c r="J113" i="33" s="1"/>
  <c r="L28" i="38" s="1"/>
  <c r="N28" i="38" s="1"/>
  <c r="Y111" i="33"/>
  <c r="AA111" i="33" s="1"/>
  <c r="M111" i="33"/>
  <c r="S111" i="33"/>
  <c r="U111" i="33" s="1"/>
  <c r="V111" i="33"/>
  <c r="X111" i="33" s="1"/>
  <c r="P111" i="33"/>
  <c r="L111" i="33"/>
  <c r="P26" i="21"/>
  <c r="R26" i="21" s="1"/>
  <c r="Y26" i="21"/>
  <c r="AA26" i="21" s="1"/>
  <c r="M26" i="21"/>
  <c r="O26" i="21" s="1"/>
  <c r="V26" i="21"/>
  <c r="X26" i="21" s="1"/>
  <c r="L26" i="21"/>
  <c r="S26" i="21"/>
  <c r="U26" i="21" s="1"/>
  <c r="I24" i="21"/>
  <c r="J25" i="21"/>
  <c r="O111" i="33" l="1"/>
  <c r="L26" i="36"/>
  <c r="N26" i="36" s="1"/>
  <c r="R111" i="33"/>
  <c r="L26" i="25"/>
  <c r="N26" i="25" s="1"/>
  <c r="I40" i="29"/>
  <c r="J40" i="29" s="1"/>
  <c r="I114" i="33"/>
  <c r="J114" i="33" s="1"/>
  <c r="L29" i="38" s="1"/>
  <c r="N29" i="38" s="1"/>
  <c r="S112" i="33"/>
  <c r="U112" i="33" s="1"/>
  <c r="M112" i="33"/>
  <c r="L112" i="33"/>
  <c r="P112" i="33"/>
  <c r="V112" i="33"/>
  <c r="X112" i="33" s="1"/>
  <c r="Y112" i="33"/>
  <c r="AA112" i="33" s="1"/>
  <c r="J24" i="21"/>
  <c r="P25" i="21"/>
  <c r="R25" i="21" s="1"/>
  <c r="Y25" i="21"/>
  <c r="AA25" i="21" s="1"/>
  <c r="M25" i="21"/>
  <c r="O25" i="21" s="1"/>
  <c r="V25" i="21"/>
  <c r="X25" i="21" s="1"/>
  <c r="L25" i="21"/>
  <c r="S25" i="21"/>
  <c r="U25" i="21" s="1"/>
  <c r="R112" i="33" l="1"/>
  <c r="L27" i="25"/>
  <c r="N27" i="25" s="1"/>
  <c r="O112" i="33"/>
  <c r="L27" i="36"/>
  <c r="N27" i="36" s="1"/>
  <c r="I41" i="29"/>
  <c r="J41" i="29" s="1"/>
  <c r="I115" i="33"/>
  <c r="J115" i="33" s="1"/>
  <c r="L30" i="38" s="1"/>
  <c r="N30" i="38" s="1"/>
  <c r="P113" i="33"/>
  <c r="L113" i="33"/>
  <c r="V113" i="33"/>
  <c r="X113" i="33" s="1"/>
  <c r="Y113" i="33"/>
  <c r="AA113" i="33" s="1"/>
  <c r="S113" i="33"/>
  <c r="U113" i="33" s="1"/>
  <c r="M113" i="33"/>
  <c r="P24" i="21"/>
  <c r="R24" i="21" s="1"/>
  <c r="Y24" i="21"/>
  <c r="AA24" i="21" s="1"/>
  <c r="M24" i="21"/>
  <c r="O24" i="21" s="1"/>
  <c r="V24" i="21"/>
  <c r="X24" i="21" s="1"/>
  <c r="L24" i="21"/>
  <c r="S24" i="21"/>
  <c r="U24" i="21" s="1"/>
  <c r="O113" i="33" l="1"/>
  <c r="L28" i="36"/>
  <c r="N28" i="36" s="1"/>
  <c r="R113" i="33"/>
  <c r="L28" i="25"/>
  <c r="N28" i="25" s="1"/>
  <c r="I42" i="29"/>
  <c r="J42" i="29" s="1"/>
  <c r="I116" i="33"/>
  <c r="J116" i="33" s="1"/>
  <c r="L31" i="38" s="1"/>
  <c r="N31" i="38" s="1"/>
  <c r="L114" i="33"/>
  <c r="P114" i="33"/>
  <c r="V114" i="33"/>
  <c r="X114" i="33" s="1"/>
  <c r="Y114" i="33"/>
  <c r="AA114" i="33" s="1"/>
  <c r="S114" i="33"/>
  <c r="U114" i="33" s="1"/>
  <c r="M114" i="33"/>
  <c r="P23" i="29"/>
  <c r="R23" i="29" s="1"/>
  <c r="M23" i="29"/>
  <c r="O23" i="29" s="1"/>
  <c r="V23" i="29"/>
  <c r="X23" i="29" s="1"/>
  <c r="L23" i="29"/>
  <c r="S23" i="29"/>
  <c r="U23" i="29" s="1"/>
  <c r="Y23" i="29"/>
  <c r="AA23" i="29" s="1"/>
  <c r="P24" i="29"/>
  <c r="R24" i="29" s="1"/>
  <c r="Y24" i="29"/>
  <c r="AA24" i="29" s="1"/>
  <c r="V24" i="29"/>
  <c r="X24" i="29" s="1"/>
  <c r="S24" i="29"/>
  <c r="U24" i="29" s="1"/>
  <c r="L24" i="29"/>
  <c r="M24" i="29"/>
  <c r="O24" i="29" s="1"/>
  <c r="R114" i="33" l="1"/>
  <c r="L29" i="25"/>
  <c r="N29" i="25" s="1"/>
  <c r="O114" i="33"/>
  <c r="L29" i="36"/>
  <c r="N29" i="36" s="1"/>
  <c r="I43" i="29"/>
  <c r="J43" i="29" s="1"/>
  <c r="I117" i="33"/>
  <c r="J117" i="33" s="1"/>
  <c r="L32" i="38" s="1"/>
  <c r="N32" i="38" s="1"/>
  <c r="L115" i="33"/>
  <c r="S115" i="33"/>
  <c r="U115" i="33" s="1"/>
  <c r="V115" i="33"/>
  <c r="X115" i="33" s="1"/>
  <c r="P115" i="33"/>
  <c r="Y115" i="33"/>
  <c r="AA115" i="33" s="1"/>
  <c r="M115" i="33"/>
  <c r="R115" i="33" l="1"/>
  <c r="L30" i="25"/>
  <c r="N30" i="25" s="1"/>
  <c r="O115" i="33"/>
  <c r="L30" i="36"/>
  <c r="N30" i="36" s="1"/>
  <c r="I44" i="29"/>
  <c r="J44" i="29" s="1"/>
  <c r="I118" i="33"/>
  <c r="J118" i="33" s="1"/>
  <c r="L33" i="38" s="1"/>
  <c r="N33" i="38" s="1"/>
  <c r="L116" i="33"/>
  <c r="M116" i="33"/>
  <c r="S116" i="33"/>
  <c r="U116" i="33" s="1"/>
  <c r="V116" i="33"/>
  <c r="X116" i="33" s="1"/>
  <c r="P116" i="33"/>
  <c r="Y116" i="33"/>
  <c r="AA116" i="33" s="1"/>
  <c r="Y26" i="29"/>
  <c r="AA26" i="29" s="1"/>
  <c r="V26" i="29"/>
  <c r="X26" i="29" s="1"/>
  <c r="S26" i="29"/>
  <c r="U26" i="29" s="1"/>
  <c r="P26" i="29"/>
  <c r="R26" i="29" s="1"/>
  <c r="L26" i="29"/>
  <c r="M26" i="29"/>
  <c r="O26" i="29" s="1"/>
  <c r="M25" i="29"/>
  <c r="O25" i="29" s="1"/>
  <c r="P25" i="29"/>
  <c r="R25" i="29" s="1"/>
  <c r="S25" i="29"/>
  <c r="U25" i="29" s="1"/>
  <c r="Y25" i="29"/>
  <c r="AA25" i="29" s="1"/>
  <c r="V25" i="29"/>
  <c r="X25" i="29" s="1"/>
  <c r="L25" i="29"/>
  <c r="O116" i="33" l="1"/>
  <c r="L31" i="36"/>
  <c r="N31" i="36" s="1"/>
  <c r="R116" i="33"/>
  <c r="L31" i="25"/>
  <c r="N31" i="25" s="1"/>
  <c r="I45" i="29"/>
  <c r="J45" i="29" s="1"/>
  <c r="M117" i="33"/>
  <c r="P117" i="33"/>
  <c r="S117" i="33"/>
  <c r="U117" i="33" s="1"/>
  <c r="V117" i="33"/>
  <c r="X117" i="33" s="1"/>
  <c r="L117" i="33"/>
  <c r="Y117" i="33"/>
  <c r="AA117" i="33" s="1"/>
  <c r="P118" i="33"/>
  <c r="S118" i="33"/>
  <c r="U118" i="33" s="1"/>
  <c r="M118" i="33"/>
  <c r="Y118" i="33"/>
  <c r="AA118" i="33" s="1"/>
  <c r="V118" i="33"/>
  <c r="X118" i="33" s="1"/>
  <c r="L118" i="33"/>
  <c r="O117" i="33" l="1"/>
  <c r="L32" i="36"/>
  <c r="N32" i="36" s="1"/>
  <c r="O118" i="33"/>
  <c r="L33" i="36"/>
  <c r="N33" i="36" s="1"/>
  <c r="R117" i="33"/>
  <c r="L32" i="25"/>
  <c r="N32" i="25" s="1"/>
  <c r="R118" i="33"/>
  <c r="L33" i="25"/>
  <c r="N33" i="25" s="1"/>
  <c r="I46" i="29"/>
  <c r="J46" i="29" s="1"/>
  <c r="S27" i="29"/>
  <c r="U27" i="29" s="1"/>
  <c r="P27" i="29"/>
  <c r="R27" i="29" s="1"/>
  <c r="V27" i="29"/>
  <c r="X27" i="29" s="1"/>
  <c r="L27" i="29"/>
  <c r="Y27" i="29"/>
  <c r="AA27" i="29" s="1"/>
  <c r="M27" i="29"/>
  <c r="O27" i="29" s="1"/>
  <c r="V28" i="29"/>
  <c r="X28" i="29" s="1"/>
  <c r="S28" i="29"/>
  <c r="U28" i="29" s="1"/>
  <c r="L28" i="29"/>
  <c r="M28" i="29"/>
  <c r="O28" i="29" s="1"/>
  <c r="Y28" i="29"/>
  <c r="AA28" i="29" s="1"/>
  <c r="P28" i="29"/>
  <c r="R28" i="29" s="1"/>
  <c r="I47" i="29" l="1"/>
  <c r="J47" i="29" s="1"/>
  <c r="I48" i="29" l="1"/>
  <c r="J48" i="29" s="1"/>
  <c r="M30" i="29"/>
  <c r="O30" i="29" s="1"/>
  <c r="Y30" i="29"/>
  <c r="AA30" i="29" s="1"/>
  <c r="S30" i="29"/>
  <c r="U30" i="29" s="1"/>
  <c r="P30" i="29"/>
  <c r="R30" i="29" s="1"/>
  <c r="V30" i="29"/>
  <c r="X30" i="29" s="1"/>
  <c r="L30" i="29"/>
  <c r="V29" i="29"/>
  <c r="X29" i="29" s="1"/>
  <c r="M29" i="29"/>
  <c r="O29" i="29" s="1"/>
  <c r="L29" i="29"/>
  <c r="S29" i="29"/>
  <c r="U29" i="29" s="1"/>
  <c r="Y29" i="29"/>
  <c r="AA29" i="29" s="1"/>
  <c r="P29" i="29"/>
  <c r="R29" i="29" s="1"/>
  <c r="I49" i="29" l="1"/>
  <c r="J49" i="29" s="1"/>
  <c r="I50" i="29" l="1"/>
  <c r="J50" i="29" s="1"/>
  <c r="P31" i="29"/>
  <c r="R31" i="29" s="1"/>
  <c r="S31" i="29"/>
  <c r="U31" i="29" s="1"/>
  <c r="M31" i="29"/>
  <c r="O31" i="29" s="1"/>
  <c r="Y31" i="29"/>
  <c r="AA31" i="29" s="1"/>
  <c r="V31" i="29"/>
  <c r="X31" i="29" s="1"/>
  <c r="L31" i="29"/>
  <c r="Y32" i="29"/>
  <c r="AA32" i="29" s="1"/>
  <c r="P32" i="29"/>
  <c r="R32" i="29" s="1"/>
  <c r="S32" i="29"/>
  <c r="U32" i="29" s="1"/>
  <c r="V32" i="29"/>
  <c r="X32" i="29" s="1"/>
  <c r="L32" i="29"/>
  <c r="M32" i="29"/>
  <c r="O32" i="29" s="1"/>
  <c r="I51" i="29" l="1"/>
  <c r="J51" i="29" s="1"/>
  <c r="I52" i="29" l="1"/>
  <c r="J52" i="29" s="1"/>
  <c r="S34" i="29"/>
  <c r="U34" i="29" s="1"/>
  <c r="V34" i="29"/>
  <c r="X34" i="29" s="1"/>
  <c r="L34" i="29"/>
  <c r="P34" i="29"/>
  <c r="R34" i="29" s="1"/>
  <c r="M34" i="29"/>
  <c r="O34" i="29" s="1"/>
  <c r="Y34" i="29"/>
  <c r="AA34" i="29" s="1"/>
  <c r="S33" i="29"/>
  <c r="U33" i="29" s="1"/>
  <c r="M33" i="29"/>
  <c r="O33" i="29" s="1"/>
  <c r="P33" i="29"/>
  <c r="R33" i="29" s="1"/>
  <c r="L33" i="29"/>
  <c r="V33" i="29"/>
  <c r="X33" i="29" s="1"/>
  <c r="Y33" i="29"/>
  <c r="AA33" i="29" s="1"/>
  <c r="I53" i="29" l="1"/>
  <c r="J53" i="29" s="1"/>
  <c r="P36" i="29"/>
  <c r="R36" i="29" s="1"/>
  <c r="M36" i="29"/>
  <c r="O36" i="29" s="1"/>
  <c r="V36" i="29"/>
  <c r="X36" i="29" s="1"/>
  <c r="L36" i="29"/>
  <c r="S36" i="29"/>
  <c r="U36" i="29" s="1"/>
  <c r="Y36" i="29"/>
  <c r="AA36" i="29" s="1"/>
  <c r="I54" i="29" l="1"/>
  <c r="J54" i="29" s="1"/>
  <c r="V35" i="29"/>
  <c r="X35" i="29" s="1"/>
  <c r="S35" i="29"/>
  <c r="U35" i="29" s="1"/>
  <c r="P35" i="29"/>
  <c r="R35" i="29" s="1"/>
  <c r="M35" i="29"/>
  <c r="O35" i="29" s="1"/>
  <c r="L35" i="29"/>
  <c r="Y35" i="29"/>
  <c r="AA35" i="29" s="1"/>
  <c r="I55" i="29" l="1"/>
  <c r="J55" i="29" s="1"/>
  <c r="I56" i="29" l="1"/>
  <c r="J56" i="29" s="1"/>
  <c r="M37" i="29"/>
  <c r="O37" i="29" s="1"/>
  <c r="Y37" i="29"/>
  <c r="AA37" i="29" s="1"/>
  <c r="S37" i="29"/>
  <c r="U37" i="29" s="1"/>
  <c r="L37" i="29"/>
  <c r="V37" i="29"/>
  <c r="X37" i="29" s="1"/>
  <c r="P37" i="29"/>
  <c r="R37" i="29" s="1"/>
  <c r="P38" i="29"/>
  <c r="R38" i="29" s="1"/>
  <c r="M38" i="29"/>
  <c r="O38" i="29" s="1"/>
  <c r="V38" i="29"/>
  <c r="X38" i="29" s="1"/>
  <c r="L38" i="29"/>
  <c r="S38" i="29"/>
  <c r="U38" i="29" s="1"/>
  <c r="Y38" i="29"/>
  <c r="AA38" i="29" s="1"/>
  <c r="I57" i="29" l="1"/>
  <c r="J57" i="29" s="1"/>
  <c r="I12" i="31" l="1"/>
  <c r="J12" i="31" s="1"/>
  <c r="I58" i="29"/>
  <c r="J58" i="29" s="1"/>
  <c r="V39" i="29"/>
  <c r="X39" i="29" s="1"/>
  <c r="L39" i="29"/>
  <c r="P39" i="29"/>
  <c r="R39" i="29" s="1"/>
  <c r="Y39" i="29"/>
  <c r="AA39" i="29" s="1"/>
  <c r="M39" i="29"/>
  <c r="O39" i="29" s="1"/>
  <c r="S39" i="29"/>
  <c r="U39" i="29" s="1"/>
  <c r="S40" i="29"/>
  <c r="U40" i="29" s="1"/>
  <c r="Y40" i="29"/>
  <c r="AA40" i="29" s="1"/>
  <c r="M40" i="29"/>
  <c r="O40" i="29" s="1"/>
  <c r="P40" i="29"/>
  <c r="R40" i="29" s="1"/>
  <c r="V40" i="29"/>
  <c r="X40" i="29" s="1"/>
  <c r="L40" i="29"/>
  <c r="I13" i="31" l="1"/>
  <c r="J13" i="31" s="1"/>
  <c r="I59" i="29"/>
  <c r="J59" i="29" s="1"/>
  <c r="Y12" i="31" l="1"/>
  <c r="AA12" i="31" s="1"/>
  <c r="S12" i="31"/>
  <c r="U12" i="31" s="1"/>
  <c r="M12" i="31"/>
  <c r="O12" i="31" s="1"/>
  <c r="L12" i="31"/>
  <c r="V12" i="31"/>
  <c r="X12" i="31" s="1"/>
  <c r="P12" i="31"/>
  <c r="R12" i="31" s="1"/>
  <c r="I14" i="31"/>
  <c r="J14" i="31" s="1"/>
  <c r="I60" i="29"/>
  <c r="J60" i="29" s="1"/>
  <c r="V41" i="29"/>
  <c r="X41" i="29" s="1"/>
  <c r="P41" i="29"/>
  <c r="R41" i="29" s="1"/>
  <c r="M41" i="29"/>
  <c r="O41" i="29" s="1"/>
  <c r="L41" i="29"/>
  <c r="Y41" i="29"/>
  <c r="AA41" i="29" s="1"/>
  <c r="S41" i="29"/>
  <c r="U41" i="29" s="1"/>
  <c r="M42" i="29"/>
  <c r="O42" i="29" s="1"/>
  <c r="Y42" i="29"/>
  <c r="AA42" i="29" s="1"/>
  <c r="L42" i="29"/>
  <c r="S42" i="29"/>
  <c r="U42" i="29" s="1"/>
  <c r="P42" i="29"/>
  <c r="R42" i="29" s="1"/>
  <c r="V42" i="29"/>
  <c r="X42" i="29" s="1"/>
  <c r="L13" i="31" l="1"/>
  <c r="V13" i="31"/>
  <c r="X13" i="31" s="1"/>
  <c r="P13" i="31"/>
  <c r="R13" i="31" s="1"/>
  <c r="Y13" i="31"/>
  <c r="AA13" i="31" s="1"/>
  <c r="S13" i="31"/>
  <c r="U13" i="31" s="1"/>
  <c r="M13" i="31"/>
  <c r="O13" i="31" s="1"/>
  <c r="I15" i="31"/>
  <c r="J15" i="31" s="1"/>
  <c r="I61" i="29"/>
  <c r="J61" i="29" s="1"/>
  <c r="V14" i="31" l="1"/>
  <c r="X14" i="31" s="1"/>
  <c r="P14" i="31"/>
  <c r="R14" i="31" s="1"/>
  <c r="S14" i="31"/>
  <c r="U14" i="31" s="1"/>
  <c r="M14" i="31"/>
  <c r="O14" i="31" s="1"/>
  <c r="L14" i="31"/>
  <c r="Y14" i="31"/>
  <c r="AA14" i="31" s="1"/>
  <c r="I16" i="31"/>
  <c r="J16" i="31" s="1"/>
  <c r="I62" i="29"/>
  <c r="J62" i="29" s="1"/>
  <c r="P44" i="29"/>
  <c r="R44" i="29" s="1"/>
  <c r="V44" i="29"/>
  <c r="X44" i="29" s="1"/>
  <c r="S44" i="29"/>
  <c r="U44" i="29" s="1"/>
  <c r="L44" i="29"/>
  <c r="M44" i="29"/>
  <c r="O44" i="29" s="1"/>
  <c r="Y44" i="29"/>
  <c r="AA44" i="29" s="1"/>
  <c r="S43" i="29"/>
  <c r="U43" i="29" s="1"/>
  <c r="Y43" i="29"/>
  <c r="AA43" i="29" s="1"/>
  <c r="L43" i="29"/>
  <c r="M43" i="29"/>
  <c r="O43" i="29" s="1"/>
  <c r="V43" i="29"/>
  <c r="X43" i="29" s="1"/>
  <c r="P43" i="29"/>
  <c r="R43" i="29" s="1"/>
  <c r="V15" i="31" l="1"/>
  <c r="X15" i="31" s="1"/>
  <c r="P15" i="31"/>
  <c r="R15" i="31" s="1"/>
  <c r="L15" i="31"/>
  <c r="Y15" i="31"/>
  <c r="AA15" i="31" s="1"/>
  <c r="S15" i="31"/>
  <c r="U15" i="31" s="1"/>
  <c r="M15" i="31"/>
  <c r="O15" i="31" s="1"/>
  <c r="I17" i="31"/>
  <c r="J17" i="31" s="1"/>
  <c r="I63" i="29"/>
  <c r="J63" i="29" s="1"/>
  <c r="Y16" i="31" l="1"/>
  <c r="AA16" i="31" s="1"/>
  <c r="S16" i="31"/>
  <c r="U16" i="31" s="1"/>
  <c r="M16" i="31"/>
  <c r="O16" i="31" s="1"/>
  <c r="L16" i="31"/>
  <c r="V16" i="31"/>
  <c r="X16" i="31" s="1"/>
  <c r="P16" i="31"/>
  <c r="R16" i="31" s="1"/>
  <c r="I18" i="31"/>
  <c r="J18" i="31" s="1"/>
  <c r="I64" i="29"/>
  <c r="J64" i="29" s="1"/>
  <c r="S46" i="29"/>
  <c r="U46" i="29" s="1"/>
  <c r="Y46" i="29"/>
  <c r="AA46" i="29" s="1"/>
  <c r="M46" i="29"/>
  <c r="O46" i="29" s="1"/>
  <c r="P46" i="29"/>
  <c r="R46" i="29" s="1"/>
  <c r="V46" i="29"/>
  <c r="X46" i="29" s="1"/>
  <c r="L46" i="29"/>
  <c r="L45" i="29"/>
  <c r="P45" i="29"/>
  <c r="R45" i="29" s="1"/>
  <c r="V45" i="29"/>
  <c r="X45" i="29" s="1"/>
  <c r="M45" i="29"/>
  <c r="O45" i="29" s="1"/>
  <c r="Y45" i="29"/>
  <c r="AA45" i="29" s="1"/>
  <c r="S45" i="29"/>
  <c r="U45" i="29" s="1"/>
  <c r="Y17" i="31" l="1"/>
  <c r="AA17" i="31" s="1"/>
  <c r="S17" i="31"/>
  <c r="U17" i="31" s="1"/>
  <c r="M17" i="31"/>
  <c r="O17" i="31" s="1"/>
  <c r="P17" i="31"/>
  <c r="R17" i="31" s="1"/>
  <c r="L17" i="31"/>
  <c r="V17" i="31"/>
  <c r="X17" i="31" s="1"/>
  <c r="I19" i="31"/>
  <c r="J19" i="31" s="1"/>
  <c r="I65" i="29"/>
  <c r="J65" i="29" s="1"/>
  <c r="Y18" i="31" l="1"/>
  <c r="AA18" i="31" s="1"/>
  <c r="S18" i="31"/>
  <c r="U18" i="31" s="1"/>
  <c r="M18" i="31"/>
  <c r="O18" i="31" s="1"/>
  <c r="L18" i="31"/>
  <c r="V18" i="31"/>
  <c r="X18" i="31" s="1"/>
  <c r="P18" i="31"/>
  <c r="R18" i="31" s="1"/>
  <c r="I20" i="31"/>
  <c r="J20" i="31" s="1"/>
  <c r="I66" i="29"/>
  <c r="J66" i="29" s="1"/>
  <c r="M48" i="29"/>
  <c r="O48" i="29" s="1"/>
  <c r="Y48" i="29"/>
  <c r="AA48" i="29" s="1"/>
  <c r="L48" i="29"/>
  <c r="S48" i="29"/>
  <c r="U48" i="29" s="1"/>
  <c r="P48" i="29"/>
  <c r="R48" i="29" s="1"/>
  <c r="V48" i="29"/>
  <c r="X48" i="29" s="1"/>
  <c r="M47" i="29"/>
  <c r="O47" i="29" s="1"/>
  <c r="L47" i="29"/>
  <c r="S47" i="29"/>
  <c r="U47" i="29" s="1"/>
  <c r="Y47" i="29"/>
  <c r="AA47" i="29" s="1"/>
  <c r="P47" i="29"/>
  <c r="R47" i="29" s="1"/>
  <c r="V47" i="29"/>
  <c r="X47" i="29" s="1"/>
  <c r="L19" i="31" l="1"/>
  <c r="V19" i="31"/>
  <c r="X19" i="31" s="1"/>
  <c r="P19" i="31"/>
  <c r="R19" i="31" s="1"/>
  <c r="Y19" i="31"/>
  <c r="AA19" i="31" s="1"/>
  <c r="S19" i="31"/>
  <c r="U19" i="31" s="1"/>
  <c r="M19" i="31"/>
  <c r="O19" i="31" s="1"/>
  <c r="I21" i="31"/>
  <c r="J21" i="31" s="1"/>
  <c r="I67" i="29"/>
  <c r="J67" i="29" s="1"/>
  <c r="Y20" i="31" l="1"/>
  <c r="AA20" i="31" s="1"/>
  <c r="M20" i="31"/>
  <c r="O20" i="31" s="1"/>
  <c r="V20" i="31"/>
  <c r="X20" i="31" s="1"/>
  <c r="P20" i="31"/>
  <c r="R20" i="31" s="1"/>
  <c r="S20" i="31"/>
  <c r="U20" i="31" s="1"/>
  <c r="L20" i="31"/>
  <c r="I22" i="31"/>
  <c r="J22" i="31" s="1"/>
  <c r="I68" i="29"/>
  <c r="J68" i="29" s="1"/>
  <c r="Y49" i="29"/>
  <c r="AA49" i="29" s="1"/>
  <c r="M49" i="29"/>
  <c r="O49" i="29" s="1"/>
  <c r="P49" i="29"/>
  <c r="R49" i="29" s="1"/>
  <c r="V49" i="29"/>
  <c r="X49" i="29" s="1"/>
  <c r="S49" i="29"/>
  <c r="U49" i="29" s="1"/>
  <c r="L49" i="29"/>
  <c r="L50" i="29"/>
  <c r="S50" i="29"/>
  <c r="U50" i="29" s="1"/>
  <c r="M50" i="29"/>
  <c r="O50" i="29" s="1"/>
  <c r="Y50" i="29"/>
  <c r="AA50" i="29" s="1"/>
  <c r="V50" i="29"/>
  <c r="X50" i="29" s="1"/>
  <c r="P50" i="29"/>
  <c r="R50" i="29" s="1"/>
  <c r="I23" i="31" l="1"/>
  <c r="V21" i="31"/>
  <c r="X21" i="31" s="1"/>
  <c r="P21" i="31"/>
  <c r="R21" i="31" s="1"/>
  <c r="L21" i="31"/>
  <c r="Y21" i="31"/>
  <c r="AA21" i="31" s="1"/>
  <c r="S21" i="31"/>
  <c r="U21" i="31" s="1"/>
  <c r="M21" i="31"/>
  <c r="O21" i="31" s="1"/>
  <c r="Y22" i="31"/>
  <c r="AA22" i="31" s="1"/>
  <c r="S22" i="31"/>
  <c r="U22" i="31" s="1"/>
  <c r="M22" i="31"/>
  <c r="O22" i="31" s="1"/>
  <c r="L22" i="31"/>
  <c r="V22" i="31"/>
  <c r="X22" i="31" s="1"/>
  <c r="P22" i="31"/>
  <c r="R22" i="31" s="1"/>
  <c r="I69" i="29"/>
  <c r="J69" i="29" s="1"/>
  <c r="I24" i="31" l="1"/>
  <c r="J24" i="31" s="1"/>
  <c r="I70" i="29"/>
  <c r="J70" i="29" s="1"/>
  <c r="Y52" i="29"/>
  <c r="AA52" i="29" s="1"/>
  <c r="P52" i="29"/>
  <c r="R52" i="29" s="1"/>
  <c r="S52" i="29"/>
  <c r="U52" i="29" s="1"/>
  <c r="V52" i="29"/>
  <c r="X52" i="29" s="1"/>
  <c r="L52" i="29"/>
  <c r="M52" i="29"/>
  <c r="O52" i="29" s="1"/>
  <c r="V51" i="29"/>
  <c r="X51" i="29" s="1"/>
  <c r="L51" i="29"/>
  <c r="P51" i="29"/>
  <c r="R51" i="29" s="1"/>
  <c r="M51" i="29"/>
  <c r="O51" i="29" s="1"/>
  <c r="Y51" i="29"/>
  <c r="AA51" i="29" s="1"/>
  <c r="S51" i="29"/>
  <c r="U51" i="29" s="1"/>
  <c r="I25" i="31" l="1"/>
  <c r="J25" i="31" s="1"/>
  <c r="I71" i="29"/>
  <c r="J71" i="29" s="1"/>
  <c r="V24" i="31" l="1"/>
  <c r="X24" i="31" s="1"/>
  <c r="M24" i="31"/>
  <c r="O24" i="31" s="1"/>
  <c r="P24" i="31"/>
  <c r="R24" i="31" s="1"/>
  <c r="L24" i="31"/>
  <c r="S24" i="31"/>
  <c r="U24" i="31" s="1"/>
  <c r="Y24" i="31"/>
  <c r="AA24" i="31" s="1"/>
  <c r="I26" i="31"/>
  <c r="J26" i="31" s="1"/>
  <c r="I72" i="29"/>
  <c r="J72" i="29" s="1"/>
  <c r="M54" i="29"/>
  <c r="O54" i="29" s="1"/>
  <c r="Y54" i="29"/>
  <c r="AA54" i="29" s="1"/>
  <c r="L54" i="29"/>
  <c r="S54" i="29"/>
  <c r="U54" i="29" s="1"/>
  <c r="P54" i="29"/>
  <c r="R54" i="29" s="1"/>
  <c r="V54" i="29"/>
  <c r="X54" i="29" s="1"/>
  <c r="L53" i="29"/>
  <c r="Y53" i="29"/>
  <c r="AA53" i="29" s="1"/>
  <c r="M53" i="29"/>
  <c r="O53" i="29" s="1"/>
  <c r="S53" i="29"/>
  <c r="U53" i="29" s="1"/>
  <c r="V53" i="29"/>
  <c r="X53" i="29" s="1"/>
  <c r="P53" i="29"/>
  <c r="R53" i="29" s="1"/>
  <c r="I27" i="31" l="1"/>
  <c r="J27" i="31" s="1"/>
  <c r="V25" i="31"/>
  <c r="X25" i="31" s="1"/>
  <c r="P25" i="31"/>
  <c r="R25" i="31" s="1"/>
  <c r="L25" i="31"/>
  <c r="Y25" i="31"/>
  <c r="AA25" i="31" s="1"/>
  <c r="S25" i="31"/>
  <c r="U25" i="31" s="1"/>
  <c r="M25" i="31"/>
  <c r="O25" i="31" s="1"/>
  <c r="I73" i="29"/>
  <c r="J73" i="29" s="1"/>
  <c r="S26" i="31" l="1"/>
  <c r="U26" i="31" s="1"/>
  <c r="M26" i="31"/>
  <c r="O26" i="31" s="1"/>
  <c r="V26" i="31"/>
  <c r="X26" i="31" s="1"/>
  <c r="P26" i="31"/>
  <c r="R26" i="31" s="1"/>
  <c r="Y26" i="31"/>
  <c r="AA26" i="31" s="1"/>
  <c r="L26" i="31"/>
  <c r="I28" i="31"/>
  <c r="J28" i="31" s="1"/>
  <c r="I74" i="29"/>
  <c r="J74" i="29" s="1"/>
  <c r="M56" i="29"/>
  <c r="O56" i="29" s="1"/>
  <c r="V56" i="29"/>
  <c r="X56" i="29" s="1"/>
  <c r="Y56" i="29"/>
  <c r="AA56" i="29" s="1"/>
  <c r="L56" i="29"/>
  <c r="S56" i="29"/>
  <c r="U56" i="29" s="1"/>
  <c r="P56" i="29"/>
  <c r="R56" i="29" s="1"/>
  <c r="Y55" i="29"/>
  <c r="AA55" i="29" s="1"/>
  <c r="M55" i="29"/>
  <c r="O55" i="29" s="1"/>
  <c r="P55" i="29"/>
  <c r="R55" i="29" s="1"/>
  <c r="V55" i="29"/>
  <c r="X55" i="29" s="1"/>
  <c r="S55" i="29"/>
  <c r="U55" i="29" s="1"/>
  <c r="L55" i="29"/>
  <c r="S27" i="31" l="1"/>
  <c r="U27" i="31" s="1"/>
  <c r="M27" i="31"/>
  <c r="O27" i="31" s="1"/>
  <c r="V27" i="31"/>
  <c r="X27" i="31" s="1"/>
  <c r="P27" i="31"/>
  <c r="R27" i="31" s="1"/>
  <c r="L27" i="31"/>
  <c r="Y27" i="31"/>
  <c r="AA27" i="31" s="1"/>
  <c r="I29" i="31"/>
  <c r="J29" i="31" s="1"/>
  <c r="I75" i="29"/>
  <c r="J75" i="29" s="1"/>
  <c r="L28" i="31" l="1"/>
  <c r="Y28" i="31"/>
  <c r="AA28" i="31" s="1"/>
  <c r="S28" i="31"/>
  <c r="U28" i="31" s="1"/>
  <c r="M28" i="31"/>
  <c r="O28" i="31" s="1"/>
  <c r="V28" i="31"/>
  <c r="X28" i="31" s="1"/>
  <c r="P28" i="31"/>
  <c r="R28" i="31" s="1"/>
  <c r="I30" i="31"/>
  <c r="J30" i="31" s="1"/>
  <c r="I76" i="29"/>
  <c r="J76" i="29" s="1"/>
  <c r="V57" i="29"/>
  <c r="X57" i="29" s="1"/>
  <c r="L57" i="29"/>
  <c r="P57" i="29"/>
  <c r="R57" i="29" s="1"/>
  <c r="Y57" i="29"/>
  <c r="AA57" i="29" s="1"/>
  <c r="S57" i="29"/>
  <c r="U57" i="29" s="1"/>
  <c r="M57" i="29"/>
  <c r="O57" i="29" s="1"/>
  <c r="V58" i="29"/>
  <c r="X58" i="29" s="1"/>
  <c r="L58" i="29"/>
  <c r="P58" i="29"/>
  <c r="R58" i="29" s="1"/>
  <c r="M58" i="29"/>
  <c r="O58" i="29" s="1"/>
  <c r="S58" i="29"/>
  <c r="U58" i="29" s="1"/>
  <c r="Y58" i="29"/>
  <c r="AA58" i="29" s="1"/>
  <c r="M29" i="31" l="1"/>
  <c r="O29" i="31" s="1"/>
  <c r="V29" i="31"/>
  <c r="X29" i="31" s="1"/>
  <c r="P29" i="31"/>
  <c r="R29" i="31" s="1"/>
  <c r="L29" i="31"/>
  <c r="Y29" i="31"/>
  <c r="AA29" i="31" s="1"/>
  <c r="S29" i="31"/>
  <c r="U29" i="31" s="1"/>
  <c r="I31" i="31"/>
  <c r="J31" i="31" s="1"/>
  <c r="I77" i="29"/>
  <c r="J77" i="29" s="1"/>
  <c r="L30" i="31" l="1"/>
  <c r="Y30" i="31"/>
  <c r="AA30" i="31" s="1"/>
  <c r="S30" i="31"/>
  <c r="U30" i="31" s="1"/>
  <c r="M30" i="31"/>
  <c r="O30" i="31" s="1"/>
  <c r="V30" i="31"/>
  <c r="X30" i="31" s="1"/>
  <c r="P30" i="31"/>
  <c r="R30" i="31" s="1"/>
  <c r="I32" i="31"/>
  <c r="J32" i="31" s="1"/>
  <c r="I78" i="29"/>
  <c r="J78" i="29" s="1"/>
  <c r="M60" i="29"/>
  <c r="O60" i="29" s="1"/>
  <c r="Y60" i="29"/>
  <c r="AA60" i="29" s="1"/>
  <c r="L60" i="29"/>
  <c r="S60" i="29"/>
  <c r="U60" i="29" s="1"/>
  <c r="P60" i="29"/>
  <c r="R60" i="29" s="1"/>
  <c r="V60" i="29"/>
  <c r="X60" i="29" s="1"/>
  <c r="V59" i="29"/>
  <c r="X59" i="29" s="1"/>
  <c r="P59" i="29"/>
  <c r="R59" i="29" s="1"/>
  <c r="M59" i="29"/>
  <c r="O59" i="29" s="1"/>
  <c r="S59" i="29"/>
  <c r="U59" i="29" s="1"/>
  <c r="Y59" i="29"/>
  <c r="AA59" i="29" s="1"/>
  <c r="L59" i="29"/>
  <c r="M31" i="31" l="1"/>
  <c r="O31" i="31" s="1"/>
  <c r="V31" i="31"/>
  <c r="X31" i="31" s="1"/>
  <c r="P31" i="31"/>
  <c r="R31" i="31" s="1"/>
  <c r="Y31" i="31"/>
  <c r="AA31" i="31" s="1"/>
  <c r="L31" i="31"/>
  <c r="S31" i="31"/>
  <c r="U31" i="31" s="1"/>
  <c r="I33" i="31"/>
  <c r="J33" i="31" s="1"/>
  <c r="S77" i="29"/>
  <c r="U77" i="29" s="1"/>
  <c r="L77" i="29"/>
  <c r="M77" i="29"/>
  <c r="O77" i="29" s="1"/>
  <c r="P77" i="29"/>
  <c r="R77" i="29" s="1"/>
  <c r="V77" i="29"/>
  <c r="X77" i="29" s="1"/>
  <c r="Y77" i="29"/>
  <c r="AA77" i="29" s="1"/>
  <c r="I79" i="29"/>
  <c r="J79" i="29" s="1"/>
  <c r="L32" i="31" l="1"/>
  <c r="Y32" i="31"/>
  <c r="AA32" i="31" s="1"/>
  <c r="S32" i="31"/>
  <c r="U32" i="31" s="1"/>
  <c r="M32" i="31"/>
  <c r="O32" i="31" s="1"/>
  <c r="V32" i="31"/>
  <c r="X32" i="31" s="1"/>
  <c r="P32" i="31"/>
  <c r="R32" i="31" s="1"/>
  <c r="I34" i="31"/>
  <c r="J34" i="31" s="1"/>
  <c r="L78" i="29"/>
  <c r="P78" i="29"/>
  <c r="R78" i="29" s="1"/>
  <c r="V78" i="29"/>
  <c r="X78" i="29" s="1"/>
  <c r="M78" i="29"/>
  <c r="O78" i="29" s="1"/>
  <c r="S78" i="29"/>
  <c r="U78" i="29" s="1"/>
  <c r="Y78" i="29"/>
  <c r="AA78" i="29" s="1"/>
  <c r="I80" i="29"/>
  <c r="J80" i="29" s="1"/>
  <c r="P62" i="29"/>
  <c r="R62" i="29" s="1"/>
  <c r="S62" i="29"/>
  <c r="U62" i="29" s="1"/>
  <c r="L62" i="29"/>
  <c r="Y62" i="29"/>
  <c r="AA62" i="29" s="1"/>
  <c r="M62" i="29"/>
  <c r="O62" i="29" s="1"/>
  <c r="V62" i="29"/>
  <c r="X62" i="29" s="1"/>
  <c r="L61" i="29"/>
  <c r="Y61" i="29"/>
  <c r="AA61" i="29" s="1"/>
  <c r="V61" i="29"/>
  <c r="X61" i="29" s="1"/>
  <c r="S61" i="29"/>
  <c r="U61" i="29" s="1"/>
  <c r="M61" i="29"/>
  <c r="O61" i="29" s="1"/>
  <c r="P61" i="29"/>
  <c r="R61" i="29" s="1"/>
  <c r="P33" i="31" l="1"/>
  <c r="R33" i="31" s="1"/>
  <c r="L33" i="31"/>
  <c r="Y33" i="31"/>
  <c r="AA33" i="31" s="1"/>
  <c r="S33" i="31"/>
  <c r="U33" i="31" s="1"/>
  <c r="M33" i="31"/>
  <c r="O33" i="31" s="1"/>
  <c r="V33" i="31"/>
  <c r="X33" i="31" s="1"/>
  <c r="I35" i="31"/>
  <c r="P79" i="29"/>
  <c r="R79" i="29" s="1"/>
  <c r="M79" i="29"/>
  <c r="O79" i="29" s="1"/>
  <c r="L79" i="29"/>
  <c r="Y79" i="29"/>
  <c r="AA79" i="29" s="1"/>
  <c r="V79" i="29"/>
  <c r="X79" i="29" s="1"/>
  <c r="S79" i="29"/>
  <c r="U79" i="29" s="1"/>
  <c r="I81" i="29"/>
  <c r="J81" i="29" s="1"/>
  <c r="I36" i="31" l="1"/>
  <c r="J36" i="31" s="1"/>
  <c r="M34" i="31"/>
  <c r="O34" i="31" s="1"/>
  <c r="V34" i="31"/>
  <c r="X34" i="31" s="1"/>
  <c r="S34" i="31"/>
  <c r="U34" i="31" s="1"/>
  <c r="P34" i="31"/>
  <c r="R34" i="31" s="1"/>
  <c r="L34" i="31"/>
  <c r="Y34" i="31"/>
  <c r="AA34" i="31" s="1"/>
  <c r="L80" i="29"/>
  <c r="P80" i="29"/>
  <c r="R80" i="29" s="1"/>
  <c r="Y80" i="29"/>
  <c r="AA80" i="29" s="1"/>
  <c r="S80" i="29"/>
  <c r="U80" i="29" s="1"/>
  <c r="M80" i="29"/>
  <c r="O80" i="29" s="1"/>
  <c r="V80" i="29"/>
  <c r="X80" i="29" s="1"/>
  <c r="I82" i="29"/>
  <c r="J82" i="29" s="1"/>
  <c r="M63" i="29"/>
  <c r="O63" i="29" s="1"/>
  <c r="L63" i="29"/>
  <c r="P63" i="29"/>
  <c r="R63" i="29" s="1"/>
  <c r="Y63" i="29"/>
  <c r="AA63" i="29" s="1"/>
  <c r="S63" i="29"/>
  <c r="U63" i="29" s="1"/>
  <c r="V63" i="29"/>
  <c r="X63" i="29" s="1"/>
  <c r="Y64" i="29"/>
  <c r="AA64" i="29" s="1"/>
  <c r="S64" i="29"/>
  <c r="U64" i="29" s="1"/>
  <c r="L64" i="29"/>
  <c r="V64" i="29"/>
  <c r="X64" i="29" s="1"/>
  <c r="M64" i="29"/>
  <c r="O64" i="29" s="1"/>
  <c r="P64" i="29"/>
  <c r="R64" i="29" s="1"/>
  <c r="I37" i="31" l="1"/>
  <c r="J37" i="31" s="1"/>
  <c r="L81" i="29"/>
  <c r="S81" i="29"/>
  <c r="U81" i="29" s="1"/>
  <c r="M81" i="29"/>
  <c r="O81" i="29" s="1"/>
  <c r="V81" i="29"/>
  <c r="X81" i="29" s="1"/>
  <c r="P81" i="29"/>
  <c r="R81" i="29" s="1"/>
  <c r="Y81" i="29"/>
  <c r="AA81" i="29" s="1"/>
  <c r="I83" i="29"/>
  <c r="J83" i="29" s="1"/>
  <c r="S36" i="31" l="1"/>
  <c r="U36" i="31" s="1"/>
  <c r="M36" i="31"/>
  <c r="O36" i="31" s="1"/>
  <c r="V36" i="31"/>
  <c r="X36" i="31" s="1"/>
  <c r="P36" i="31"/>
  <c r="R36" i="31" s="1"/>
  <c r="L36" i="31"/>
  <c r="Y36" i="31"/>
  <c r="AA36" i="31" s="1"/>
  <c r="I38" i="31"/>
  <c r="J38" i="31" s="1"/>
  <c r="L82" i="29"/>
  <c r="V82" i="29"/>
  <c r="X82" i="29" s="1"/>
  <c r="P82" i="29"/>
  <c r="R82" i="29" s="1"/>
  <c r="Y82" i="29"/>
  <c r="AA82" i="29" s="1"/>
  <c r="M82" i="29"/>
  <c r="O82" i="29" s="1"/>
  <c r="S82" i="29"/>
  <c r="U82" i="29" s="1"/>
  <c r="I84" i="29"/>
  <c r="J84" i="29" s="1"/>
  <c r="M65" i="29"/>
  <c r="O65" i="29" s="1"/>
  <c r="V65" i="29"/>
  <c r="X65" i="29" s="1"/>
  <c r="S65" i="29"/>
  <c r="U65" i="29" s="1"/>
  <c r="Y65" i="29"/>
  <c r="AA65" i="29" s="1"/>
  <c r="P65" i="29"/>
  <c r="R65" i="29" s="1"/>
  <c r="L65" i="29"/>
  <c r="Y66" i="29"/>
  <c r="AA66" i="29" s="1"/>
  <c r="P66" i="29"/>
  <c r="R66" i="29" s="1"/>
  <c r="S66" i="29"/>
  <c r="U66" i="29" s="1"/>
  <c r="V66" i="29"/>
  <c r="X66" i="29" s="1"/>
  <c r="M66" i="29"/>
  <c r="O66" i="29" s="1"/>
  <c r="L66" i="29"/>
  <c r="I39" i="31" l="1"/>
  <c r="J39" i="31" s="1"/>
  <c r="P37" i="31"/>
  <c r="R37" i="31" s="1"/>
  <c r="L37" i="31"/>
  <c r="Y37" i="31"/>
  <c r="AA37" i="31" s="1"/>
  <c r="S37" i="31"/>
  <c r="U37" i="31" s="1"/>
  <c r="M37" i="31"/>
  <c r="O37" i="31" s="1"/>
  <c r="V37" i="31"/>
  <c r="X37" i="31" s="1"/>
  <c r="L83" i="29"/>
  <c r="V83" i="29"/>
  <c r="X83" i="29" s="1"/>
  <c r="S83" i="29"/>
  <c r="U83" i="29" s="1"/>
  <c r="M83" i="29"/>
  <c r="O83" i="29" s="1"/>
  <c r="P83" i="29"/>
  <c r="R83" i="29" s="1"/>
  <c r="Y83" i="29"/>
  <c r="AA83" i="29" s="1"/>
  <c r="I85" i="29"/>
  <c r="J85" i="29" s="1"/>
  <c r="I40" i="31" l="1"/>
  <c r="J40" i="31" s="1"/>
  <c r="S38" i="31"/>
  <c r="U38" i="31" s="1"/>
  <c r="P38" i="31"/>
  <c r="R38" i="31" s="1"/>
  <c r="Y38" i="31"/>
  <c r="AA38" i="31" s="1"/>
  <c r="M38" i="31"/>
  <c r="O38" i="31" s="1"/>
  <c r="L38" i="31"/>
  <c r="V38" i="31"/>
  <c r="X38" i="31" s="1"/>
  <c r="V84" i="29"/>
  <c r="X84" i="29" s="1"/>
  <c r="Y84" i="29"/>
  <c r="AA84" i="29" s="1"/>
  <c r="P84" i="29"/>
  <c r="R84" i="29" s="1"/>
  <c r="S84" i="29"/>
  <c r="U84" i="29" s="1"/>
  <c r="M84" i="29"/>
  <c r="O84" i="29" s="1"/>
  <c r="L84" i="29"/>
  <c r="I86" i="29"/>
  <c r="J86" i="29" s="1"/>
  <c r="M68" i="29"/>
  <c r="O68" i="29" s="1"/>
  <c r="Y68" i="29"/>
  <c r="AA68" i="29" s="1"/>
  <c r="P68" i="29"/>
  <c r="R68" i="29" s="1"/>
  <c r="S68" i="29"/>
  <c r="U68" i="29" s="1"/>
  <c r="L68" i="29"/>
  <c r="V68" i="29"/>
  <c r="X68" i="29" s="1"/>
  <c r="L67" i="29"/>
  <c r="V67" i="29"/>
  <c r="X67" i="29" s="1"/>
  <c r="M67" i="29"/>
  <c r="O67" i="29" s="1"/>
  <c r="S67" i="29"/>
  <c r="U67" i="29" s="1"/>
  <c r="P67" i="29"/>
  <c r="R67" i="29" s="1"/>
  <c r="Y67" i="29"/>
  <c r="AA67" i="29" s="1"/>
  <c r="I41" i="31" l="1"/>
  <c r="J41" i="31" s="1"/>
  <c r="P39" i="31"/>
  <c r="R39" i="31" s="1"/>
  <c r="S39" i="31"/>
  <c r="U39" i="31" s="1"/>
  <c r="M39" i="31"/>
  <c r="O39" i="31" s="1"/>
  <c r="V39" i="31"/>
  <c r="X39" i="31" s="1"/>
  <c r="L39" i="31"/>
  <c r="Y39" i="31"/>
  <c r="AA39" i="31" s="1"/>
  <c r="S85" i="29"/>
  <c r="U85" i="29" s="1"/>
  <c r="V85" i="29"/>
  <c r="X85" i="29" s="1"/>
  <c r="P85" i="29"/>
  <c r="R85" i="29" s="1"/>
  <c r="Y85" i="29"/>
  <c r="AA85" i="29" s="1"/>
  <c r="M85" i="29"/>
  <c r="O85" i="29" s="1"/>
  <c r="L85" i="29"/>
  <c r="I87" i="29"/>
  <c r="J87" i="29" s="1"/>
  <c r="I42" i="31" l="1"/>
  <c r="J42" i="31" s="1"/>
  <c r="S40" i="31"/>
  <c r="U40" i="31" s="1"/>
  <c r="M40" i="31"/>
  <c r="O40" i="31" s="1"/>
  <c r="V40" i="31"/>
  <c r="X40" i="31" s="1"/>
  <c r="P40" i="31"/>
  <c r="R40" i="31" s="1"/>
  <c r="L40" i="31"/>
  <c r="Y40" i="31"/>
  <c r="AA40" i="31" s="1"/>
  <c r="S86" i="29"/>
  <c r="U86" i="29" s="1"/>
  <c r="P86" i="29"/>
  <c r="R86" i="29" s="1"/>
  <c r="Y86" i="29"/>
  <c r="AA86" i="29" s="1"/>
  <c r="M86" i="29"/>
  <c r="O86" i="29" s="1"/>
  <c r="V86" i="29"/>
  <c r="X86" i="29" s="1"/>
  <c r="L86" i="29"/>
  <c r="I88" i="29"/>
  <c r="J88" i="29" s="1"/>
  <c r="V69" i="29"/>
  <c r="X69" i="29" s="1"/>
  <c r="P69" i="29"/>
  <c r="R69" i="29" s="1"/>
  <c r="M69" i="29"/>
  <c r="O69" i="29" s="1"/>
  <c r="Y69" i="29"/>
  <c r="AA69" i="29" s="1"/>
  <c r="L69" i="29"/>
  <c r="S69" i="29"/>
  <c r="U69" i="29" s="1"/>
  <c r="L70" i="29"/>
  <c r="M70" i="29"/>
  <c r="O70" i="29" s="1"/>
  <c r="P70" i="29"/>
  <c r="R70" i="29" s="1"/>
  <c r="V70" i="29"/>
  <c r="X70" i="29" s="1"/>
  <c r="Y70" i="29"/>
  <c r="AA70" i="29" s="1"/>
  <c r="S70" i="29"/>
  <c r="U70" i="29" s="1"/>
  <c r="I43" i="31" l="1"/>
  <c r="J43" i="31" s="1"/>
  <c r="P41" i="31"/>
  <c r="R41" i="31" s="1"/>
  <c r="L41" i="31"/>
  <c r="Y41" i="31"/>
  <c r="AA41" i="31" s="1"/>
  <c r="M41" i="31"/>
  <c r="O41" i="31" s="1"/>
  <c r="S41" i="31"/>
  <c r="U41" i="31" s="1"/>
  <c r="V41" i="31"/>
  <c r="X41" i="31" s="1"/>
  <c r="V87" i="29"/>
  <c r="X87" i="29" s="1"/>
  <c r="Y87" i="29"/>
  <c r="AA87" i="29" s="1"/>
  <c r="M87" i="29"/>
  <c r="O87" i="29" s="1"/>
  <c r="P87" i="29"/>
  <c r="R87" i="29" s="1"/>
  <c r="S87" i="29"/>
  <c r="U87" i="29" s="1"/>
  <c r="L87" i="29"/>
  <c r="I89" i="29"/>
  <c r="J89" i="29" s="1"/>
  <c r="I44" i="31" l="1"/>
  <c r="J44" i="31" s="1"/>
  <c r="S42" i="31"/>
  <c r="U42" i="31" s="1"/>
  <c r="M42" i="31"/>
  <c r="O42" i="31" s="1"/>
  <c r="V42" i="31"/>
  <c r="X42" i="31" s="1"/>
  <c r="P42" i="31"/>
  <c r="R42" i="31" s="1"/>
  <c r="L42" i="31"/>
  <c r="Y42" i="31"/>
  <c r="AA42" i="31" s="1"/>
  <c r="Y88" i="29"/>
  <c r="AA88" i="29" s="1"/>
  <c r="L88" i="29"/>
  <c r="V88" i="29"/>
  <c r="X88" i="29" s="1"/>
  <c r="P88" i="29"/>
  <c r="R88" i="29" s="1"/>
  <c r="M88" i="29"/>
  <c r="O88" i="29" s="1"/>
  <c r="S88" i="29"/>
  <c r="U88" i="29" s="1"/>
  <c r="I90" i="29"/>
  <c r="J90" i="29" s="1"/>
  <c r="M71" i="29"/>
  <c r="O71" i="29" s="1"/>
  <c r="L71" i="29"/>
  <c r="S71" i="29"/>
  <c r="U71" i="29" s="1"/>
  <c r="Y71" i="29"/>
  <c r="AA71" i="29" s="1"/>
  <c r="V71" i="29"/>
  <c r="X71" i="29" s="1"/>
  <c r="P71" i="29"/>
  <c r="R71" i="29" s="1"/>
  <c r="S72" i="29"/>
  <c r="U72" i="29" s="1"/>
  <c r="M72" i="29"/>
  <c r="O72" i="29" s="1"/>
  <c r="V72" i="29"/>
  <c r="X72" i="29" s="1"/>
  <c r="Y72" i="29"/>
  <c r="AA72" i="29" s="1"/>
  <c r="P72" i="29"/>
  <c r="R72" i="29" s="1"/>
  <c r="L72" i="29"/>
  <c r="I45" i="31" l="1"/>
  <c r="J45" i="31" s="1"/>
  <c r="V43" i="31"/>
  <c r="X43" i="31" s="1"/>
  <c r="P43" i="31"/>
  <c r="R43" i="31" s="1"/>
  <c r="L43" i="31"/>
  <c r="S43" i="31"/>
  <c r="U43" i="31" s="1"/>
  <c r="M43" i="31"/>
  <c r="O43" i="31" s="1"/>
  <c r="Y43" i="31"/>
  <c r="AA43" i="31" s="1"/>
  <c r="L89" i="29"/>
  <c r="M89" i="29"/>
  <c r="O89" i="29" s="1"/>
  <c r="Y89" i="29"/>
  <c r="AA89" i="29" s="1"/>
  <c r="S89" i="29"/>
  <c r="U89" i="29" s="1"/>
  <c r="P89" i="29"/>
  <c r="R89" i="29" s="1"/>
  <c r="V89" i="29"/>
  <c r="X89" i="29" s="1"/>
  <c r="I91" i="29"/>
  <c r="J91" i="29" s="1"/>
  <c r="I46" i="31" l="1"/>
  <c r="J46" i="31" s="1"/>
  <c r="L44" i="31"/>
  <c r="Y44" i="31"/>
  <c r="AA44" i="31" s="1"/>
  <c r="S44" i="31"/>
  <c r="U44" i="31" s="1"/>
  <c r="M44" i="31"/>
  <c r="O44" i="31" s="1"/>
  <c r="V44" i="31"/>
  <c r="X44" i="31" s="1"/>
  <c r="P44" i="31"/>
  <c r="R44" i="31" s="1"/>
  <c r="P90" i="29"/>
  <c r="R90" i="29" s="1"/>
  <c r="V90" i="29"/>
  <c r="X90" i="29" s="1"/>
  <c r="Y90" i="29"/>
  <c r="AA90" i="29" s="1"/>
  <c r="S90" i="29"/>
  <c r="U90" i="29" s="1"/>
  <c r="L90" i="29"/>
  <c r="M90" i="29"/>
  <c r="O90" i="29" s="1"/>
  <c r="I92" i="29"/>
  <c r="J92" i="29" s="1"/>
  <c r="Y74" i="29"/>
  <c r="AA74" i="29" s="1"/>
  <c r="L74" i="29"/>
  <c r="S74" i="29"/>
  <c r="U74" i="29" s="1"/>
  <c r="P74" i="29"/>
  <c r="R74" i="29" s="1"/>
  <c r="M74" i="29"/>
  <c r="O74" i="29" s="1"/>
  <c r="V74" i="29"/>
  <c r="X74" i="29" s="1"/>
  <c r="P73" i="29"/>
  <c r="R73" i="29" s="1"/>
  <c r="V73" i="29"/>
  <c r="X73" i="29" s="1"/>
  <c r="L73" i="29"/>
  <c r="M73" i="29"/>
  <c r="O73" i="29" s="1"/>
  <c r="S73" i="29"/>
  <c r="U73" i="29" s="1"/>
  <c r="Y73" i="29"/>
  <c r="AA73" i="29" s="1"/>
  <c r="L45" i="31" l="1"/>
  <c r="Y45" i="31"/>
  <c r="AA45" i="31" s="1"/>
  <c r="S45" i="31"/>
  <c r="U45" i="31" s="1"/>
  <c r="M45" i="31"/>
  <c r="O45" i="31" s="1"/>
  <c r="V45" i="31"/>
  <c r="X45" i="31" s="1"/>
  <c r="P45" i="31"/>
  <c r="R45" i="31" s="1"/>
  <c r="I47" i="31"/>
  <c r="Y91" i="29"/>
  <c r="AA91" i="29" s="1"/>
  <c r="V91" i="29"/>
  <c r="X91" i="29" s="1"/>
  <c r="M91" i="29"/>
  <c r="O91" i="29" s="1"/>
  <c r="S91" i="29"/>
  <c r="U91" i="29" s="1"/>
  <c r="P91" i="29"/>
  <c r="R91" i="29" s="1"/>
  <c r="L91" i="29"/>
  <c r="I93" i="29"/>
  <c r="J93" i="29" s="1"/>
  <c r="L46" i="31" l="1"/>
  <c r="Y46" i="31"/>
  <c r="AA46" i="31" s="1"/>
  <c r="S46" i="31"/>
  <c r="U46" i="31" s="1"/>
  <c r="M46" i="31"/>
  <c r="O46" i="31" s="1"/>
  <c r="V46" i="31"/>
  <c r="X46" i="31" s="1"/>
  <c r="P46" i="31"/>
  <c r="R46" i="31" s="1"/>
  <c r="I48" i="31"/>
  <c r="J48" i="31" s="1"/>
  <c r="Y92" i="29"/>
  <c r="AA92" i="29" s="1"/>
  <c r="L92" i="29"/>
  <c r="M92" i="29"/>
  <c r="O92" i="29" s="1"/>
  <c r="S92" i="29"/>
  <c r="U92" i="29" s="1"/>
  <c r="P92" i="29"/>
  <c r="R92" i="29" s="1"/>
  <c r="V92" i="29"/>
  <c r="X92" i="29" s="1"/>
  <c r="I94" i="29"/>
  <c r="J94" i="29" s="1"/>
  <c r="V75" i="29"/>
  <c r="X75" i="29" s="1"/>
  <c r="P75" i="29"/>
  <c r="R75" i="29" s="1"/>
  <c r="S75" i="29"/>
  <c r="U75" i="29" s="1"/>
  <c r="L75" i="29"/>
  <c r="M75" i="29"/>
  <c r="O75" i="29" s="1"/>
  <c r="Y75" i="29"/>
  <c r="AA75" i="29" s="1"/>
  <c r="P76" i="29"/>
  <c r="R76" i="29" s="1"/>
  <c r="S76" i="29"/>
  <c r="U76" i="29" s="1"/>
  <c r="V76" i="29"/>
  <c r="X76" i="29" s="1"/>
  <c r="L76" i="29"/>
  <c r="M76" i="29"/>
  <c r="O76" i="29" s="1"/>
  <c r="Y76" i="29"/>
  <c r="AA76" i="29" s="1"/>
  <c r="I49" i="31" l="1"/>
  <c r="J49" i="31" s="1"/>
  <c r="M93" i="29"/>
  <c r="O93" i="29" s="1"/>
  <c r="L93" i="29"/>
  <c r="S93" i="29"/>
  <c r="U93" i="29" s="1"/>
  <c r="V93" i="29"/>
  <c r="X93" i="29" s="1"/>
  <c r="Y93" i="29"/>
  <c r="AA93" i="29" s="1"/>
  <c r="P93" i="29"/>
  <c r="R93" i="29" s="1"/>
  <c r="I95" i="29"/>
  <c r="J95" i="29" s="1"/>
  <c r="L48" i="31" l="1"/>
  <c r="Y48" i="31"/>
  <c r="AA48" i="31" s="1"/>
  <c r="S48" i="31"/>
  <c r="U48" i="31" s="1"/>
  <c r="M48" i="31"/>
  <c r="O48" i="31" s="1"/>
  <c r="V48" i="31"/>
  <c r="X48" i="31" s="1"/>
  <c r="P48" i="31"/>
  <c r="R48" i="31" s="1"/>
  <c r="I50" i="31"/>
  <c r="J50" i="31" s="1"/>
  <c r="V94" i="29"/>
  <c r="X94" i="29" s="1"/>
  <c r="L94" i="29"/>
  <c r="Y94" i="29"/>
  <c r="AA94" i="29" s="1"/>
  <c r="P94" i="29"/>
  <c r="R94" i="29" s="1"/>
  <c r="S94" i="29"/>
  <c r="U94" i="29" s="1"/>
  <c r="M94" i="29"/>
  <c r="O94" i="29" s="1"/>
  <c r="I96" i="29"/>
  <c r="J96" i="29" s="1"/>
  <c r="Y49" i="31" l="1"/>
  <c r="AA49" i="31" s="1"/>
  <c r="S49" i="31"/>
  <c r="U49" i="31" s="1"/>
  <c r="M49" i="31"/>
  <c r="O49" i="31" s="1"/>
  <c r="V49" i="31"/>
  <c r="X49" i="31" s="1"/>
  <c r="P49" i="31"/>
  <c r="R49" i="31" s="1"/>
  <c r="L49" i="31"/>
  <c r="I51" i="31"/>
  <c r="J51" i="31" s="1"/>
  <c r="P95" i="29"/>
  <c r="R95" i="29" s="1"/>
  <c r="V95" i="29"/>
  <c r="X95" i="29" s="1"/>
  <c r="S95" i="29"/>
  <c r="U95" i="29" s="1"/>
  <c r="L95" i="29"/>
  <c r="Y95" i="29"/>
  <c r="AA95" i="29" s="1"/>
  <c r="M95" i="29"/>
  <c r="O95" i="29" s="1"/>
  <c r="I97" i="29"/>
  <c r="J97" i="29" s="1"/>
  <c r="P50" i="31" l="1"/>
  <c r="R50" i="31" s="1"/>
  <c r="L50" i="31"/>
  <c r="Y50" i="31"/>
  <c r="AA50" i="31" s="1"/>
  <c r="V50" i="31"/>
  <c r="X50" i="31" s="1"/>
  <c r="S50" i="31"/>
  <c r="U50" i="31" s="1"/>
  <c r="M50" i="31"/>
  <c r="O50" i="31" s="1"/>
  <c r="I52" i="31"/>
  <c r="J52" i="31" s="1"/>
  <c r="P96" i="29"/>
  <c r="R96" i="29" s="1"/>
  <c r="S96" i="29"/>
  <c r="U96" i="29" s="1"/>
  <c r="M96" i="29"/>
  <c r="O96" i="29" s="1"/>
  <c r="Y96" i="29"/>
  <c r="AA96" i="29" s="1"/>
  <c r="V96" i="29"/>
  <c r="X96" i="29" s="1"/>
  <c r="L96" i="29"/>
  <c r="I98" i="29"/>
  <c r="J98" i="29" s="1"/>
  <c r="P51" i="31" l="1"/>
  <c r="R51" i="31" s="1"/>
  <c r="L51" i="31"/>
  <c r="Y51" i="31"/>
  <c r="AA51" i="31" s="1"/>
  <c r="S51" i="31"/>
  <c r="U51" i="31" s="1"/>
  <c r="M51" i="31"/>
  <c r="O51" i="31" s="1"/>
  <c r="V51" i="31"/>
  <c r="X51" i="31" s="1"/>
  <c r="I53" i="31"/>
  <c r="J53" i="31" s="1"/>
  <c r="L97" i="29"/>
  <c r="Y97" i="29"/>
  <c r="AA97" i="29" s="1"/>
  <c r="S97" i="29"/>
  <c r="U97" i="29" s="1"/>
  <c r="P97" i="29"/>
  <c r="R97" i="29" s="1"/>
  <c r="V97" i="29"/>
  <c r="X97" i="29" s="1"/>
  <c r="M97" i="29"/>
  <c r="O97" i="29" s="1"/>
  <c r="I99" i="29"/>
  <c r="J99" i="29" s="1"/>
  <c r="I54" i="31" l="1"/>
  <c r="J54" i="31" s="1"/>
  <c r="M52" i="31"/>
  <c r="O52" i="31" s="1"/>
  <c r="V52" i="31"/>
  <c r="X52" i="31" s="1"/>
  <c r="P52" i="31"/>
  <c r="R52" i="31" s="1"/>
  <c r="L52" i="31"/>
  <c r="Y52" i="31"/>
  <c r="AA52" i="31" s="1"/>
  <c r="S52" i="31"/>
  <c r="U52" i="31" s="1"/>
  <c r="Y98" i="29"/>
  <c r="AA98" i="29" s="1"/>
  <c r="S98" i="29"/>
  <c r="U98" i="29" s="1"/>
  <c r="M98" i="29"/>
  <c r="O98" i="29" s="1"/>
  <c r="V98" i="29"/>
  <c r="X98" i="29" s="1"/>
  <c r="P98" i="29"/>
  <c r="R98" i="29" s="1"/>
  <c r="L98" i="29"/>
  <c r="I100" i="29"/>
  <c r="J100" i="29" s="1"/>
  <c r="Y53" i="31" l="1"/>
  <c r="AA53" i="31" s="1"/>
  <c r="S53" i="31"/>
  <c r="U53" i="31" s="1"/>
  <c r="M53" i="31"/>
  <c r="O53" i="31" s="1"/>
  <c r="V53" i="31"/>
  <c r="X53" i="31" s="1"/>
  <c r="P53" i="31"/>
  <c r="R53" i="31" s="1"/>
  <c r="L53" i="31"/>
  <c r="I55" i="31"/>
  <c r="J55" i="31" s="1"/>
  <c r="Y99" i="29"/>
  <c r="AA99" i="29" s="1"/>
  <c r="L99" i="29"/>
  <c r="S99" i="29"/>
  <c r="U99" i="29" s="1"/>
  <c r="P99" i="29"/>
  <c r="R99" i="29" s="1"/>
  <c r="M99" i="29"/>
  <c r="O99" i="29" s="1"/>
  <c r="V99" i="29"/>
  <c r="X99" i="29" s="1"/>
  <c r="I101" i="29"/>
  <c r="J101" i="29" s="1"/>
  <c r="V54" i="31" l="1"/>
  <c r="X54" i="31" s="1"/>
  <c r="P54" i="31"/>
  <c r="R54" i="31" s="1"/>
  <c r="L54" i="31"/>
  <c r="Y54" i="31"/>
  <c r="AA54" i="31" s="1"/>
  <c r="S54" i="31"/>
  <c r="U54" i="31" s="1"/>
  <c r="M54" i="31"/>
  <c r="O54" i="31" s="1"/>
  <c r="I56" i="31"/>
  <c r="J56" i="31" s="1"/>
  <c r="L100" i="29"/>
  <c r="P100" i="29"/>
  <c r="R100" i="29" s="1"/>
  <c r="S100" i="29"/>
  <c r="U100" i="29" s="1"/>
  <c r="M100" i="29"/>
  <c r="O100" i="29" s="1"/>
  <c r="V100" i="29"/>
  <c r="X100" i="29" s="1"/>
  <c r="Y100" i="29"/>
  <c r="AA100" i="29" s="1"/>
  <c r="I102" i="29"/>
  <c r="J102" i="29" s="1"/>
  <c r="Y55" i="31" l="1"/>
  <c r="AA55" i="31" s="1"/>
  <c r="S55" i="31"/>
  <c r="U55" i="31" s="1"/>
  <c r="M55" i="31"/>
  <c r="O55" i="31" s="1"/>
  <c r="V55" i="31"/>
  <c r="X55" i="31" s="1"/>
  <c r="P55" i="31"/>
  <c r="R55" i="31" s="1"/>
  <c r="L55" i="31"/>
  <c r="I57" i="31"/>
  <c r="J57" i="31" s="1"/>
  <c r="Y101" i="29"/>
  <c r="AA101" i="29" s="1"/>
  <c r="M101" i="29"/>
  <c r="O101" i="29" s="1"/>
  <c r="P101" i="29"/>
  <c r="R101" i="29" s="1"/>
  <c r="S101" i="29"/>
  <c r="U101" i="29" s="1"/>
  <c r="L101" i="29"/>
  <c r="V101" i="29"/>
  <c r="X101" i="29" s="1"/>
  <c r="I103" i="29"/>
  <c r="J103" i="29" s="1"/>
  <c r="V56" i="31" l="1"/>
  <c r="X56" i="31" s="1"/>
  <c r="P56" i="31"/>
  <c r="R56" i="31" s="1"/>
  <c r="L56" i="31"/>
  <c r="Y56" i="31"/>
  <c r="AA56" i="31" s="1"/>
  <c r="S56" i="31"/>
  <c r="U56" i="31" s="1"/>
  <c r="M56" i="31"/>
  <c r="O56" i="31" s="1"/>
  <c r="I58" i="31"/>
  <c r="J58" i="31" s="1"/>
  <c r="L102" i="29"/>
  <c r="S102" i="29"/>
  <c r="U102" i="29" s="1"/>
  <c r="Y102" i="29"/>
  <c r="AA102" i="29" s="1"/>
  <c r="M102" i="29"/>
  <c r="O102" i="29" s="1"/>
  <c r="V102" i="29"/>
  <c r="X102" i="29" s="1"/>
  <c r="P102" i="29"/>
  <c r="R102" i="29" s="1"/>
  <c r="I104" i="29"/>
  <c r="J104" i="29" s="1"/>
  <c r="Y57" i="31" l="1"/>
  <c r="AA57" i="31" s="1"/>
  <c r="S57" i="31"/>
  <c r="U57" i="31" s="1"/>
  <c r="M57" i="31"/>
  <c r="O57" i="31" s="1"/>
  <c r="V57" i="31"/>
  <c r="X57" i="31" s="1"/>
  <c r="P57" i="31"/>
  <c r="R57" i="31" s="1"/>
  <c r="L57" i="31"/>
  <c r="I59" i="31"/>
  <c r="V103" i="29"/>
  <c r="X103" i="29" s="1"/>
  <c r="P103" i="29"/>
  <c r="R103" i="29" s="1"/>
  <c r="Y103" i="29"/>
  <c r="AA103" i="29" s="1"/>
  <c r="S103" i="29"/>
  <c r="U103" i="29" s="1"/>
  <c r="M103" i="29"/>
  <c r="O103" i="29" s="1"/>
  <c r="L103" i="29"/>
  <c r="I105" i="29"/>
  <c r="J105" i="29" s="1"/>
  <c r="V58" i="31" l="1"/>
  <c r="X58" i="31" s="1"/>
  <c r="P58" i="31"/>
  <c r="R58" i="31" s="1"/>
  <c r="L58" i="31"/>
  <c r="Y58" i="31"/>
  <c r="AA58" i="31" s="1"/>
  <c r="S58" i="31"/>
  <c r="U58" i="31" s="1"/>
  <c r="M58" i="31"/>
  <c r="O58" i="31" s="1"/>
  <c r="I60" i="31"/>
  <c r="J60" i="31" s="1"/>
  <c r="S104" i="29"/>
  <c r="U104" i="29" s="1"/>
  <c r="M104" i="29"/>
  <c r="O104" i="29" s="1"/>
  <c r="P104" i="29"/>
  <c r="R104" i="29" s="1"/>
  <c r="Y104" i="29"/>
  <c r="AA104" i="29" s="1"/>
  <c r="V104" i="29"/>
  <c r="X104" i="29" s="1"/>
  <c r="L104" i="29"/>
  <c r="I106" i="29"/>
  <c r="J106" i="29" s="1"/>
  <c r="I61" i="31" l="1"/>
  <c r="J61" i="31" s="1"/>
  <c r="L105" i="29"/>
  <c r="P105" i="29"/>
  <c r="R105" i="29" s="1"/>
  <c r="S105" i="29"/>
  <c r="U105" i="29" s="1"/>
  <c r="Y105" i="29"/>
  <c r="AA105" i="29" s="1"/>
  <c r="M105" i="29"/>
  <c r="O105" i="29" s="1"/>
  <c r="V105" i="29"/>
  <c r="X105" i="29" s="1"/>
  <c r="I107" i="29"/>
  <c r="J107" i="29" s="1"/>
  <c r="V60" i="31" l="1"/>
  <c r="X60" i="31" s="1"/>
  <c r="P60" i="31"/>
  <c r="R60" i="31" s="1"/>
  <c r="L60" i="31"/>
  <c r="Y60" i="31"/>
  <c r="AA60" i="31" s="1"/>
  <c r="S60" i="31"/>
  <c r="U60" i="31" s="1"/>
  <c r="M60" i="31"/>
  <c r="O60" i="31" s="1"/>
  <c r="I62" i="31"/>
  <c r="J62" i="31" s="1"/>
  <c r="V106" i="29"/>
  <c r="X106" i="29" s="1"/>
  <c r="P106" i="29"/>
  <c r="R106" i="29" s="1"/>
  <c r="Y106" i="29"/>
  <c r="AA106" i="29" s="1"/>
  <c r="M106" i="29"/>
  <c r="O106" i="29" s="1"/>
  <c r="L106" i="29"/>
  <c r="S106" i="29"/>
  <c r="U106" i="29" s="1"/>
  <c r="I108" i="29"/>
  <c r="J108" i="29" s="1"/>
  <c r="Y61" i="31" l="1"/>
  <c r="AA61" i="31" s="1"/>
  <c r="S61" i="31"/>
  <c r="U61" i="31" s="1"/>
  <c r="M61" i="31"/>
  <c r="O61" i="31" s="1"/>
  <c r="V61" i="31"/>
  <c r="X61" i="31" s="1"/>
  <c r="P61" i="31"/>
  <c r="R61" i="31" s="1"/>
  <c r="L61" i="31"/>
  <c r="I63" i="31"/>
  <c r="J63" i="31" s="1"/>
  <c r="P107" i="29"/>
  <c r="R107" i="29" s="1"/>
  <c r="V107" i="29"/>
  <c r="X107" i="29" s="1"/>
  <c r="L107" i="29"/>
  <c r="S107" i="29"/>
  <c r="U107" i="29" s="1"/>
  <c r="M107" i="29"/>
  <c r="O107" i="29" s="1"/>
  <c r="Y107" i="29"/>
  <c r="AA107" i="29" s="1"/>
  <c r="I109" i="29"/>
  <c r="J109" i="29" s="1"/>
  <c r="V62" i="31" l="1"/>
  <c r="X62" i="31" s="1"/>
  <c r="P62" i="31"/>
  <c r="R62" i="31" s="1"/>
  <c r="L62" i="31"/>
  <c r="Y62" i="31"/>
  <c r="AA62" i="31" s="1"/>
  <c r="S62" i="31"/>
  <c r="U62" i="31" s="1"/>
  <c r="M62" i="31"/>
  <c r="O62" i="31" s="1"/>
  <c r="I64" i="31"/>
  <c r="J64" i="31" s="1"/>
  <c r="Y108" i="29"/>
  <c r="AA108" i="29" s="1"/>
  <c r="M108" i="29"/>
  <c r="O108" i="29" s="1"/>
  <c r="L108" i="29"/>
  <c r="V108" i="29"/>
  <c r="X108" i="29" s="1"/>
  <c r="S108" i="29"/>
  <c r="U108" i="29" s="1"/>
  <c r="P108" i="29"/>
  <c r="R108" i="29" s="1"/>
  <c r="I110" i="29"/>
  <c r="J110" i="29" s="1"/>
  <c r="Y63" i="31" l="1"/>
  <c r="AA63" i="31" s="1"/>
  <c r="S63" i="31"/>
  <c r="U63" i="31" s="1"/>
  <c r="M63" i="31"/>
  <c r="O63" i="31" s="1"/>
  <c r="V63" i="31"/>
  <c r="X63" i="31" s="1"/>
  <c r="P63" i="31"/>
  <c r="R63" i="31" s="1"/>
  <c r="L63" i="31"/>
  <c r="I65" i="31"/>
  <c r="J65" i="31" s="1"/>
  <c r="P109" i="29"/>
  <c r="R109" i="29" s="1"/>
  <c r="S109" i="29"/>
  <c r="U109" i="29" s="1"/>
  <c r="L109" i="29"/>
  <c r="Y109" i="29"/>
  <c r="AA109" i="29" s="1"/>
  <c r="M109" i="29"/>
  <c r="O109" i="29" s="1"/>
  <c r="V109" i="29"/>
  <c r="X109" i="29" s="1"/>
  <c r="I111" i="29"/>
  <c r="J111" i="29" s="1"/>
  <c r="V64" i="31" l="1"/>
  <c r="X64" i="31" s="1"/>
  <c r="P64" i="31"/>
  <c r="R64" i="31" s="1"/>
  <c r="L64" i="31"/>
  <c r="Y64" i="31"/>
  <c r="AA64" i="31" s="1"/>
  <c r="S64" i="31"/>
  <c r="U64" i="31" s="1"/>
  <c r="M64" i="31"/>
  <c r="O64" i="31" s="1"/>
  <c r="I66" i="31"/>
  <c r="J66" i="31" s="1"/>
  <c r="P110" i="29"/>
  <c r="R110" i="29" s="1"/>
  <c r="S110" i="29"/>
  <c r="U110" i="29" s="1"/>
  <c r="L110" i="29"/>
  <c r="Y110" i="29"/>
  <c r="AA110" i="29" s="1"/>
  <c r="M110" i="29"/>
  <c r="O110" i="29" s="1"/>
  <c r="V110" i="29"/>
  <c r="X110" i="29" s="1"/>
  <c r="I112" i="29"/>
  <c r="J112" i="29" s="1"/>
  <c r="Y65" i="31" l="1"/>
  <c r="AA65" i="31" s="1"/>
  <c r="S65" i="31"/>
  <c r="U65" i="31" s="1"/>
  <c r="M65" i="31"/>
  <c r="O65" i="31" s="1"/>
  <c r="V65" i="31"/>
  <c r="X65" i="31" s="1"/>
  <c r="P65" i="31"/>
  <c r="R65" i="31" s="1"/>
  <c r="L65" i="31"/>
  <c r="I67" i="31"/>
  <c r="J67" i="31" s="1"/>
  <c r="Y111" i="29"/>
  <c r="AA111" i="29" s="1"/>
  <c r="S111" i="29"/>
  <c r="U111" i="29" s="1"/>
  <c r="M111" i="29"/>
  <c r="O111" i="29" s="1"/>
  <c r="P111" i="29"/>
  <c r="R111" i="29" s="1"/>
  <c r="V111" i="29"/>
  <c r="X111" i="29" s="1"/>
  <c r="L111" i="29"/>
  <c r="I113" i="29"/>
  <c r="J113" i="29" s="1"/>
  <c r="V66" i="31" l="1"/>
  <c r="X66" i="31" s="1"/>
  <c r="P66" i="31"/>
  <c r="R66" i="31" s="1"/>
  <c r="L66" i="31"/>
  <c r="Y66" i="31"/>
  <c r="AA66" i="31" s="1"/>
  <c r="S66" i="31"/>
  <c r="U66" i="31" s="1"/>
  <c r="M66" i="31"/>
  <c r="O66" i="31" s="1"/>
  <c r="I68" i="31"/>
  <c r="J68" i="31" s="1"/>
  <c r="M112" i="29"/>
  <c r="O112" i="29" s="1"/>
  <c r="L112" i="29"/>
  <c r="V112" i="29"/>
  <c r="X112" i="29" s="1"/>
  <c r="S112" i="29"/>
  <c r="U112" i="29" s="1"/>
  <c r="P112" i="29"/>
  <c r="R112" i="29" s="1"/>
  <c r="Y112" i="29"/>
  <c r="AA112" i="29" s="1"/>
  <c r="I114" i="29"/>
  <c r="J114" i="29" s="1"/>
  <c r="Y67" i="31" l="1"/>
  <c r="AA67" i="31" s="1"/>
  <c r="S67" i="31"/>
  <c r="U67" i="31" s="1"/>
  <c r="M67" i="31"/>
  <c r="O67" i="31" s="1"/>
  <c r="V67" i="31"/>
  <c r="X67" i="31" s="1"/>
  <c r="P67" i="31"/>
  <c r="R67" i="31" s="1"/>
  <c r="L67" i="31"/>
  <c r="I69" i="31"/>
  <c r="J69" i="31" s="1"/>
  <c r="P113" i="29"/>
  <c r="R113" i="29" s="1"/>
  <c r="S113" i="29"/>
  <c r="U113" i="29" s="1"/>
  <c r="L113" i="29"/>
  <c r="M113" i="29"/>
  <c r="O113" i="29" s="1"/>
  <c r="Y113" i="29"/>
  <c r="AA113" i="29" s="1"/>
  <c r="V113" i="29"/>
  <c r="X113" i="29" s="1"/>
  <c r="I115" i="29"/>
  <c r="J115" i="29" s="1"/>
  <c r="V68" i="31" l="1"/>
  <c r="X68" i="31" s="1"/>
  <c r="P68" i="31"/>
  <c r="R68" i="31" s="1"/>
  <c r="L68" i="31"/>
  <c r="Y68" i="31"/>
  <c r="AA68" i="31" s="1"/>
  <c r="S68" i="31"/>
  <c r="U68" i="31" s="1"/>
  <c r="M68" i="31"/>
  <c r="O68" i="31" s="1"/>
  <c r="I70" i="31"/>
  <c r="J70" i="31" s="1"/>
  <c r="P114" i="29"/>
  <c r="R114" i="29" s="1"/>
  <c r="Y114" i="29"/>
  <c r="AA114" i="29" s="1"/>
  <c r="V114" i="29"/>
  <c r="X114" i="29" s="1"/>
  <c r="S114" i="29"/>
  <c r="U114" i="29" s="1"/>
  <c r="L114" i="29"/>
  <c r="M114" i="29"/>
  <c r="O114" i="29" s="1"/>
  <c r="I116" i="29"/>
  <c r="J116" i="29" s="1"/>
  <c r="Y69" i="31" l="1"/>
  <c r="AA69" i="31" s="1"/>
  <c r="S69" i="31"/>
  <c r="U69" i="31" s="1"/>
  <c r="M69" i="31"/>
  <c r="O69" i="31" s="1"/>
  <c r="V69" i="31"/>
  <c r="X69" i="31" s="1"/>
  <c r="P69" i="31"/>
  <c r="R69" i="31" s="1"/>
  <c r="L69" i="31"/>
  <c r="I71" i="31"/>
  <c r="L115" i="29"/>
  <c r="Y115" i="29"/>
  <c r="AA115" i="29" s="1"/>
  <c r="P115" i="29"/>
  <c r="R115" i="29" s="1"/>
  <c r="M115" i="29"/>
  <c r="O115" i="29" s="1"/>
  <c r="V115" i="29"/>
  <c r="X115" i="29" s="1"/>
  <c r="S115" i="29"/>
  <c r="U115" i="29" s="1"/>
  <c r="I117" i="29"/>
  <c r="J117" i="29" s="1"/>
  <c r="M70" i="31" l="1"/>
  <c r="O70" i="31" s="1"/>
  <c r="V70" i="31"/>
  <c r="X70" i="31" s="1"/>
  <c r="P70" i="31"/>
  <c r="R70" i="31" s="1"/>
  <c r="L70" i="31"/>
  <c r="Y70" i="31"/>
  <c r="AA70" i="31" s="1"/>
  <c r="S70" i="31"/>
  <c r="U70" i="31" s="1"/>
  <c r="I72" i="31"/>
  <c r="J72" i="31" s="1"/>
  <c r="M116" i="29"/>
  <c r="O116" i="29" s="1"/>
  <c r="L116" i="29"/>
  <c r="V116" i="29"/>
  <c r="X116" i="29" s="1"/>
  <c r="P116" i="29"/>
  <c r="R116" i="29" s="1"/>
  <c r="Y116" i="29"/>
  <c r="AA116" i="29" s="1"/>
  <c r="S116" i="29"/>
  <c r="U116" i="29" s="1"/>
  <c r="I118" i="29"/>
  <c r="J118" i="29" s="1"/>
  <c r="I73" i="31" l="1"/>
  <c r="J73" i="31" s="1"/>
  <c r="P117" i="29"/>
  <c r="R117" i="29" s="1"/>
  <c r="L117" i="29"/>
  <c r="M117" i="29"/>
  <c r="O117" i="29" s="1"/>
  <c r="V117" i="29"/>
  <c r="X117" i="29" s="1"/>
  <c r="S117" i="29"/>
  <c r="U117" i="29" s="1"/>
  <c r="Y117" i="29"/>
  <c r="AA117" i="29" s="1"/>
  <c r="I119" i="29"/>
  <c r="J119" i="29" s="1"/>
  <c r="V72" i="31" l="1"/>
  <c r="X72" i="31" s="1"/>
  <c r="P72" i="31"/>
  <c r="R72" i="31" s="1"/>
  <c r="L72" i="31"/>
  <c r="Y72" i="31"/>
  <c r="AA72" i="31" s="1"/>
  <c r="S72" i="31"/>
  <c r="U72" i="31" s="1"/>
  <c r="M72" i="31"/>
  <c r="O72" i="31" s="1"/>
  <c r="I74" i="31"/>
  <c r="J74" i="31" s="1"/>
  <c r="M118" i="29"/>
  <c r="O118" i="29" s="1"/>
  <c r="S118" i="29"/>
  <c r="U118" i="29" s="1"/>
  <c r="P118" i="29"/>
  <c r="R118" i="29" s="1"/>
  <c r="V118" i="29"/>
  <c r="X118" i="29" s="1"/>
  <c r="Y118" i="29"/>
  <c r="AA118" i="29" s="1"/>
  <c r="L118" i="29"/>
  <c r="I120" i="29"/>
  <c r="J120" i="29" s="1"/>
  <c r="Y73" i="31" l="1"/>
  <c r="AA73" i="31" s="1"/>
  <c r="S73" i="31"/>
  <c r="U73" i="31" s="1"/>
  <c r="M73" i="31"/>
  <c r="O73" i="31" s="1"/>
  <c r="V73" i="31"/>
  <c r="X73" i="31" s="1"/>
  <c r="P73" i="31"/>
  <c r="R73" i="31" s="1"/>
  <c r="L73" i="31"/>
  <c r="I75" i="31"/>
  <c r="J75" i="31" s="1"/>
  <c r="P119" i="29"/>
  <c r="R119" i="29" s="1"/>
  <c r="M119" i="29"/>
  <c r="O119" i="29" s="1"/>
  <c r="Y119" i="29"/>
  <c r="AA119" i="29" s="1"/>
  <c r="V119" i="29"/>
  <c r="X119" i="29" s="1"/>
  <c r="S119" i="29"/>
  <c r="U119" i="29" s="1"/>
  <c r="L119" i="29"/>
  <c r="I121" i="29"/>
  <c r="J121" i="29" s="1"/>
  <c r="V74" i="31" l="1"/>
  <c r="X74" i="31" s="1"/>
  <c r="P74" i="31"/>
  <c r="R74" i="31" s="1"/>
  <c r="L74" i="31"/>
  <c r="Y74" i="31"/>
  <c r="AA74" i="31" s="1"/>
  <c r="S74" i="31"/>
  <c r="U74" i="31" s="1"/>
  <c r="M74" i="31"/>
  <c r="O74" i="31" s="1"/>
  <c r="I76" i="31"/>
  <c r="J76" i="31" s="1"/>
  <c r="L120" i="29"/>
  <c r="P120" i="29"/>
  <c r="R120" i="29" s="1"/>
  <c r="V120" i="29"/>
  <c r="X120" i="29" s="1"/>
  <c r="Y120" i="29"/>
  <c r="AA120" i="29" s="1"/>
  <c r="S120" i="29"/>
  <c r="U120" i="29" s="1"/>
  <c r="M120" i="29"/>
  <c r="O120" i="29" s="1"/>
  <c r="I122" i="29"/>
  <c r="J122" i="29" s="1"/>
  <c r="Y75" i="31" l="1"/>
  <c r="AA75" i="31" s="1"/>
  <c r="P75" i="31"/>
  <c r="R75" i="31" s="1"/>
  <c r="L75" i="31"/>
  <c r="S75" i="31"/>
  <c r="U75" i="31" s="1"/>
  <c r="M75" i="31"/>
  <c r="O75" i="31" s="1"/>
  <c r="V75" i="31"/>
  <c r="X75" i="31" s="1"/>
  <c r="I77" i="31"/>
  <c r="J77" i="31" s="1"/>
  <c r="Y121" i="29"/>
  <c r="AA121" i="29" s="1"/>
  <c r="M121" i="29"/>
  <c r="O121" i="29" s="1"/>
  <c r="V121" i="29"/>
  <c r="X121" i="29" s="1"/>
  <c r="P121" i="29"/>
  <c r="R121" i="29" s="1"/>
  <c r="L121" i="29"/>
  <c r="S121" i="29"/>
  <c r="U121" i="29" s="1"/>
  <c r="I123" i="29"/>
  <c r="J123" i="29" s="1"/>
  <c r="V76" i="31" l="1"/>
  <c r="X76" i="31" s="1"/>
  <c r="Y76" i="31"/>
  <c r="AA76" i="31" s="1"/>
  <c r="P76" i="31"/>
  <c r="R76" i="31" s="1"/>
  <c r="L76" i="31"/>
  <c r="S76" i="31"/>
  <c r="U76" i="31" s="1"/>
  <c r="M76" i="31"/>
  <c r="O76" i="31" s="1"/>
  <c r="I78" i="31"/>
  <c r="J78" i="31" s="1"/>
  <c r="M122" i="29"/>
  <c r="O122" i="29" s="1"/>
  <c r="L122" i="29"/>
  <c r="Y122" i="29"/>
  <c r="AA122" i="29" s="1"/>
  <c r="P122" i="29"/>
  <c r="R122" i="29" s="1"/>
  <c r="S122" i="29"/>
  <c r="U122" i="29" s="1"/>
  <c r="V122" i="29"/>
  <c r="X122" i="29" s="1"/>
  <c r="I124" i="29"/>
  <c r="J124" i="29" s="1"/>
  <c r="I79" i="31" l="1"/>
  <c r="J79" i="31" s="1"/>
  <c r="Y77" i="31"/>
  <c r="AA77" i="31" s="1"/>
  <c r="S77" i="31"/>
  <c r="U77" i="31" s="1"/>
  <c r="M77" i="31"/>
  <c r="O77" i="31" s="1"/>
  <c r="V77" i="31"/>
  <c r="X77" i="31" s="1"/>
  <c r="L77" i="31"/>
  <c r="P77" i="31"/>
  <c r="R77" i="31" s="1"/>
  <c r="L123" i="29"/>
  <c r="Y123" i="29"/>
  <c r="AA123" i="29" s="1"/>
  <c r="V123" i="29"/>
  <c r="X123" i="29" s="1"/>
  <c r="M123" i="29"/>
  <c r="O123" i="29" s="1"/>
  <c r="S123" i="29"/>
  <c r="U123" i="29" s="1"/>
  <c r="P123" i="29"/>
  <c r="R123" i="29" s="1"/>
  <c r="I125" i="29"/>
  <c r="J125" i="29" s="1"/>
  <c r="V78" i="31" l="1"/>
  <c r="X78" i="31" s="1"/>
  <c r="L78" i="31"/>
  <c r="P78" i="31"/>
  <c r="R78" i="31" s="1"/>
  <c r="Y78" i="31"/>
  <c r="AA78" i="31" s="1"/>
  <c r="S78" i="31"/>
  <c r="U78" i="31" s="1"/>
  <c r="M78" i="31"/>
  <c r="O78" i="31" s="1"/>
  <c r="I80" i="31"/>
  <c r="J80" i="31" s="1"/>
  <c r="S124" i="29"/>
  <c r="U124" i="29" s="1"/>
  <c r="Y124" i="29"/>
  <c r="AA124" i="29" s="1"/>
  <c r="L124" i="29"/>
  <c r="V124" i="29"/>
  <c r="X124" i="29" s="1"/>
  <c r="M124" i="29"/>
  <c r="O124" i="29" s="1"/>
  <c r="P124" i="29"/>
  <c r="R124" i="29" s="1"/>
  <c r="I126" i="29"/>
  <c r="J126" i="29" s="1"/>
  <c r="Y79" i="31" l="1"/>
  <c r="AA79" i="31" s="1"/>
  <c r="S79" i="31"/>
  <c r="U79" i="31" s="1"/>
  <c r="M79" i="31"/>
  <c r="O79" i="31" s="1"/>
  <c r="V79" i="31"/>
  <c r="X79" i="31" s="1"/>
  <c r="P79" i="31"/>
  <c r="R79" i="31" s="1"/>
  <c r="L79" i="31"/>
  <c r="I81" i="31"/>
  <c r="J81" i="31" s="1"/>
  <c r="M125" i="29"/>
  <c r="O125" i="29" s="1"/>
  <c r="L125" i="29"/>
  <c r="Y125" i="29"/>
  <c r="AA125" i="29" s="1"/>
  <c r="V125" i="29"/>
  <c r="X125" i="29" s="1"/>
  <c r="P125" i="29"/>
  <c r="R125" i="29" s="1"/>
  <c r="S125" i="29"/>
  <c r="U125" i="29" s="1"/>
  <c r="I127" i="29"/>
  <c r="J127" i="29" s="1"/>
  <c r="S80" i="31" l="1"/>
  <c r="U80" i="31" s="1"/>
  <c r="M80" i="31"/>
  <c r="O80" i="31" s="1"/>
  <c r="V80" i="31"/>
  <c r="X80" i="31" s="1"/>
  <c r="P80" i="31"/>
  <c r="R80" i="31" s="1"/>
  <c r="L80" i="31"/>
  <c r="Y80" i="31"/>
  <c r="AA80" i="31" s="1"/>
  <c r="I82" i="31"/>
  <c r="J82" i="31" s="1"/>
  <c r="Y126" i="29"/>
  <c r="AA126" i="29" s="1"/>
  <c r="P126" i="29"/>
  <c r="R126" i="29" s="1"/>
  <c r="V126" i="29"/>
  <c r="X126" i="29" s="1"/>
  <c r="L126" i="29"/>
  <c r="M126" i="29"/>
  <c r="O126" i="29" s="1"/>
  <c r="S126" i="29"/>
  <c r="U126" i="29" s="1"/>
  <c r="I128" i="29"/>
  <c r="J128" i="29" s="1"/>
  <c r="I83" i="31" l="1"/>
  <c r="L81" i="31"/>
  <c r="Y81" i="31"/>
  <c r="AA81" i="31" s="1"/>
  <c r="S81" i="31"/>
  <c r="U81" i="31" s="1"/>
  <c r="M81" i="31"/>
  <c r="O81" i="31" s="1"/>
  <c r="V81" i="31"/>
  <c r="X81" i="31" s="1"/>
  <c r="P81" i="31"/>
  <c r="R81" i="31" s="1"/>
  <c r="V127" i="29"/>
  <c r="X127" i="29" s="1"/>
  <c r="Y127" i="29"/>
  <c r="AA127" i="29" s="1"/>
  <c r="M127" i="29"/>
  <c r="O127" i="29" s="1"/>
  <c r="S127" i="29"/>
  <c r="U127" i="29" s="1"/>
  <c r="P127" i="29"/>
  <c r="R127" i="29" s="1"/>
  <c r="L127" i="29"/>
  <c r="I129" i="29"/>
  <c r="J129" i="29" s="1"/>
  <c r="M82" i="31" l="1"/>
  <c r="O82" i="31" s="1"/>
  <c r="P82" i="31"/>
  <c r="R82" i="31" s="1"/>
  <c r="L82" i="31"/>
  <c r="V82" i="31"/>
  <c r="X82" i="31" s="1"/>
  <c r="Y82" i="31"/>
  <c r="AA82" i="31" s="1"/>
  <c r="S82" i="31"/>
  <c r="U82" i="31" s="1"/>
  <c r="I84" i="31"/>
  <c r="J84" i="31" s="1"/>
  <c r="P128" i="29"/>
  <c r="R128" i="29" s="1"/>
  <c r="L128" i="29"/>
  <c r="M128" i="29"/>
  <c r="O128" i="29" s="1"/>
  <c r="V128" i="29"/>
  <c r="X128" i="29" s="1"/>
  <c r="S128" i="29"/>
  <c r="U128" i="29" s="1"/>
  <c r="Y128" i="29"/>
  <c r="AA128" i="29" s="1"/>
  <c r="I130" i="29"/>
  <c r="J130" i="29" s="1"/>
  <c r="I85" i="31" l="1"/>
  <c r="J85" i="31" s="1"/>
  <c r="M129" i="29"/>
  <c r="O129" i="29" s="1"/>
  <c r="P129" i="29"/>
  <c r="R129" i="29" s="1"/>
  <c r="S129" i="29"/>
  <c r="U129" i="29" s="1"/>
  <c r="V129" i="29"/>
  <c r="X129" i="29" s="1"/>
  <c r="L129" i="29"/>
  <c r="Y129" i="29"/>
  <c r="AA129" i="29" s="1"/>
  <c r="I131" i="29"/>
  <c r="J131" i="29" s="1"/>
  <c r="M84" i="31" l="1"/>
  <c r="O84" i="31" s="1"/>
  <c r="V84" i="31"/>
  <c r="X84" i="31" s="1"/>
  <c r="P84" i="31"/>
  <c r="R84" i="31" s="1"/>
  <c r="L84" i="31"/>
  <c r="Y84" i="31"/>
  <c r="AA84" i="31" s="1"/>
  <c r="S84" i="31"/>
  <c r="U84" i="31" s="1"/>
  <c r="I86" i="31"/>
  <c r="J86" i="31" s="1"/>
  <c r="V130" i="29"/>
  <c r="X130" i="29" s="1"/>
  <c r="P130" i="29"/>
  <c r="R130" i="29" s="1"/>
  <c r="S130" i="29"/>
  <c r="U130" i="29" s="1"/>
  <c r="L130" i="29"/>
  <c r="M130" i="29"/>
  <c r="O130" i="29" s="1"/>
  <c r="Y130" i="29"/>
  <c r="AA130" i="29" s="1"/>
  <c r="I132" i="29"/>
  <c r="J132" i="29" s="1"/>
  <c r="L85" i="31" l="1"/>
  <c r="Y85" i="31"/>
  <c r="AA85" i="31" s="1"/>
  <c r="S85" i="31"/>
  <c r="U85" i="31" s="1"/>
  <c r="M85" i="31"/>
  <c r="O85" i="31" s="1"/>
  <c r="V85" i="31"/>
  <c r="X85" i="31" s="1"/>
  <c r="P85" i="31"/>
  <c r="R85" i="31" s="1"/>
  <c r="I87" i="31"/>
  <c r="J87" i="31" s="1"/>
  <c r="Y131" i="29"/>
  <c r="AA131" i="29" s="1"/>
  <c r="L131" i="29"/>
  <c r="M131" i="29"/>
  <c r="O131" i="29" s="1"/>
  <c r="V131" i="29"/>
  <c r="X131" i="29" s="1"/>
  <c r="S131" i="29"/>
  <c r="U131" i="29" s="1"/>
  <c r="P131" i="29"/>
  <c r="R131" i="29" s="1"/>
  <c r="I133" i="29"/>
  <c r="J133" i="29" s="1"/>
  <c r="I88" i="31" l="1"/>
  <c r="J88" i="31" s="1"/>
  <c r="P86" i="31"/>
  <c r="R86" i="31" s="1"/>
  <c r="L86" i="31"/>
  <c r="Y86" i="31"/>
  <c r="AA86" i="31" s="1"/>
  <c r="S86" i="31"/>
  <c r="U86" i="31" s="1"/>
  <c r="M86" i="31"/>
  <c r="O86" i="31" s="1"/>
  <c r="V86" i="31"/>
  <c r="X86" i="31" s="1"/>
  <c r="P132" i="29"/>
  <c r="R132" i="29" s="1"/>
  <c r="M132" i="29"/>
  <c r="O132" i="29" s="1"/>
  <c r="S132" i="29"/>
  <c r="U132" i="29" s="1"/>
  <c r="L132" i="29"/>
  <c r="V132" i="29"/>
  <c r="X132" i="29" s="1"/>
  <c r="Y132" i="29"/>
  <c r="AA132" i="29" s="1"/>
  <c r="I134" i="29"/>
  <c r="J134" i="29" s="1"/>
  <c r="S87" i="31" l="1"/>
  <c r="U87" i="31" s="1"/>
  <c r="M87" i="31"/>
  <c r="O87" i="31" s="1"/>
  <c r="V87" i="31"/>
  <c r="X87" i="31" s="1"/>
  <c r="P87" i="31"/>
  <c r="R87" i="31" s="1"/>
  <c r="L87" i="31"/>
  <c r="Y87" i="31"/>
  <c r="AA87" i="31" s="1"/>
  <c r="I89" i="31"/>
  <c r="J89" i="31" s="1"/>
  <c r="L133" i="29"/>
  <c r="P133" i="29"/>
  <c r="R133" i="29" s="1"/>
  <c r="Y133" i="29"/>
  <c r="AA133" i="29" s="1"/>
  <c r="M133" i="29"/>
  <c r="O133" i="29" s="1"/>
  <c r="S133" i="29"/>
  <c r="U133" i="29" s="1"/>
  <c r="V133" i="29"/>
  <c r="X133" i="29" s="1"/>
  <c r="I135" i="29"/>
  <c r="J135" i="29" s="1"/>
  <c r="P88" i="31" l="1"/>
  <c r="R88" i="31" s="1"/>
  <c r="L88" i="31"/>
  <c r="Y88" i="31"/>
  <c r="AA88" i="31" s="1"/>
  <c r="S88" i="31"/>
  <c r="U88" i="31" s="1"/>
  <c r="M88" i="31"/>
  <c r="O88" i="31" s="1"/>
  <c r="V88" i="31"/>
  <c r="X88" i="31" s="1"/>
  <c r="I90" i="31"/>
  <c r="J90" i="31" s="1"/>
  <c r="P134" i="29"/>
  <c r="R134" i="29" s="1"/>
  <c r="V134" i="29"/>
  <c r="X134" i="29" s="1"/>
  <c r="M134" i="29"/>
  <c r="O134" i="29" s="1"/>
  <c r="Y134" i="29"/>
  <c r="AA134" i="29" s="1"/>
  <c r="S134" i="29"/>
  <c r="U134" i="29" s="1"/>
  <c r="L134" i="29"/>
  <c r="I136" i="29"/>
  <c r="J136" i="29" s="1"/>
  <c r="S89" i="31" l="1"/>
  <c r="U89" i="31" s="1"/>
  <c r="M89" i="31"/>
  <c r="O89" i="31" s="1"/>
  <c r="V89" i="31"/>
  <c r="X89" i="31" s="1"/>
  <c r="P89" i="31"/>
  <c r="R89" i="31" s="1"/>
  <c r="Y89" i="31"/>
  <c r="AA89" i="31" s="1"/>
  <c r="L89" i="31"/>
  <c r="I91" i="31"/>
  <c r="J91" i="31" s="1"/>
  <c r="Y135" i="29"/>
  <c r="AA135" i="29" s="1"/>
  <c r="L135" i="29"/>
  <c r="V135" i="29"/>
  <c r="X135" i="29" s="1"/>
  <c r="S135" i="29"/>
  <c r="U135" i="29" s="1"/>
  <c r="P135" i="29"/>
  <c r="R135" i="29" s="1"/>
  <c r="M135" i="29"/>
  <c r="O135" i="29" s="1"/>
  <c r="I137" i="29"/>
  <c r="J137" i="29" s="1"/>
  <c r="P90" i="31" l="1"/>
  <c r="R90" i="31" s="1"/>
  <c r="L90" i="31"/>
  <c r="Y90" i="31"/>
  <c r="AA90" i="31" s="1"/>
  <c r="S90" i="31"/>
  <c r="U90" i="31" s="1"/>
  <c r="M90" i="31"/>
  <c r="O90" i="31" s="1"/>
  <c r="V90" i="31"/>
  <c r="X90" i="31" s="1"/>
  <c r="I92" i="31"/>
  <c r="J92" i="31" s="1"/>
  <c r="L136" i="29"/>
  <c r="Y136" i="29"/>
  <c r="AA136" i="29" s="1"/>
  <c r="M136" i="29"/>
  <c r="O136" i="29" s="1"/>
  <c r="V136" i="29"/>
  <c r="X136" i="29" s="1"/>
  <c r="P136" i="29"/>
  <c r="R136" i="29" s="1"/>
  <c r="S136" i="29"/>
  <c r="U136" i="29" s="1"/>
  <c r="I138" i="29"/>
  <c r="J138" i="29" s="1"/>
  <c r="L91" i="31" l="1"/>
  <c r="Y91" i="31"/>
  <c r="AA91" i="31" s="1"/>
  <c r="S91" i="31"/>
  <c r="U91" i="31" s="1"/>
  <c r="M91" i="31"/>
  <c r="O91" i="31" s="1"/>
  <c r="V91" i="31"/>
  <c r="X91" i="31" s="1"/>
  <c r="P91" i="31"/>
  <c r="R91" i="31" s="1"/>
  <c r="I93" i="31"/>
  <c r="J93" i="31" s="1"/>
  <c r="Y137" i="29"/>
  <c r="AA137" i="29" s="1"/>
  <c r="L137" i="29"/>
  <c r="V137" i="29"/>
  <c r="X137" i="29" s="1"/>
  <c r="P137" i="29"/>
  <c r="R137" i="29" s="1"/>
  <c r="M137" i="29"/>
  <c r="O137" i="29" s="1"/>
  <c r="S137" i="29"/>
  <c r="U137" i="29" s="1"/>
  <c r="I139" i="29"/>
  <c r="J139" i="29" s="1"/>
  <c r="P92" i="31" l="1"/>
  <c r="R92" i="31" s="1"/>
  <c r="L92" i="31"/>
  <c r="Y92" i="31"/>
  <c r="AA92" i="31" s="1"/>
  <c r="S92" i="31"/>
  <c r="U92" i="31" s="1"/>
  <c r="M92" i="31"/>
  <c r="O92" i="31" s="1"/>
  <c r="V92" i="31"/>
  <c r="X92" i="31" s="1"/>
  <c r="I94" i="31"/>
  <c r="J94" i="31" s="1"/>
  <c r="L138" i="29"/>
  <c r="M138" i="29"/>
  <c r="O138" i="29" s="1"/>
  <c r="P138" i="29"/>
  <c r="R138" i="29" s="1"/>
  <c r="S138" i="29"/>
  <c r="U138" i="29" s="1"/>
  <c r="V138" i="29"/>
  <c r="X138" i="29" s="1"/>
  <c r="Y138" i="29"/>
  <c r="AA138" i="29" s="1"/>
  <c r="I140" i="29"/>
  <c r="J140" i="29" s="1"/>
  <c r="S93" i="31" l="1"/>
  <c r="U93" i="31" s="1"/>
  <c r="M93" i="31"/>
  <c r="O93" i="31" s="1"/>
  <c r="V93" i="31"/>
  <c r="X93" i="31" s="1"/>
  <c r="P93" i="31"/>
  <c r="R93" i="31" s="1"/>
  <c r="L93" i="31"/>
  <c r="Y93" i="31"/>
  <c r="AA93" i="31" s="1"/>
  <c r="I95" i="31"/>
  <c r="V139" i="29"/>
  <c r="X139" i="29" s="1"/>
  <c r="M139" i="29"/>
  <c r="O139" i="29" s="1"/>
  <c r="S139" i="29"/>
  <c r="U139" i="29" s="1"/>
  <c r="Y139" i="29"/>
  <c r="AA139" i="29" s="1"/>
  <c r="L139" i="29"/>
  <c r="P139" i="29"/>
  <c r="R139" i="29" s="1"/>
  <c r="I141" i="29"/>
  <c r="J141" i="29" s="1"/>
  <c r="P94" i="31" l="1"/>
  <c r="R94" i="31" s="1"/>
  <c r="L94" i="31"/>
  <c r="Y94" i="31"/>
  <c r="AA94" i="31" s="1"/>
  <c r="S94" i="31"/>
  <c r="U94" i="31" s="1"/>
  <c r="M94" i="31"/>
  <c r="O94" i="31" s="1"/>
  <c r="V94" i="31"/>
  <c r="X94" i="31" s="1"/>
  <c r="I96" i="31"/>
  <c r="J96" i="31" s="1"/>
  <c r="V140" i="29"/>
  <c r="X140" i="29" s="1"/>
  <c r="Y140" i="29"/>
  <c r="AA140" i="29" s="1"/>
  <c r="L140" i="29"/>
  <c r="P140" i="29"/>
  <c r="R140" i="29" s="1"/>
  <c r="M140" i="29"/>
  <c r="O140" i="29" s="1"/>
  <c r="S140" i="29"/>
  <c r="U140" i="29" s="1"/>
  <c r="I142" i="29"/>
  <c r="J142" i="29" s="1"/>
  <c r="I97" i="31" l="1"/>
  <c r="S141" i="29"/>
  <c r="U141" i="29" s="1"/>
  <c r="L141" i="29"/>
  <c r="P141" i="29"/>
  <c r="R141" i="29" s="1"/>
  <c r="Y141" i="29"/>
  <c r="AA141" i="29" s="1"/>
  <c r="M141" i="29"/>
  <c r="O141" i="29" s="1"/>
  <c r="V141" i="29"/>
  <c r="X141" i="29" s="1"/>
  <c r="I143" i="29"/>
  <c r="J143" i="29" s="1"/>
  <c r="J97" i="31" l="1"/>
  <c r="J11" i="31"/>
  <c r="J23" i="31"/>
  <c r="J35" i="31"/>
  <c r="J47" i="31"/>
  <c r="J59" i="31"/>
  <c r="J71" i="31"/>
  <c r="J83" i="31"/>
  <c r="J95" i="31"/>
  <c r="Y96" i="31"/>
  <c r="AA96" i="31" s="1"/>
  <c r="S96" i="31"/>
  <c r="U96" i="31" s="1"/>
  <c r="M96" i="31"/>
  <c r="O96" i="31" s="1"/>
  <c r="V96" i="31"/>
  <c r="X96" i="31" s="1"/>
  <c r="P96" i="31"/>
  <c r="R96" i="31" s="1"/>
  <c r="L96" i="31"/>
  <c r="I98" i="31"/>
  <c r="J98" i="31" s="1"/>
  <c r="P142" i="29"/>
  <c r="R142" i="29" s="1"/>
  <c r="L142" i="29"/>
  <c r="Y142" i="29"/>
  <c r="AA142" i="29" s="1"/>
  <c r="M142" i="29"/>
  <c r="O142" i="29" s="1"/>
  <c r="V142" i="29"/>
  <c r="X142" i="29" s="1"/>
  <c r="S142" i="29"/>
  <c r="U142" i="29" s="1"/>
  <c r="I144" i="29"/>
  <c r="J144" i="29" s="1"/>
  <c r="S35" i="31" l="1"/>
  <c r="U35" i="31" s="1"/>
  <c r="V35" i="31"/>
  <c r="X35" i="31" s="1"/>
  <c r="P35" i="31"/>
  <c r="R35" i="31" s="1"/>
  <c r="L35" i="31"/>
  <c r="Y35" i="31"/>
  <c r="AA35" i="31" s="1"/>
  <c r="M35" i="31"/>
  <c r="O35" i="31" s="1"/>
  <c r="Y11" i="31"/>
  <c r="AA11" i="31" s="1"/>
  <c r="M11" i="31"/>
  <c r="O11" i="31" s="1"/>
  <c r="L11" i="31"/>
  <c r="V11" i="31"/>
  <c r="X11" i="31" s="1"/>
  <c r="S11" i="31"/>
  <c r="U11" i="31" s="1"/>
  <c r="P11" i="31"/>
  <c r="R11" i="31" s="1"/>
  <c r="V59" i="31"/>
  <c r="X59" i="31" s="1"/>
  <c r="Y59" i="31"/>
  <c r="AA59" i="31" s="1"/>
  <c r="P59" i="31"/>
  <c r="R59" i="31" s="1"/>
  <c r="S59" i="31"/>
  <c r="U59" i="31" s="1"/>
  <c r="L59" i="31"/>
  <c r="M59" i="31"/>
  <c r="O59" i="31" s="1"/>
  <c r="M47" i="31"/>
  <c r="O47" i="31" s="1"/>
  <c r="V47" i="31"/>
  <c r="X47" i="31" s="1"/>
  <c r="P47" i="31"/>
  <c r="R47" i="31" s="1"/>
  <c r="L47" i="31"/>
  <c r="S47" i="31"/>
  <c r="U47" i="31" s="1"/>
  <c r="Y47" i="31"/>
  <c r="AA47" i="31" s="1"/>
  <c r="S95" i="31"/>
  <c r="U95" i="31" s="1"/>
  <c r="M95" i="31"/>
  <c r="O95" i="31" s="1"/>
  <c r="V95" i="31"/>
  <c r="X95" i="31" s="1"/>
  <c r="P95" i="31"/>
  <c r="R95" i="31" s="1"/>
  <c r="L95" i="31"/>
  <c r="Y95" i="31"/>
  <c r="AA95" i="31" s="1"/>
  <c r="S23" i="31"/>
  <c r="U23" i="31" s="1"/>
  <c r="L23" i="31"/>
  <c r="V23" i="31"/>
  <c r="X23" i="31" s="1"/>
  <c r="Y23" i="31"/>
  <c r="AA23" i="31" s="1"/>
  <c r="M23" i="31"/>
  <c r="O23" i="31" s="1"/>
  <c r="P23" i="31"/>
  <c r="R23" i="31" s="1"/>
  <c r="S83" i="31"/>
  <c r="U83" i="31" s="1"/>
  <c r="M83" i="31"/>
  <c r="O83" i="31" s="1"/>
  <c r="V83" i="31"/>
  <c r="X83" i="31" s="1"/>
  <c r="P83" i="31"/>
  <c r="R83" i="31" s="1"/>
  <c r="Y83" i="31"/>
  <c r="AA83" i="31" s="1"/>
  <c r="L83" i="31"/>
  <c r="Y71" i="31"/>
  <c r="AA71" i="31" s="1"/>
  <c r="M71" i="31"/>
  <c r="O71" i="31" s="1"/>
  <c r="V71" i="31"/>
  <c r="X71" i="31" s="1"/>
  <c r="S71" i="31"/>
  <c r="U71" i="31" s="1"/>
  <c r="P71" i="31"/>
  <c r="R71" i="31" s="1"/>
  <c r="L71" i="31"/>
  <c r="P97" i="31"/>
  <c r="R97" i="31" s="1"/>
  <c r="L97" i="31"/>
  <c r="Y97" i="31"/>
  <c r="AA97" i="31" s="1"/>
  <c r="S97" i="31"/>
  <c r="U97" i="31" s="1"/>
  <c r="M97" i="31"/>
  <c r="O97" i="31" s="1"/>
  <c r="V97" i="31"/>
  <c r="X97" i="31" s="1"/>
  <c r="I99" i="31"/>
  <c r="J99" i="31" s="1"/>
  <c r="L143" i="29"/>
  <c r="S143" i="29"/>
  <c r="U143" i="29" s="1"/>
  <c r="Y143" i="29"/>
  <c r="AA143" i="29" s="1"/>
  <c r="V143" i="29"/>
  <c r="X143" i="29" s="1"/>
  <c r="P143" i="29"/>
  <c r="R143" i="29" s="1"/>
  <c r="M143" i="29"/>
  <c r="O143" i="29" s="1"/>
  <c r="I145" i="29"/>
  <c r="J145" i="29" s="1"/>
  <c r="I100" i="31" l="1"/>
  <c r="J100" i="31" s="1"/>
  <c r="P98" i="31"/>
  <c r="R98" i="31" s="1"/>
  <c r="L98" i="31"/>
  <c r="Y98" i="31"/>
  <c r="AA98" i="31" s="1"/>
  <c r="S98" i="31"/>
  <c r="U98" i="31" s="1"/>
  <c r="M98" i="31"/>
  <c r="O98" i="31" s="1"/>
  <c r="V98" i="31"/>
  <c r="X98" i="31" s="1"/>
  <c r="S144" i="29"/>
  <c r="U144" i="29" s="1"/>
  <c r="V144" i="29"/>
  <c r="X144" i="29" s="1"/>
  <c r="Y144" i="29"/>
  <c r="AA144" i="29" s="1"/>
  <c r="M144" i="29"/>
  <c r="O144" i="29" s="1"/>
  <c r="L144" i="29"/>
  <c r="P144" i="29"/>
  <c r="R144" i="29" s="1"/>
  <c r="I146" i="29"/>
  <c r="J146" i="29" s="1"/>
  <c r="S99" i="31" l="1"/>
  <c r="U99" i="31" s="1"/>
  <c r="M99" i="31"/>
  <c r="O99" i="31" s="1"/>
  <c r="V99" i="31"/>
  <c r="X99" i="31" s="1"/>
  <c r="P99" i="31"/>
  <c r="R99" i="31" s="1"/>
  <c r="L99" i="31"/>
  <c r="Y99" i="31"/>
  <c r="AA99" i="31" s="1"/>
  <c r="I101" i="31"/>
  <c r="J101" i="31" s="1"/>
  <c r="L145" i="29"/>
  <c r="M145" i="29"/>
  <c r="O145" i="29" s="1"/>
  <c r="P145" i="29"/>
  <c r="R145" i="29" s="1"/>
  <c r="S145" i="29"/>
  <c r="U145" i="29" s="1"/>
  <c r="V145" i="29"/>
  <c r="X145" i="29" s="1"/>
  <c r="Y145" i="29"/>
  <c r="AA145" i="29" s="1"/>
  <c r="I147" i="29"/>
  <c r="J147" i="29" s="1"/>
  <c r="Y100" i="31" l="1"/>
  <c r="AA100" i="31" s="1"/>
  <c r="M100" i="31"/>
  <c r="O100" i="31" s="1"/>
  <c r="V100" i="31"/>
  <c r="X100" i="31" s="1"/>
  <c r="L100" i="31"/>
  <c r="S100" i="31"/>
  <c r="U100" i="31" s="1"/>
  <c r="P100" i="31"/>
  <c r="R100" i="31" s="1"/>
  <c r="I102" i="31"/>
  <c r="J102" i="31" s="1"/>
  <c r="V146" i="29"/>
  <c r="X146" i="29" s="1"/>
  <c r="P146" i="29"/>
  <c r="R146" i="29" s="1"/>
  <c r="S146" i="29"/>
  <c r="U146" i="29" s="1"/>
  <c r="Y146" i="29"/>
  <c r="AA146" i="29" s="1"/>
  <c r="M146" i="29"/>
  <c r="O146" i="29" s="1"/>
  <c r="L146" i="29"/>
  <c r="I148" i="29"/>
  <c r="J148" i="29" s="1"/>
  <c r="P101" i="31" l="1"/>
  <c r="R101" i="31" s="1"/>
  <c r="Y101" i="31"/>
  <c r="AA101" i="31" s="1"/>
  <c r="S101" i="31"/>
  <c r="U101" i="31" s="1"/>
  <c r="L101" i="31"/>
  <c r="M101" i="31"/>
  <c r="O101" i="31" s="1"/>
  <c r="V101" i="31"/>
  <c r="X101" i="31" s="1"/>
  <c r="I103" i="31"/>
  <c r="J103" i="31" s="1"/>
  <c r="M147" i="29"/>
  <c r="O147" i="29" s="1"/>
  <c r="V147" i="29"/>
  <c r="X147" i="29" s="1"/>
  <c r="P147" i="29"/>
  <c r="R147" i="29" s="1"/>
  <c r="S147" i="29"/>
  <c r="U147" i="29" s="1"/>
  <c r="Y147" i="29"/>
  <c r="AA147" i="29" s="1"/>
  <c r="L147" i="29"/>
  <c r="I149" i="29"/>
  <c r="J149" i="29" s="1"/>
  <c r="I104" i="31" l="1"/>
  <c r="J104" i="31" s="1"/>
  <c r="P102" i="31"/>
  <c r="R102" i="31" s="1"/>
  <c r="L102" i="31"/>
  <c r="Y102" i="31"/>
  <c r="AA102" i="31" s="1"/>
  <c r="S102" i="31"/>
  <c r="U102" i="31" s="1"/>
  <c r="M102" i="31"/>
  <c r="O102" i="31" s="1"/>
  <c r="V102" i="31"/>
  <c r="X102" i="31" s="1"/>
  <c r="S148" i="29"/>
  <c r="U148" i="29" s="1"/>
  <c r="P148" i="29"/>
  <c r="R148" i="29" s="1"/>
  <c r="M148" i="29"/>
  <c r="O148" i="29" s="1"/>
  <c r="L148" i="29"/>
  <c r="Y148" i="29"/>
  <c r="AA148" i="29" s="1"/>
  <c r="V148" i="29"/>
  <c r="X148" i="29" s="1"/>
  <c r="I150" i="29"/>
  <c r="J150" i="29" s="1"/>
  <c r="L103" i="31" l="1"/>
  <c r="Y103" i="31"/>
  <c r="AA103" i="31" s="1"/>
  <c r="S103" i="31"/>
  <c r="U103" i="31" s="1"/>
  <c r="M103" i="31"/>
  <c r="O103" i="31" s="1"/>
  <c r="V103" i="31"/>
  <c r="X103" i="31" s="1"/>
  <c r="P103" i="31"/>
  <c r="R103" i="31" s="1"/>
  <c r="I105" i="31"/>
  <c r="J105" i="31" s="1"/>
  <c r="S149" i="29"/>
  <c r="U149" i="29" s="1"/>
  <c r="M149" i="29"/>
  <c r="O149" i="29" s="1"/>
  <c r="L149" i="29"/>
  <c r="Y149" i="29"/>
  <c r="AA149" i="29" s="1"/>
  <c r="V149" i="29"/>
  <c r="X149" i="29" s="1"/>
  <c r="P149" i="29"/>
  <c r="R149" i="29" s="1"/>
  <c r="I151" i="29"/>
  <c r="J151" i="29" s="1"/>
  <c r="P104" i="31" l="1"/>
  <c r="R104" i="31" s="1"/>
  <c r="L104" i="31"/>
  <c r="Y104" i="31"/>
  <c r="AA104" i="31" s="1"/>
  <c r="S104" i="31"/>
  <c r="U104" i="31" s="1"/>
  <c r="M104" i="31"/>
  <c r="O104" i="31" s="1"/>
  <c r="V104" i="31"/>
  <c r="X104" i="31" s="1"/>
  <c r="I106" i="31"/>
  <c r="J106" i="31" s="1"/>
  <c r="L150" i="29"/>
  <c r="V150" i="29"/>
  <c r="X150" i="29" s="1"/>
  <c r="Y150" i="29"/>
  <c r="AA150" i="29" s="1"/>
  <c r="S150" i="29"/>
  <c r="U150" i="29" s="1"/>
  <c r="P150" i="29"/>
  <c r="R150" i="29" s="1"/>
  <c r="M150" i="29"/>
  <c r="O150" i="29" s="1"/>
  <c r="I152" i="29"/>
  <c r="J152" i="29" s="1"/>
  <c r="P105" i="31" l="1"/>
  <c r="R105" i="31" s="1"/>
  <c r="L105" i="31"/>
  <c r="Y105" i="31"/>
  <c r="AA105" i="31" s="1"/>
  <c r="S105" i="31"/>
  <c r="U105" i="31" s="1"/>
  <c r="M105" i="31"/>
  <c r="O105" i="31" s="1"/>
  <c r="V105" i="31"/>
  <c r="X105" i="31" s="1"/>
  <c r="I107" i="31"/>
  <c r="J107" i="31" s="1"/>
  <c r="M151" i="29"/>
  <c r="O151" i="29" s="1"/>
  <c r="L151" i="29"/>
  <c r="Y151" i="29"/>
  <c r="AA151" i="29" s="1"/>
  <c r="V151" i="29"/>
  <c r="X151" i="29" s="1"/>
  <c r="S151" i="29"/>
  <c r="U151" i="29" s="1"/>
  <c r="P151" i="29"/>
  <c r="R151" i="29" s="1"/>
  <c r="I153" i="29"/>
  <c r="J153" i="29" s="1"/>
  <c r="S106" i="31" l="1"/>
  <c r="U106" i="31" s="1"/>
  <c r="M106" i="31"/>
  <c r="O106" i="31" s="1"/>
  <c r="V106" i="31"/>
  <c r="X106" i="31" s="1"/>
  <c r="P106" i="31"/>
  <c r="R106" i="31" s="1"/>
  <c r="L106" i="31"/>
  <c r="Y106" i="31"/>
  <c r="AA106" i="31" s="1"/>
  <c r="I108" i="31"/>
  <c r="J108" i="31" s="1"/>
  <c r="S152" i="29"/>
  <c r="U152" i="29" s="1"/>
  <c r="Y152" i="29"/>
  <c r="AA152" i="29" s="1"/>
  <c r="P152" i="29"/>
  <c r="R152" i="29" s="1"/>
  <c r="V152" i="29"/>
  <c r="X152" i="29" s="1"/>
  <c r="M152" i="29"/>
  <c r="O152" i="29" s="1"/>
  <c r="L152" i="29"/>
  <c r="I154" i="29"/>
  <c r="J154" i="29" s="1"/>
  <c r="P107" i="31" l="1"/>
  <c r="R107" i="31" s="1"/>
  <c r="L107" i="31"/>
  <c r="Y107" i="31"/>
  <c r="AA107" i="31" s="1"/>
  <c r="S107" i="31"/>
  <c r="U107" i="31" s="1"/>
  <c r="M107" i="31"/>
  <c r="O107" i="31" s="1"/>
  <c r="V107" i="31"/>
  <c r="X107" i="31" s="1"/>
  <c r="I109" i="31"/>
  <c r="J109" i="31" s="1"/>
  <c r="M153" i="29"/>
  <c r="O153" i="29" s="1"/>
  <c r="L153" i="29"/>
  <c r="V153" i="29"/>
  <c r="X153" i="29" s="1"/>
  <c r="P153" i="29"/>
  <c r="R153" i="29" s="1"/>
  <c r="Y153" i="29"/>
  <c r="AA153" i="29" s="1"/>
  <c r="S153" i="29"/>
  <c r="U153" i="29" s="1"/>
  <c r="I155" i="29"/>
  <c r="J155" i="29" s="1"/>
  <c r="S108" i="31" l="1"/>
  <c r="U108" i="31" s="1"/>
  <c r="M108" i="31"/>
  <c r="O108" i="31" s="1"/>
  <c r="V108" i="31"/>
  <c r="X108" i="31" s="1"/>
  <c r="P108" i="31"/>
  <c r="R108" i="31" s="1"/>
  <c r="L108" i="31"/>
  <c r="Y108" i="31"/>
  <c r="AA108" i="31" s="1"/>
  <c r="I110" i="31"/>
  <c r="J110" i="31" s="1"/>
  <c r="P154" i="29"/>
  <c r="R154" i="29" s="1"/>
  <c r="Y154" i="29"/>
  <c r="AA154" i="29" s="1"/>
  <c r="M154" i="29"/>
  <c r="O154" i="29" s="1"/>
  <c r="L154" i="29"/>
  <c r="V154" i="29"/>
  <c r="X154" i="29" s="1"/>
  <c r="S154" i="29"/>
  <c r="U154" i="29" s="1"/>
  <c r="I156" i="29"/>
  <c r="J156" i="29" s="1"/>
  <c r="P109" i="31" l="1"/>
  <c r="R109" i="31" s="1"/>
  <c r="L109" i="31"/>
  <c r="Y109" i="31"/>
  <c r="AA109" i="31" s="1"/>
  <c r="S109" i="31"/>
  <c r="U109" i="31" s="1"/>
  <c r="M109" i="31"/>
  <c r="O109" i="31" s="1"/>
  <c r="V109" i="31"/>
  <c r="X109" i="31" s="1"/>
  <c r="I111" i="31"/>
  <c r="J111" i="31" s="1"/>
  <c r="V155" i="29"/>
  <c r="X155" i="29" s="1"/>
  <c r="S155" i="29"/>
  <c r="U155" i="29" s="1"/>
  <c r="L155" i="29"/>
  <c r="M155" i="29"/>
  <c r="O155" i="29" s="1"/>
  <c r="Y155" i="29"/>
  <c r="AA155" i="29" s="1"/>
  <c r="P155" i="29"/>
  <c r="R155" i="29" s="1"/>
  <c r="I157" i="29"/>
  <c r="J157" i="29" s="1"/>
  <c r="S110" i="31" l="1"/>
  <c r="U110" i="31" s="1"/>
  <c r="M110" i="31"/>
  <c r="O110" i="31" s="1"/>
  <c r="V110" i="31"/>
  <c r="X110" i="31" s="1"/>
  <c r="P110" i="31"/>
  <c r="R110" i="31" s="1"/>
  <c r="L110" i="31"/>
  <c r="Y110" i="31"/>
  <c r="AA110" i="31" s="1"/>
  <c r="I112" i="31"/>
  <c r="J112" i="31" s="1"/>
  <c r="S156" i="29"/>
  <c r="U156" i="29" s="1"/>
  <c r="V156" i="29"/>
  <c r="X156" i="29" s="1"/>
  <c r="M156" i="29"/>
  <c r="O156" i="29" s="1"/>
  <c r="L156" i="29"/>
  <c r="P156" i="29"/>
  <c r="R156" i="29" s="1"/>
  <c r="Y156" i="29"/>
  <c r="AA156" i="29" s="1"/>
  <c r="I158" i="29"/>
  <c r="J158" i="29" s="1"/>
  <c r="P111" i="31" l="1"/>
  <c r="R111" i="31" s="1"/>
  <c r="L111" i="31"/>
  <c r="Y111" i="31"/>
  <c r="AA111" i="31" s="1"/>
  <c r="S111" i="31"/>
  <c r="U111" i="31" s="1"/>
  <c r="M111" i="31"/>
  <c r="O111" i="31" s="1"/>
  <c r="V111" i="31"/>
  <c r="X111" i="31" s="1"/>
  <c r="I113" i="31"/>
  <c r="J113" i="31" s="1"/>
  <c r="M157" i="29"/>
  <c r="O157" i="29" s="1"/>
  <c r="P157" i="29"/>
  <c r="R157" i="29" s="1"/>
  <c r="V157" i="29"/>
  <c r="X157" i="29" s="1"/>
  <c r="S157" i="29"/>
  <c r="U157" i="29" s="1"/>
  <c r="Y157" i="29"/>
  <c r="AA157" i="29" s="1"/>
  <c r="L157" i="29"/>
  <c r="I159" i="29"/>
  <c r="J159" i="29" s="1"/>
  <c r="S112" i="31" l="1"/>
  <c r="U112" i="31" s="1"/>
  <c r="M112" i="31"/>
  <c r="O112" i="31" s="1"/>
  <c r="V112" i="31"/>
  <c r="X112" i="31" s="1"/>
  <c r="P112" i="31"/>
  <c r="R112" i="31" s="1"/>
  <c r="L112" i="31"/>
  <c r="Y112" i="31"/>
  <c r="AA112" i="31" s="1"/>
  <c r="I114" i="31"/>
  <c r="J114" i="31" s="1"/>
  <c r="M158" i="29"/>
  <c r="O158" i="29" s="1"/>
  <c r="Y158" i="29"/>
  <c r="AA158" i="29" s="1"/>
  <c r="P158" i="29"/>
  <c r="R158" i="29" s="1"/>
  <c r="V158" i="29"/>
  <c r="X158" i="29" s="1"/>
  <c r="S158" i="29"/>
  <c r="U158" i="29" s="1"/>
  <c r="L158" i="29"/>
  <c r="I160" i="29"/>
  <c r="J160" i="29" s="1"/>
  <c r="M113" i="31" l="1"/>
  <c r="O113" i="31" s="1"/>
  <c r="V113" i="31"/>
  <c r="X113" i="31" s="1"/>
  <c r="P113" i="31"/>
  <c r="R113" i="31" s="1"/>
  <c r="L113" i="31"/>
  <c r="Y113" i="31"/>
  <c r="AA113" i="31" s="1"/>
  <c r="S113" i="31"/>
  <c r="U113" i="31" s="1"/>
  <c r="I115" i="31"/>
  <c r="J115" i="31" s="1"/>
  <c r="M159" i="29"/>
  <c r="O159" i="29" s="1"/>
  <c r="S159" i="29"/>
  <c r="U159" i="29" s="1"/>
  <c r="V159" i="29"/>
  <c r="X159" i="29" s="1"/>
  <c r="L159" i="29"/>
  <c r="P159" i="29"/>
  <c r="R159" i="29" s="1"/>
  <c r="Y159" i="29"/>
  <c r="AA159" i="29" s="1"/>
  <c r="I161" i="29"/>
  <c r="J161" i="29" s="1"/>
  <c r="S114" i="31" l="1"/>
  <c r="U114" i="31" s="1"/>
  <c r="M114" i="31"/>
  <c r="O114" i="31" s="1"/>
  <c r="V114" i="31"/>
  <c r="X114" i="31" s="1"/>
  <c r="P114" i="31"/>
  <c r="R114" i="31" s="1"/>
  <c r="L114" i="31"/>
  <c r="Y114" i="31"/>
  <c r="AA114" i="31" s="1"/>
  <c r="I116" i="31"/>
  <c r="J116" i="31" s="1"/>
  <c r="L160" i="29"/>
  <c r="V160" i="29"/>
  <c r="X160" i="29" s="1"/>
  <c r="Y160" i="29"/>
  <c r="AA160" i="29" s="1"/>
  <c r="S160" i="29"/>
  <c r="U160" i="29" s="1"/>
  <c r="M160" i="29"/>
  <c r="O160" i="29" s="1"/>
  <c r="P160" i="29"/>
  <c r="R160" i="29" s="1"/>
  <c r="I162" i="29"/>
  <c r="J162" i="29" s="1"/>
  <c r="P115" i="31" l="1"/>
  <c r="R115" i="31" s="1"/>
  <c r="L115" i="31"/>
  <c r="Y115" i="31"/>
  <c r="AA115" i="31" s="1"/>
  <c r="S115" i="31"/>
  <c r="U115" i="31" s="1"/>
  <c r="M115" i="31"/>
  <c r="O115" i="31" s="1"/>
  <c r="V115" i="31"/>
  <c r="X115" i="31" s="1"/>
  <c r="I117" i="31"/>
  <c r="J117" i="31" s="1"/>
  <c r="Y161" i="29"/>
  <c r="AA161" i="29" s="1"/>
  <c r="V161" i="29"/>
  <c r="X161" i="29" s="1"/>
  <c r="P161" i="29"/>
  <c r="R161" i="29" s="1"/>
  <c r="M161" i="29"/>
  <c r="O161" i="29" s="1"/>
  <c r="L161" i="29"/>
  <c r="S161" i="29"/>
  <c r="U161" i="29" s="1"/>
  <c r="I163" i="29"/>
  <c r="J163" i="29" s="1"/>
  <c r="S116" i="31" l="1"/>
  <c r="U116" i="31" s="1"/>
  <c r="M116" i="31"/>
  <c r="O116" i="31" s="1"/>
  <c r="V116" i="31"/>
  <c r="X116" i="31" s="1"/>
  <c r="P116" i="31"/>
  <c r="R116" i="31" s="1"/>
  <c r="L116" i="31"/>
  <c r="Y116" i="31"/>
  <c r="AA116" i="31" s="1"/>
  <c r="I118" i="31"/>
  <c r="J118" i="31" s="1"/>
  <c r="V162" i="29"/>
  <c r="X162" i="29" s="1"/>
  <c r="M162" i="29"/>
  <c r="O162" i="29" s="1"/>
  <c r="Y162" i="29"/>
  <c r="AA162" i="29" s="1"/>
  <c r="P162" i="29"/>
  <c r="R162" i="29" s="1"/>
  <c r="S162" i="29"/>
  <c r="U162" i="29" s="1"/>
  <c r="L162" i="29"/>
  <c r="I164" i="29"/>
  <c r="J164" i="29" s="1"/>
  <c r="P117" i="31" l="1"/>
  <c r="R117" i="31" s="1"/>
  <c r="L117" i="31"/>
  <c r="Y117" i="31"/>
  <c r="AA117" i="31" s="1"/>
  <c r="S117" i="31"/>
  <c r="U117" i="31" s="1"/>
  <c r="M117" i="31"/>
  <c r="O117" i="31" s="1"/>
  <c r="V117" i="31"/>
  <c r="X117" i="31" s="1"/>
  <c r="I119" i="31"/>
  <c r="J119" i="31" s="1"/>
  <c r="M163" i="29"/>
  <c r="O163" i="29" s="1"/>
  <c r="P163" i="29"/>
  <c r="R163" i="29" s="1"/>
  <c r="V163" i="29"/>
  <c r="X163" i="29" s="1"/>
  <c r="S163" i="29"/>
  <c r="U163" i="29" s="1"/>
  <c r="Y163" i="29"/>
  <c r="AA163" i="29" s="1"/>
  <c r="L163" i="29"/>
  <c r="I165" i="29"/>
  <c r="J165" i="29" s="1"/>
  <c r="G4" i="25"/>
  <c r="S118" i="31" l="1"/>
  <c r="U118" i="31" s="1"/>
  <c r="M118" i="31"/>
  <c r="O118" i="31" s="1"/>
  <c r="V118" i="31"/>
  <c r="X118" i="31" s="1"/>
  <c r="P118" i="31"/>
  <c r="R118" i="31" s="1"/>
  <c r="L118" i="31"/>
  <c r="Y118" i="31"/>
  <c r="AA118" i="31" s="1"/>
  <c r="I120" i="31"/>
  <c r="J120" i="31" s="1"/>
  <c r="M164" i="29"/>
  <c r="O164" i="29" s="1"/>
  <c r="Y164" i="29"/>
  <c r="AA164" i="29" s="1"/>
  <c r="L164" i="29"/>
  <c r="S164" i="29"/>
  <c r="U164" i="29" s="1"/>
  <c r="V164" i="29"/>
  <c r="X164" i="29" s="1"/>
  <c r="P164" i="29"/>
  <c r="R164" i="29" s="1"/>
  <c r="I166" i="29"/>
  <c r="J166" i="29" s="1"/>
  <c r="G5" i="25"/>
  <c r="P119" i="31" l="1"/>
  <c r="R119" i="31" s="1"/>
  <c r="L119" i="31"/>
  <c r="Y119" i="31"/>
  <c r="AA119" i="31" s="1"/>
  <c r="S119" i="31"/>
  <c r="U119" i="31" s="1"/>
  <c r="M119" i="31"/>
  <c r="O119" i="31" s="1"/>
  <c r="V119" i="31"/>
  <c r="X119" i="31" s="1"/>
  <c r="I121" i="31"/>
  <c r="J121" i="31" s="1"/>
  <c r="S165" i="29"/>
  <c r="U165" i="29" s="1"/>
  <c r="Y165" i="29"/>
  <c r="AA165" i="29" s="1"/>
  <c r="L165" i="29"/>
  <c r="P165" i="29"/>
  <c r="R165" i="29" s="1"/>
  <c r="V165" i="29"/>
  <c r="X165" i="29" s="1"/>
  <c r="M165" i="29"/>
  <c r="O165" i="29" s="1"/>
  <c r="I167" i="29"/>
  <c r="J167" i="29" s="1"/>
  <c r="G6" i="25"/>
  <c r="L120" i="31" l="1"/>
  <c r="Y120" i="31"/>
  <c r="AA120" i="31" s="1"/>
  <c r="S120" i="31"/>
  <c r="U120" i="31" s="1"/>
  <c r="M120" i="31"/>
  <c r="O120" i="31" s="1"/>
  <c r="V120" i="31"/>
  <c r="X120" i="31" s="1"/>
  <c r="P120" i="31"/>
  <c r="R120" i="31" s="1"/>
  <c r="I122" i="31"/>
  <c r="J122" i="31" s="1"/>
  <c r="M166" i="29"/>
  <c r="O166" i="29" s="1"/>
  <c r="L166" i="29"/>
  <c r="V166" i="29"/>
  <c r="X166" i="29" s="1"/>
  <c r="P166" i="29"/>
  <c r="R166" i="29" s="1"/>
  <c r="Y166" i="29"/>
  <c r="AA166" i="29" s="1"/>
  <c r="S166" i="29"/>
  <c r="U166" i="29" s="1"/>
  <c r="I168" i="29"/>
  <c r="J168" i="29" s="1"/>
  <c r="G7" i="25"/>
  <c r="S121" i="31" l="1"/>
  <c r="U121" i="31" s="1"/>
  <c r="M121" i="31"/>
  <c r="O121" i="31" s="1"/>
  <c r="V121" i="31"/>
  <c r="X121" i="31" s="1"/>
  <c r="P121" i="31"/>
  <c r="R121" i="31" s="1"/>
  <c r="L121" i="31"/>
  <c r="Y121" i="31"/>
  <c r="AA121" i="31" s="1"/>
  <c r="I123" i="31"/>
  <c r="J123" i="31" s="1"/>
  <c r="S167" i="29"/>
  <c r="U167" i="29" s="1"/>
  <c r="M167" i="29"/>
  <c r="O167" i="29" s="1"/>
  <c r="V167" i="29"/>
  <c r="X167" i="29" s="1"/>
  <c r="L167" i="29"/>
  <c r="Y167" i="29"/>
  <c r="AA167" i="29" s="1"/>
  <c r="P167" i="29"/>
  <c r="R167" i="29" s="1"/>
  <c r="I169" i="29"/>
  <c r="J169" i="29" s="1"/>
  <c r="G8" i="25"/>
  <c r="I124" i="31" l="1"/>
  <c r="J124" i="31" s="1"/>
  <c r="P122" i="31"/>
  <c r="R122" i="31" s="1"/>
  <c r="L122" i="31"/>
  <c r="Y122" i="31"/>
  <c r="AA122" i="31" s="1"/>
  <c r="S122" i="31"/>
  <c r="U122" i="31" s="1"/>
  <c r="M122" i="31"/>
  <c r="O122" i="31" s="1"/>
  <c r="V122" i="31"/>
  <c r="X122" i="31" s="1"/>
  <c r="P168" i="29"/>
  <c r="R168" i="29" s="1"/>
  <c r="L168" i="29"/>
  <c r="M168" i="29"/>
  <c r="O168" i="29" s="1"/>
  <c r="V168" i="29"/>
  <c r="X168" i="29" s="1"/>
  <c r="S168" i="29"/>
  <c r="U168" i="29" s="1"/>
  <c r="Y168" i="29"/>
  <c r="AA168" i="29" s="1"/>
  <c r="I170" i="29"/>
  <c r="J170" i="29" s="1"/>
  <c r="G9" i="25"/>
  <c r="I125" i="31" l="1"/>
  <c r="J125" i="31" s="1"/>
  <c r="S123" i="31"/>
  <c r="U123" i="31" s="1"/>
  <c r="M123" i="31"/>
  <c r="O123" i="31" s="1"/>
  <c r="V123" i="31"/>
  <c r="X123" i="31" s="1"/>
  <c r="P123" i="31"/>
  <c r="R123" i="31" s="1"/>
  <c r="L123" i="31"/>
  <c r="Y123" i="31"/>
  <c r="AA123" i="31" s="1"/>
  <c r="Y169" i="29"/>
  <c r="AA169" i="29" s="1"/>
  <c r="M169" i="29"/>
  <c r="O169" i="29" s="1"/>
  <c r="S169" i="29"/>
  <c r="U169" i="29" s="1"/>
  <c r="P169" i="29"/>
  <c r="R169" i="29" s="1"/>
  <c r="L169" i="29"/>
  <c r="V169" i="29"/>
  <c r="X169" i="29" s="1"/>
  <c r="I171" i="29"/>
  <c r="J171" i="29" s="1"/>
  <c r="G10" i="25"/>
  <c r="I126" i="31" l="1"/>
  <c r="J126" i="31" s="1"/>
  <c r="P124" i="31"/>
  <c r="R124" i="31" s="1"/>
  <c r="L124" i="31"/>
  <c r="Y124" i="31"/>
  <c r="AA124" i="31" s="1"/>
  <c r="S124" i="31"/>
  <c r="U124" i="31" s="1"/>
  <c r="M124" i="31"/>
  <c r="O124" i="31" s="1"/>
  <c r="V124" i="31"/>
  <c r="X124" i="31" s="1"/>
  <c r="Y170" i="29"/>
  <c r="AA170" i="29" s="1"/>
  <c r="M170" i="29"/>
  <c r="O170" i="29" s="1"/>
  <c r="S170" i="29"/>
  <c r="U170" i="29" s="1"/>
  <c r="V170" i="29"/>
  <c r="X170" i="29" s="1"/>
  <c r="P170" i="29"/>
  <c r="R170" i="29" s="1"/>
  <c r="L170" i="29"/>
  <c r="I172" i="29"/>
  <c r="J172" i="29" s="1"/>
  <c r="G11" i="25"/>
  <c r="I127" i="31" l="1"/>
  <c r="J127" i="31" s="1"/>
  <c r="S125" i="31"/>
  <c r="U125" i="31" s="1"/>
  <c r="M125" i="31"/>
  <c r="O125" i="31" s="1"/>
  <c r="V125" i="31"/>
  <c r="X125" i="31" s="1"/>
  <c r="P125" i="31"/>
  <c r="R125" i="31" s="1"/>
  <c r="L125" i="31"/>
  <c r="Y125" i="31"/>
  <c r="AA125" i="31" s="1"/>
  <c r="L171" i="29"/>
  <c r="M171" i="29"/>
  <c r="O171" i="29" s="1"/>
  <c r="V171" i="29"/>
  <c r="X171" i="29" s="1"/>
  <c r="Y171" i="29"/>
  <c r="AA171" i="29" s="1"/>
  <c r="S171" i="29"/>
  <c r="U171" i="29" s="1"/>
  <c r="P171" i="29"/>
  <c r="R171" i="29" s="1"/>
  <c r="I173" i="29"/>
  <c r="J173" i="29" s="1"/>
  <c r="G12" i="25"/>
  <c r="I128" i="31" l="1"/>
  <c r="J128" i="31" s="1"/>
  <c r="P126" i="31"/>
  <c r="R126" i="31" s="1"/>
  <c r="L126" i="31"/>
  <c r="Y126" i="31"/>
  <c r="AA126" i="31" s="1"/>
  <c r="S126" i="31"/>
  <c r="U126" i="31" s="1"/>
  <c r="M126" i="31"/>
  <c r="O126" i="31" s="1"/>
  <c r="V126" i="31"/>
  <c r="X126" i="31" s="1"/>
  <c r="M172" i="29"/>
  <c r="O172" i="29" s="1"/>
  <c r="Y172" i="29"/>
  <c r="AA172" i="29" s="1"/>
  <c r="S172" i="29"/>
  <c r="U172" i="29" s="1"/>
  <c r="L172" i="29"/>
  <c r="P172" i="29"/>
  <c r="R172" i="29" s="1"/>
  <c r="V172" i="29"/>
  <c r="X172" i="29" s="1"/>
  <c r="I174" i="29"/>
  <c r="J174" i="29" s="1"/>
  <c r="G13" i="25"/>
  <c r="I129" i="31" l="1"/>
  <c r="J129" i="31" s="1"/>
  <c r="S127" i="31"/>
  <c r="U127" i="31" s="1"/>
  <c r="M127" i="31"/>
  <c r="O127" i="31" s="1"/>
  <c r="V127" i="31"/>
  <c r="X127" i="31" s="1"/>
  <c r="P127" i="31"/>
  <c r="R127" i="31" s="1"/>
  <c r="L127" i="31"/>
  <c r="Y127" i="31"/>
  <c r="AA127" i="31" s="1"/>
  <c r="L173" i="29"/>
  <c r="P173" i="29"/>
  <c r="R173" i="29" s="1"/>
  <c r="V173" i="29"/>
  <c r="X173" i="29" s="1"/>
  <c r="M173" i="29"/>
  <c r="O173" i="29" s="1"/>
  <c r="Y173" i="29"/>
  <c r="AA173" i="29" s="1"/>
  <c r="S173" i="29"/>
  <c r="U173" i="29" s="1"/>
  <c r="I175" i="29"/>
  <c r="J175" i="29" s="1"/>
  <c r="G14" i="25"/>
  <c r="I130" i="31" l="1"/>
  <c r="J130" i="31" s="1"/>
  <c r="P128" i="31"/>
  <c r="R128" i="31" s="1"/>
  <c r="L128" i="31"/>
  <c r="Y128" i="31"/>
  <c r="AA128" i="31" s="1"/>
  <c r="S128" i="31"/>
  <c r="U128" i="31" s="1"/>
  <c r="M128" i="31"/>
  <c r="O128" i="31" s="1"/>
  <c r="V128" i="31"/>
  <c r="X128" i="31" s="1"/>
  <c r="V174" i="29"/>
  <c r="X174" i="29" s="1"/>
  <c r="S174" i="29"/>
  <c r="U174" i="29" s="1"/>
  <c r="P174" i="29"/>
  <c r="R174" i="29" s="1"/>
  <c r="L174" i="29"/>
  <c r="Y174" i="29"/>
  <c r="AA174" i="29" s="1"/>
  <c r="M174" i="29"/>
  <c r="O174" i="29" s="1"/>
  <c r="I176" i="29"/>
  <c r="J176" i="29" s="1"/>
  <c r="G15" i="25"/>
  <c r="I131" i="31" l="1"/>
  <c r="J131" i="31" s="1"/>
  <c r="S129" i="31"/>
  <c r="U129" i="31" s="1"/>
  <c r="M129" i="31"/>
  <c r="O129" i="31" s="1"/>
  <c r="V129" i="31"/>
  <c r="X129" i="31" s="1"/>
  <c r="P129" i="31"/>
  <c r="R129" i="31" s="1"/>
  <c r="L129" i="31"/>
  <c r="Y129" i="31"/>
  <c r="AA129" i="31" s="1"/>
  <c r="P175" i="29"/>
  <c r="R175" i="29" s="1"/>
  <c r="S175" i="29"/>
  <c r="U175" i="29" s="1"/>
  <c r="L175" i="29"/>
  <c r="V175" i="29"/>
  <c r="X175" i="29" s="1"/>
  <c r="Y175" i="29"/>
  <c r="AA175" i="29" s="1"/>
  <c r="M175" i="29"/>
  <c r="O175" i="29" s="1"/>
  <c r="I177" i="29"/>
  <c r="J177" i="29" s="1"/>
  <c r="G16" i="25"/>
  <c r="I132" i="31" l="1"/>
  <c r="J132" i="31" s="1"/>
  <c r="P130" i="31"/>
  <c r="R130" i="31" s="1"/>
  <c r="L130" i="31"/>
  <c r="Y130" i="31"/>
  <c r="AA130" i="31" s="1"/>
  <c r="S130" i="31"/>
  <c r="U130" i="31" s="1"/>
  <c r="M130" i="31"/>
  <c r="O130" i="31" s="1"/>
  <c r="V130" i="31"/>
  <c r="X130" i="31" s="1"/>
  <c r="V176" i="29"/>
  <c r="X176" i="29" s="1"/>
  <c r="S176" i="29"/>
  <c r="U176" i="29" s="1"/>
  <c r="L176" i="29"/>
  <c r="P176" i="29"/>
  <c r="R176" i="29" s="1"/>
  <c r="M176" i="29"/>
  <c r="O176" i="29" s="1"/>
  <c r="Y176" i="29"/>
  <c r="AA176" i="29" s="1"/>
  <c r="I178" i="29"/>
  <c r="J178" i="29" s="1"/>
  <c r="G17" i="25"/>
  <c r="I133" i="31" l="1"/>
  <c r="J133" i="31" s="1"/>
  <c r="Y131" i="31"/>
  <c r="AA131" i="31" s="1"/>
  <c r="S131" i="31"/>
  <c r="U131" i="31" s="1"/>
  <c r="M131" i="31"/>
  <c r="O131" i="31" s="1"/>
  <c r="V131" i="31"/>
  <c r="X131" i="31" s="1"/>
  <c r="P131" i="31"/>
  <c r="R131" i="31" s="1"/>
  <c r="L131" i="31"/>
  <c r="V177" i="29"/>
  <c r="X177" i="29" s="1"/>
  <c r="M177" i="29"/>
  <c r="O177" i="29" s="1"/>
  <c r="P177" i="29"/>
  <c r="R177" i="29" s="1"/>
  <c r="Y177" i="29"/>
  <c r="AA177" i="29" s="1"/>
  <c r="L177" i="29"/>
  <c r="S177" i="29"/>
  <c r="U177" i="29" s="1"/>
  <c r="S178" i="29"/>
  <c r="U178" i="29" s="1"/>
  <c r="V178" i="29"/>
  <c r="X178" i="29" s="1"/>
  <c r="L178" i="29"/>
  <c r="P178" i="29"/>
  <c r="R178" i="29" s="1"/>
  <c r="Y178" i="29"/>
  <c r="AA178" i="29" s="1"/>
  <c r="M178" i="29"/>
  <c r="O178" i="29" s="1"/>
  <c r="G18" i="25"/>
  <c r="P132" i="31" l="1"/>
  <c r="R132" i="31" s="1"/>
  <c r="L132" i="31"/>
  <c r="Y132" i="31"/>
  <c r="AA132" i="31" s="1"/>
  <c r="S132" i="31"/>
  <c r="U132" i="31" s="1"/>
  <c r="M132" i="31"/>
  <c r="O132" i="31" s="1"/>
  <c r="V132" i="31"/>
  <c r="X132" i="31" s="1"/>
  <c r="I134" i="31"/>
  <c r="J134" i="31" s="1"/>
  <c r="G19" i="25"/>
  <c r="I135" i="31" l="1"/>
  <c r="J135" i="31" s="1"/>
  <c r="Y133" i="31"/>
  <c r="AA133" i="31" s="1"/>
  <c r="S133" i="31"/>
  <c r="U133" i="31" s="1"/>
  <c r="M133" i="31"/>
  <c r="O133" i="31" s="1"/>
  <c r="P133" i="31"/>
  <c r="R133" i="31" s="1"/>
  <c r="L133" i="31"/>
  <c r="V133" i="31"/>
  <c r="X133" i="31" s="1"/>
  <c r="G20" i="25"/>
  <c r="I136" i="31" l="1"/>
  <c r="J136" i="31" s="1"/>
  <c r="S134" i="31"/>
  <c r="U134" i="31" s="1"/>
  <c r="M134" i="31"/>
  <c r="O134" i="31" s="1"/>
  <c r="V134" i="31"/>
  <c r="X134" i="31" s="1"/>
  <c r="P134" i="31"/>
  <c r="R134" i="31" s="1"/>
  <c r="L134" i="31"/>
  <c r="Y134" i="31"/>
  <c r="AA134" i="31" s="1"/>
  <c r="G21" i="25"/>
  <c r="I137" i="31" l="1"/>
  <c r="J137" i="31" s="1"/>
  <c r="P135" i="31"/>
  <c r="R135" i="31" s="1"/>
  <c r="L135" i="31"/>
  <c r="Y135" i="31"/>
  <c r="AA135" i="31" s="1"/>
  <c r="M135" i="31"/>
  <c r="O135" i="31" s="1"/>
  <c r="S135" i="31"/>
  <c r="U135" i="31" s="1"/>
  <c r="V135" i="31"/>
  <c r="X135" i="31" s="1"/>
  <c r="G22" i="25"/>
  <c r="I138" i="31" l="1"/>
  <c r="J138" i="31" s="1"/>
  <c r="S136" i="31"/>
  <c r="U136" i="31" s="1"/>
  <c r="M136" i="31"/>
  <c r="O136" i="31" s="1"/>
  <c r="V136" i="31"/>
  <c r="X136" i="31" s="1"/>
  <c r="P136" i="31"/>
  <c r="R136" i="31" s="1"/>
  <c r="L136" i="31"/>
  <c r="Y136" i="31"/>
  <c r="AA136" i="31" s="1"/>
  <c r="G23" i="25"/>
  <c r="I139" i="31" l="1"/>
  <c r="J139" i="31" s="1"/>
  <c r="P137" i="31"/>
  <c r="R137" i="31" s="1"/>
  <c r="L137" i="31"/>
  <c r="Y137" i="31"/>
  <c r="AA137" i="31" s="1"/>
  <c r="M137" i="31"/>
  <c r="O137" i="31" s="1"/>
  <c r="S137" i="31"/>
  <c r="U137" i="31" s="1"/>
  <c r="V137" i="31"/>
  <c r="X137" i="31" s="1"/>
  <c r="G24" i="25"/>
  <c r="I140" i="31" l="1"/>
  <c r="J140" i="31" s="1"/>
  <c r="S138" i="31"/>
  <c r="U138" i="31" s="1"/>
  <c r="M138" i="31"/>
  <c r="O138" i="31" s="1"/>
  <c r="V138" i="31"/>
  <c r="X138" i="31" s="1"/>
  <c r="P138" i="31"/>
  <c r="R138" i="31" s="1"/>
  <c r="L138" i="31"/>
  <c r="Y138" i="31"/>
  <c r="AA138" i="31" s="1"/>
  <c r="G25" i="25"/>
  <c r="I141" i="31" l="1"/>
  <c r="J141" i="31" s="1"/>
  <c r="S139" i="31"/>
  <c r="U139" i="31" s="1"/>
  <c r="M139" i="31"/>
  <c r="O139" i="31" s="1"/>
  <c r="V139" i="31"/>
  <c r="X139" i="31" s="1"/>
  <c r="P139" i="31"/>
  <c r="R139" i="31" s="1"/>
  <c r="L139" i="31"/>
  <c r="Y139" i="31"/>
  <c r="AA139" i="31" s="1"/>
  <c r="G26" i="25"/>
  <c r="I142" i="31" l="1"/>
  <c r="J142" i="31" s="1"/>
  <c r="P140" i="31"/>
  <c r="R140" i="31" s="1"/>
  <c r="L140" i="31"/>
  <c r="Y140" i="31"/>
  <c r="AA140" i="31" s="1"/>
  <c r="S140" i="31"/>
  <c r="U140" i="31" s="1"/>
  <c r="M140" i="31"/>
  <c r="O140" i="31" s="1"/>
  <c r="V140" i="31"/>
  <c r="X140" i="31" s="1"/>
  <c r="G27" i="25"/>
  <c r="I143" i="31" l="1"/>
  <c r="J143" i="31" s="1"/>
  <c r="L141" i="31"/>
  <c r="Y141" i="31"/>
  <c r="AA141" i="31" s="1"/>
  <c r="S141" i="31"/>
  <c r="U141" i="31" s="1"/>
  <c r="M141" i="31"/>
  <c r="O141" i="31" s="1"/>
  <c r="V141" i="31"/>
  <c r="X141" i="31" s="1"/>
  <c r="P141" i="31"/>
  <c r="R141" i="31" s="1"/>
  <c r="G28" i="25"/>
  <c r="Y142" i="31" l="1"/>
  <c r="AA142" i="31" s="1"/>
  <c r="S142" i="31"/>
  <c r="U142" i="31" s="1"/>
  <c r="M142" i="31"/>
  <c r="O142" i="31" s="1"/>
  <c r="V142" i="31"/>
  <c r="X142" i="31" s="1"/>
  <c r="P142" i="31"/>
  <c r="R142" i="31" s="1"/>
  <c r="L142" i="31"/>
  <c r="I144" i="31"/>
  <c r="J144" i="31" s="1"/>
  <c r="G29" i="25"/>
  <c r="M143" i="31" l="1"/>
  <c r="O143" i="31" s="1"/>
  <c r="V143" i="31"/>
  <c r="X143" i="31" s="1"/>
  <c r="P143" i="31"/>
  <c r="R143" i="31" s="1"/>
  <c r="L143" i="31"/>
  <c r="Y143" i="31"/>
  <c r="AA143" i="31" s="1"/>
  <c r="S143" i="31"/>
  <c r="U143" i="31" s="1"/>
  <c r="I145" i="31"/>
  <c r="J145" i="31" s="1"/>
  <c r="G30" i="25"/>
  <c r="L144" i="31" l="1"/>
  <c r="Y144" i="31"/>
  <c r="AA144" i="31" s="1"/>
  <c r="M144" i="31"/>
  <c r="O144" i="31" s="1"/>
  <c r="S144" i="31"/>
  <c r="U144" i="31" s="1"/>
  <c r="V144" i="31"/>
  <c r="X144" i="31" s="1"/>
  <c r="P144" i="31"/>
  <c r="R144" i="31" s="1"/>
  <c r="I146" i="31"/>
  <c r="J146" i="31" s="1"/>
  <c r="G31" i="25"/>
  <c r="M145" i="31" l="1"/>
  <c r="O145" i="31" s="1"/>
  <c r="V145" i="31"/>
  <c r="X145" i="31" s="1"/>
  <c r="P145" i="31"/>
  <c r="R145" i="31" s="1"/>
  <c r="L145" i="31"/>
  <c r="Y145" i="31"/>
  <c r="AA145" i="31" s="1"/>
  <c r="S145" i="31"/>
  <c r="U145" i="31" s="1"/>
  <c r="I147" i="31"/>
  <c r="J147" i="31" s="1"/>
  <c r="G32" i="25"/>
  <c r="L146" i="31" l="1"/>
  <c r="Y146" i="31"/>
  <c r="AA146" i="31" s="1"/>
  <c r="M146" i="31"/>
  <c r="O146" i="31" s="1"/>
  <c r="S146" i="31"/>
  <c r="U146" i="31" s="1"/>
  <c r="V146" i="31"/>
  <c r="X146" i="31" s="1"/>
  <c r="P146" i="31"/>
  <c r="R146" i="31" s="1"/>
  <c r="I148" i="31"/>
  <c r="J148" i="31" s="1"/>
  <c r="G33" i="25"/>
  <c r="M147" i="31" l="1"/>
  <c r="O147" i="31" s="1"/>
  <c r="V147" i="31"/>
  <c r="X147" i="31" s="1"/>
  <c r="P147" i="31"/>
  <c r="R147" i="31" s="1"/>
  <c r="L147" i="31"/>
  <c r="Y147" i="31"/>
  <c r="AA147" i="31" s="1"/>
  <c r="S147" i="31"/>
  <c r="U147" i="31" s="1"/>
  <c r="I149" i="31"/>
  <c r="J149" i="31" s="1"/>
  <c r="G34" i="25"/>
  <c r="L148" i="31" l="1"/>
  <c r="Y148" i="31"/>
  <c r="AA148" i="31" s="1"/>
  <c r="M148" i="31"/>
  <c r="O148" i="31" s="1"/>
  <c r="S148" i="31"/>
  <c r="U148" i="31" s="1"/>
  <c r="V148" i="31"/>
  <c r="X148" i="31" s="1"/>
  <c r="P148" i="31"/>
  <c r="R148" i="31" s="1"/>
  <c r="I150" i="31"/>
  <c r="J150" i="31" s="1"/>
  <c r="G35" i="25"/>
  <c r="M149" i="31" l="1"/>
  <c r="O149" i="31" s="1"/>
  <c r="V149" i="31"/>
  <c r="X149" i="31" s="1"/>
  <c r="L149" i="31"/>
  <c r="P149" i="31"/>
  <c r="R149" i="31" s="1"/>
  <c r="Y149" i="31"/>
  <c r="AA149" i="31" s="1"/>
  <c r="S149" i="31"/>
  <c r="U149" i="31" s="1"/>
  <c r="I151" i="31"/>
  <c r="J151" i="31" s="1"/>
  <c r="G36" i="25"/>
  <c r="L150" i="31" l="1"/>
  <c r="Y150" i="31"/>
  <c r="AA150" i="31" s="1"/>
  <c r="M150" i="31"/>
  <c r="O150" i="31" s="1"/>
  <c r="S150" i="31"/>
  <c r="U150" i="31" s="1"/>
  <c r="V150" i="31"/>
  <c r="X150" i="31" s="1"/>
  <c r="P150" i="31"/>
  <c r="R150" i="31" s="1"/>
  <c r="I152" i="31"/>
  <c r="J152" i="31" s="1"/>
  <c r="G37" i="25"/>
  <c r="M151" i="31" l="1"/>
  <c r="O151" i="31" s="1"/>
  <c r="V151" i="31"/>
  <c r="X151" i="31" s="1"/>
  <c r="L151" i="31"/>
  <c r="P151" i="31"/>
  <c r="R151" i="31" s="1"/>
  <c r="Y151" i="31"/>
  <c r="AA151" i="31" s="1"/>
  <c r="S151" i="31"/>
  <c r="U151" i="31" s="1"/>
  <c r="I153" i="31"/>
  <c r="J153" i="31" s="1"/>
  <c r="G38" i="25"/>
  <c r="L152" i="31" l="1"/>
  <c r="Y152" i="31"/>
  <c r="AA152" i="31" s="1"/>
  <c r="M152" i="31"/>
  <c r="O152" i="31" s="1"/>
  <c r="S152" i="31"/>
  <c r="U152" i="31" s="1"/>
  <c r="V152" i="31"/>
  <c r="X152" i="31" s="1"/>
  <c r="P152" i="31"/>
  <c r="R152" i="31" s="1"/>
  <c r="I154" i="31"/>
  <c r="J154" i="31" s="1"/>
  <c r="G39" i="25"/>
  <c r="V153" i="31" l="1"/>
  <c r="X153" i="31" s="1"/>
  <c r="L153" i="31"/>
  <c r="P153" i="31"/>
  <c r="R153" i="31" s="1"/>
  <c r="Y153" i="31"/>
  <c r="AA153" i="31" s="1"/>
  <c r="S153" i="31"/>
  <c r="U153" i="31" s="1"/>
  <c r="M153" i="31"/>
  <c r="O153" i="31" s="1"/>
  <c r="I155" i="31"/>
  <c r="J155" i="31" s="1"/>
  <c r="G40" i="25"/>
  <c r="Y154" i="31" l="1"/>
  <c r="AA154" i="31" s="1"/>
  <c r="M154" i="31"/>
  <c r="O154" i="31" s="1"/>
  <c r="S154" i="31"/>
  <c r="U154" i="31" s="1"/>
  <c r="V154" i="31"/>
  <c r="X154" i="31" s="1"/>
  <c r="P154" i="31"/>
  <c r="R154" i="31" s="1"/>
  <c r="L154" i="31"/>
  <c r="I156" i="31"/>
  <c r="J156" i="31" s="1"/>
  <c r="G41" i="25"/>
  <c r="V155" i="31" l="1"/>
  <c r="X155" i="31" s="1"/>
  <c r="L155" i="31"/>
  <c r="P155" i="31"/>
  <c r="R155" i="31" s="1"/>
  <c r="Y155" i="31"/>
  <c r="AA155" i="31" s="1"/>
  <c r="S155" i="31"/>
  <c r="U155" i="31" s="1"/>
  <c r="M155" i="31"/>
  <c r="O155" i="31" s="1"/>
  <c r="I157" i="31"/>
  <c r="J157" i="31" s="1"/>
  <c r="G42" i="25"/>
  <c r="Y156" i="31" l="1"/>
  <c r="AA156" i="31" s="1"/>
  <c r="M156" i="31"/>
  <c r="O156" i="31" s="1"/>
  <c r="S156" i="31"/>
  <c r="U156" i="31" s="1"/>
  <c r="V156" i="31"/>
  <c r="X156" i="31" s="1"/>
  <c r="P156" i="31"/>
  <c r="R156" i="31" s="1"/>
  <c r="L156" i="31"/>
  <c r="I158" i="31"/>
  <c r="J158" i="31" s="1"/>
  <c r="G43" i="25"/>
  <c r="V157" i="31" l="1"/>
  <c r="X157" i="31" s="1"/>
  <c r="L157" i="31"/>
  <c r="P157" i="31"/>
  <c r="R157" i="31" s="1"/>
  <c r="Y157" i="31"/>
  <c r="AA157" i="31" s="1"/>
  <c r="S157" i="31"/>
  <c r="U157" i="31" s="1"/>
  <c r="M157" i="31"/>
  <c r="O157" i="31" s="1"/>
  <c r="I159" i="31"/>
  <c r="J159" i="31" s="1"/>
  <c r="G44" i="25"/>
  <c r="Y158" i="31" l="1"/>
  <c r="AA158" i="31" s="1"/>
  <c r="M158" i="31"/>
  <c r="O158" i="31" s="1"/>
  <c r="S158" i="31"/>
  <c r="U158" i="31" s="1"/>
  <c r="V158" i="31"/>
  <c r="X158" i="31" s="1"/>
  <c r="P158" i="31"/>
  <c r="R158" i="31" s="1"/>
  <c r="L158" i="31"/>
  <c r="I160" i="31"/>
  <c r="J160" i="31" s="1"/>
  <c r="G45" i="25"/>
  <c r="V159" i="31" l="1"/>
  <c r="X159" i="31" s="1"/>
  <c r="L159" i="31"/>
  <c r="P159" i="31"/>
  <c r="R159" i="31" s="1"/>
  <c r="Y159" i="31"/>
  <c r="AA159" i="31" s="1"/>
  <c r="S159" i="31"/>
  <c r="U159" i="31" s="1"/>
  <c r="M159" i="31"/>
  <c r="O159" i="31" s="1"/>
  <c r="I161" i="31"/>
  <c r="J161" i="31" s="1"/>
  <c r="N4" i="25"/>
  <c r="Y160" i="31" l="1"/>
  <c r="AA160" i="31" s="1"/>
  <c r="M160" i="31"/>
  <c r="O160" i="31" s="1"/>
  <c r="S160" i="31"/>
  <c r="U160" i="31" s="1"/>
  <c r="V160" i="31"/>
  <c r="X160" i="31" s="1"/>
  <c r="P160" i="31"/>
  <c r="R160" i="31" s="1"/>
  <c r="L160" i="31"/>
  <c r="I162" i="31"/>
  <c r="J162" i="31" s="1"/>
  <c r="N5" i="25"/>
  <c r="V161" i="31" l="1"/>
  <c r="X161" i="31" s="1"/>
  <c r="P161" i="31"/>
  <c r="R161" i="31" s="1"/>
  <c r="L161" i="31"/>
  <c r="Y161" i="31"/>
  <c r="AA161" i="31" s="1"/>
  <c r="S161" i="31"/>
  <c r="U161" i="31" s="1"/>
  <c r="M161" i="31"/>
  <c r="O161" i="31" s="1"/>
  <c r="I163" i="31"/>
  <c r="J163" i="31" s="1"/>
  <c r="N6" i="25"/>
  <c r="Y162" i="31" l="1"/>
  <c r="AA162" i="31" s="1"/>
  <c r="M162" i="31"/>
  <c r="O162" i="31" s="1"/>
  <c r="S162" i="31"/>
  <c r="U162" i="31" s="1"/>
  <c r="V162" i="31"/>
  <c r="X162" i="31" s="1"/>
  <c r="P162" i="31"/>
  <c r="R162" i="31" s="1"/>
  <c r="L162" i="31"/>
  <c r="I164" i="31"/>
  <c r="J164" i="31" s="1"/>
  <c r="N7" i="25"/>
  <c r="V163" i="31" l="1"/>
  <c r="X163" i="31" s="1"/>
  <c r="P163" i="31"/>
  <c r="R163" i="31" s="1"/>
  <c r="L163" i="31"/>
  <c r="Y163" i="31"/>
  <c r="AA163" i="31" s="1"/>
  <c r="S163" i="31"/>
  <c r="U163" i="31" s="1"/>
  <c r="M163" i="31"/>
  <c r="O163" i="31" s="1"/>
  <c r="I165" i="31"/>
  <c r="J165" i="31" s="1"/>
  <c r="N8" i="25"/>
  <c r="Y164" i="31" l="1"/>
  <c r="AA164" i="31" s="1"/>
  <c r="M164" i="31"/>
  <c r="O164" i="31" s="1"/>
  <c r="S164" i="31"/>
  <c r="U164" i="31" s="1"/>
  <c r="V164" i="31"/>
  <c r="X164" i="31" s="1"/>
  <c r="P164" i="31"/>
  <c r="R164" i="31" s="1"/>
  <c r="L164" i="31"/>
  <c r="I166" i="31"/>
  <c r="J166" i="31" s="1"/>
  <c r="N9" i="25"/>
  <c r="V165" i="31" l="1"/>
  <c r="X165" i="31" s="1"/>
  <c r="P165" i="31"/>
  <c r="R165" i="31" s="1"/>
  <c r="L165" i="31"/>
  <c r="Y165" i="31"/>
  <c r="AA165" i="31" s="1"/>
  <c r="S165" i="31"/>
  <c r="U165" i="31" s="1"/>
  <c r="M165" i="31"/>
  <c r="O165" i="31" s="1"/>
  <c r="I167" i="31"/>
  <c r="J167" i="31" s="1"/>
  <c r="N10" i="25"/>
  <c r="L166" i="31" l="1"/>
  <c r="P166" i="31"/>
  <c r="R166" i="31" s="1"/>
  <c r="Y166" i="31"/>
  <c r="AA166" i="31" s="1"/>
  <c r="M166" i="31"/>
  <c r="O166" i="31" s="1"/>
  <c r="S166" i="31"/>
  <c r="U166" i="31" s="1"/>
  <c r="V166" i="31"/>
  <c r="X166" i="31" s="1"/>
  <c r="I168" i="31"/>
  <c r="J168" i="31" s="1"/>
  <c r="N11" i="25"/>
  <c r="M167" i="31" l="1"/>
  <c r="O167" i="31" s="1"/>
  <c r="V167" i="31"/>
  <c r="X167" i="31" s="1"/>
  <c r="S167" i="31"/>
  <c r="U167" i="31" s="1"/>
  <c r="P167" i="31"/>
  <c r="R167" i="31" s="1"/>
  <c r="L167" i="31"/>
  <c r="Y167" i="31"/>
  <c r="AA167" i="31" s="1"/>
  <c r="I169" i="31"/>
  <c r="J169" i="31" s="1"/>
  <c r="N12" i="25"/>
  <c r="I170" i="31" l="1"/>
  <c r="J170" i="31" s="1"/>
  <c r="L168" i="31"/>
  <c r="Y168" i="31"/>
  <c r="AA168" i="31" s="1"/>
  <c r="M168" i="31"/>
  <c r="O168" i="31" s="1"/>
  <c r="S168" i="31"/>
  <c r="U168" i="31" s="1"/>
  <c r="V168" i="31"/>
  <c r="X168" i="31" s="1"/>
  <c r="P168" i="31"/>
  <c r="R168" i="31" s="1"/>
  <c r="N13" i="25"/>
  <c r="Y169" i="31" l="1"/>
  <c r="AA169" i="31" s="1"/>
  <c r="P169" i="31"/>
  <c r="R169" i="31" s="1"/>
  <c r="L169" i="31"/>
  <c r="V169" i="31"/>
  <c r="X169" i="31" s="1"/>
  <c r="M169" i="31"/>
  <c r="O169" i="31" s="1"/>
  <c r="S169" i="31"/>
  <c r="U169" i="31" s="1"/>
  <c r="I171" i="31"/>
  <c r="J171" i="31" s="1"/>
  <c r="N14" i="25"/>
  <c r="I172" i="31" l="1"/>
  <c r="J172" i="31" s="1"/>
  <c r="S170" i="31"/>
  <c r="U170" i="31" s="1"/>
  <c r="M170" i="31"/>
  <c r="O170" i="31" s="1"/>
  <c r="V170" i="31"/>
  <c r="X170" i="31" s="1"/>
  <c r="P170" i="31"/>
  <c r="R170" i="31" s="1"/>
  <c r="L170" i="31"/>
  <c r="Y170" i="31"/>
  <c r="AA170" i="31" s="1"/>
  <c r="N15" i="25"/>
  <c r="I173" i="31" l="1"/>
  <c r="J173" i="31" s="1"/>
  <c r="P171" i="31"/>
  <c r="R171" i="31" s="1"/>
  <c r="Y171" i="31"/>
  <c r="AA171" i="31" s="1"/>
  <c r="M171" i="31"/>
  <c r="O171" i="31" s="1"/>
  <c r="S171" i="31"/>
  <c r="U171" i="31" s="1"/>
  <c r="V171" i="31"/>
  <c r="X171" i="31" s="1"/>
  <c r="L171" i="31"/>
  <c r="N16" i="25"/>
  <c r="I174" i="31" l="1"/>
  <c r="J174" i="31" s="1"/>
  <c r="S172" i="31"/>
  <c r="U172" i="31" s="1"/>
  <c r="P172" i="31"/>
  <c r="R172" i="31" s="1"/>
  <c r="L172" i="31"/>
  <c r="M172" i="31"/>
  <c r="O172" i="31" s="1"/>
  <c r="V172" i="31"/>
  <c r="X172" i="31" s="1"/>
  <c r="Y172" i="31"/>
  <c r="AA172" i="31" s="1"/>
  <c r="N17" i="25"/>
  <c r="I175" i="31" l="1"/>
  <c r="J175" i="31" s="1"/>
  <c r="P173" i="31"/>
  <c r="R173" i="31" s="1"/>
  <c r="S173" i="31"/>
  <c r="U173" i="31" s="1"/>
  <c r="L173" i="31"/>
  <c r="Y173" i="31"/>
  <c r="AA173" i="31" s="1"/>
  <c r="M173" i="31"/>
  <c r="O173" i="31" s="1"/>
  <c r="V173" i="31"/>
  <c r="X173" i="31" s="1"/>
  <c r="N18" i="25"/>
  <c r="I176" i="31" l="1"/>
  <c r="J176" i="31" s="1"/>
  <c r="S174" i="31"/>
  <c r="U174" i="31" s="1"/>
  <c r="P174" i="31"/>
  <c r="R174" i="31" s="1"/>
  <c r="Y174" i="31"/>
  <c r="AA174" i="31" s="1"/>
  <c r="M174" i="31"/>
  <c r="O174" i="31" s="1"/>
  <c r="V174" i="31"/>
  <c r="X174" i="31" s="1"/>
  <c r="L174" i="31"/>
  <c r="N19" i="25"/>
  <c r="I177" i="31" l="1"/>
  <c r="J177" i="31" s="1"/>
  <c r="P175" i="31"/>
  <c r="R175" i="31" s="1"/>
  <c r="S175" i="31"/>
  <c r="U175" i="31" s="1"/>
  <c r="L175" i="31"/>
  <c r="Y175" i="31"/>
  <c r="AA175" i="31" s="1"/>
  <c r="M175" i="31"/>
  <c r="O175" i="31" s="1"/>
  <c r="V175" i="31"/>
  <c r="X175" i="31" s="1"/>
  <c r="N20" i="25"/>
  <c r="I178" i="31" l="1"/>
  <c r="J178" i="31" s="1"/>
  <c r="M176" i="31"/>
  <c r="O176" i="31" s="1"/>
  <c r="P176" i="31"/>
  <c r="R176" i="31" s="1"/>
  <c r="L176" i="31"/>
  <c r="Y176" i="31"/>
  <c r="AA176" i="31" s="1"/>
  <c r="S176" i="31"/>
  <c r="U176" i="31" s="1"/>
  <c r="V176" i="31"/>
  <c r="X176" i="31" s="1"/>
  <c r="N21" i="25"/>
  <c r="P177" i="31" l="1"/>
  <c r="R177" i="31" s="1"/>
  <c r="L177" i="31"/>
  <c r="Y177" i="31"/>
  <c r="AA177" i="31" s="1"/>
  <c r="M177" i="31"/>
  <c r="O177" i="31" s="1"/>
  <c r="V177" i="31"/>
  <c r="X177" i="31" s="1"/>
  <c r="S177" i="31"/>
  <c r="U177" i="31" s="1"/>
  <c r="S178" i="31"/>
  <c r="U178" i="31" s="1"/>
  <c r="M178" i="31"/>
  <c r="O178" i="31" s="1"/>
  <c r="V178" i="31"/>
  <c r="X178" i="31" s="1"/>
  <c r="L178" i="31"/>
  <c r="Y178" i="31"/>
  <c r="AA178" i="31" s="1"/>
  <c r="P178" i="31"/>
  <c r="R178" i="31" s="1"/>
  <c r="J11" i="30" l="1"/>
  <c r="J12" i="30" l="1"/>
  <c r="I13" i="30"/>
  <c r="I14" i="30" s="1"/>
  <c r="I15" i="30" s="1"/>
  <c r="I16" i="30" s="1"/>
  <c r="I17" i="30" s="1"/>
  <c r="I18" i="30" s="1"/>
  <c r="I19" i="30" s="1"/>
  <c r="I20" i="30" s="1"/>
  <c r="I21" i="30" s="1"/>
  <c r="I22" i="30" s="1"/>
  <c r="I23" i="30" s="1"/>
  <c r="V11" i="30"/>
  <c r="X11" i="30" s="1"/>
  <c r="L11" i="30"/>
  <c r="S11" i="30"/>
  <c r="U11" i="30" s="1"/>
  <c r="P11" i="30"/>
  <c r="R11" i="30" s="1"/>
  <c r="M11" i="30"/>
  <c r="O11" i="30" s="1"/>
  <c r="Y11" i="30"/>
  <c r="AA11" i="30" s="1"/>
  <c r="I24" i="30" l="1"/>
  <c r="J23" i="30"/>
  <c r="L12" i="30"/>
  <c r="P12" i="30"/>
  <c r="R12" i="30" s="1"/>
  <c r="V12" i="30"/>
  <c r="X12" i="30" s="1"/>
  <c r="S12" i="30"/>
  <c r="U12" i="30" s="1"/>
  <c r="Y12" i="30"/>
  <c r="AA12" i="30" s="1"/>
  <c r="M12" i="30"/>
  <c r="O12" i="30" s="1"/>
  <c r="J13" i="30"/>
  <c r="M23" i="30" l="1"/>
  <c r="O23" i="30" s="1"/>
  <c r="P23" i="30"/>
  <c r="R23" i="30" s="1"/>
  <c r="Y23" i="30"/>
  <c r="AA23" i="30" s="1"/>
  <c r="L23" i="30"/>
  <c r="S23" i="30"/>
  <c r="U23" i="30" s="1"/>
  <c r="V23" i="30"/>
  <c r="X23" i="30" s="1"/>
  <c r="J24" i="30"/>
  <c r="I25" i="30"/>
  <c r="J14" i="30"/>
  <c r="V13" i="30"/>
  <c r="X13" i="30" s="1"/>
  <c r="L13" i="30"/>
  <c r="Y13" i="30"/>
  <c r="AA13" i="30" s="1"/>
  <c r="M13" i="30"/>
  <c r="O13" i="30" s="1"/>
  <c r="P13" i="30"/>
  <c r="R13" i="30" s="1"/>
  <c r="S13" i="30"/>
  <c r="U13" i="30" s="1"/>
  <c r="J25" i="30" l="1"/>
  <c r="I26" i="30"/>
  <c r="P24" i="30"/>
  <c r="R24" i="30" s="1"/>
  <c r="Y24" i="30"/>
  <c r="AA24" i="30" s="1"/>
  <c r="V24" i="30"/>
  <c r="X24" i="30" s="1"/>
  <c r="L24" i="30"/>
  <c r="M24" i="30"/>
  <c r="O24" i="30" s="1"/>
  <c r="S24" i="30"/>
  <c r="U24" i="30" s="1"/>
  <c r="J15" i="30"/>
  <c r="L14" i="30"/>
  <c r="V14" i="30"/>
  <c r="X14" i="30" s="1"/>
  <c r="P14" i="30"/>
  <c r="R14" i="30" s="1"/>
  <c r="Y14" i="30"/>
  <c r="AA14" i="30" s="1"/>
  <c r="S14" i="30"/>
  <c r="U14" i="30" s="1"/>
  <c r="M14" i="30"/>
  <c r="O14" i="30" s="1"/>
  <c r="J26" i="30" l="1"/>
  <c r="I27" i="30"/>
  <c r="M25" i="30"/>
  <c r="O25" i="30" s="1"/>
  <c r="V25" i="30"/>
  <c r="X25" i="30" s="1"/>
  <c r="S25" i="30"/>
  <c r="U25" i="30" s="1"/>
  <c r="P25" i="30"/>
  <c r="R25" i="30" s="1"/>
  <c r="L25" i="30"/>
  <c r="Y25" i="30"/>
  <c r="AA25" i="30" s="1"/>
  <c r="L15" i="30"/>
  <c r="P15" i="30"/>
  <c r="R15" i="30" s="1"/>
  <c r="M15" i="30"/>
  <c r="O15" i="30" s="1"/>
  <c r="Y15" i="30"/>
  <c r="AA15" i="30" s="1"/>
  <c r="V15" i="30"/>
  <c r="X15" i="30" s="1"/>
  <c r="S15" i="30"/>
  <c r="U15" i="30" s="1"/>
  <c r="J16" i="30"/>
  <c r="I28" i="30" l="1"/>
  <c r="J27" i="30"/>
  <c r="Y26" i="30"/>
  <c r="AA26" i="30" s="1"/>
  <c r="P26" i="30"/>
  <c r="R26" i="30" s="1"/>
  <c r="L26" i="30"/>
  <c r="M26" i="30"/>
  <c r="O26" i="30" s="1"/>
  <c r="V26" i="30"/>
  <c r="X26" i="30" s="1"/>
  <c r="S26" i="30"/>
  <c r="U26" i="30" s="1"/>
  <c r="J17" i="30"/>
  <c r="Y16" i="30"/>
  <c r="AA16" i="30" s="1"/>
  <c r="M16" i="30"/>
  <c r="O16" i="30" s="1"/>
  <c r="L16" i="30"/>
  <c r="V16" i="30"/>
  <c r="X16" i="30" s="1"/>
  <c r="P16" i="30"/>
  <c r="R16" i="30" s="1"/>
  <c r="S16" i="30"/>
  <c r="U16" i="30" s="1"/>
  <c r="Y27" i="30" l="1"/>
  <c r="AA27" i="30" s="1"/>
  <c r="S27" i="30"/>
  <c r="U27" i="30" s="1"/>
  <c r="L27" i="30"/>
  <c r="P27" i="30"/>
  <c r="R27" i="30" s="1"/>
  <c r="V27" i="30"/>
  <c r="X27" i="30" s="1"/>
  <c r="M27" i="30"/>
  <c r="O27" i="30" s="1"/>
  <c r="J28" i="30"/>
  <c r="I29" i="30"/>
  <c r="Y17" i="30"/>
  <c r="AA17" i="30" s="1"/>
  <c r="P17" i="30"/>
  <c r="R17" i="30" s="1"/>
  <c r="L17" i="30"/>
  <c r="S17" i="30"/>
  <c r="U17" i="30" s="1"/>
  <c r="M17" i="30"/>
  <c r="O17" i="30" s="1"/>
  <c r="V17" i="30"/>
  <c r="X17" i="30" s="1"/>
  <c r="J18" i="30"/>
  <c r="J29" i="30" l="1"/>
  <c r="I30" i="30"/>
  <c r="S28" i="30"/>
  <c r="U28" i="30" s="1"/>
  <c r="Y28" i="30"/>
  <c r="AA28" i="30" s="1"/>
  <c r="M28" i="30"/>
  <c r="O28" i="30" s="1"/>
  <c r="L28" i="30"/>
  <c r="V28" i="30"/>
  <c r="X28" i="30" s="1"/>
  <c r="P28" i="30"/>
  <c r="R28" i="30" s="1"/>
  <c r="V18" i="30"/>
  <c r="X18" i="30" s="1"/>
  <c r="S18" i="30"/>
  <c r="U18" i="30" s="1"/>
  <c r="Y18" i="30"/>
  <c r="AA18" i="30" s="1"/>
  <c r="L18" i="30"/>
  <c r="M18" i="30"/>
  <c r="O18" i="30" s="1"/>
  <c r="P18" i="30"/>
  <c r="R18" i="30" s="1"/>
  <c r="J19" i="30"/>
  <c r="J30" i="30" l="1"/>
  <c r="I31" i="30"/>
  <c r="M29" i="30"/>
  <c r="O29" i="30" s="1"/>
  <c r="V29" i="30"/>
  <c r="X29" i="30" s="1"/>
  <c r="S29" i="30"/>
  <c r="U29" i="30" s="1"/>
  <c r="Y29" i="30"/>
  <c r="AA29" i="30" s="1"/>
  <c r="L29" i="30"/>
  <c r="P29" i="30"/>
  <c r="R29" i="30" s="1"/>
  <c r="J20" i="30"/>
  <c r="L19" i="30"/>
  <c r="P19" i="30"/>
  <c r="R19" i="30" s="1"/>
  <c r="M19" i="30"/>
  <c r="O19" i="30" s="1"/>
  <c r="Y19" i="30"/>
  <c r="AA19" i="30" s="1"/>
  <c r="S19" i="30"/>
  <c r="U19" i="30" s="1"/>
  <c r="V19" i="30"/>
  <c r="X19" i="30" s="1"/>
  <c r="J31" i="30" l="1"/>
  <c r="I32" i="30"/>
  <c r="V30" i="30"/>
  <c r="X30" i="30" s="1"/>
  <c r="Y30" i="30"/>
  <c r="AA30" i="30" s="1"/>
  <c r="S30" i="30"/>
  <c r="U30" i="30" s="1"/>
  <c r="L30" i="30"/>
  <c r="P30" i="30"/>
  <c r="R30" i="30" s="1"/>
  <c r="M30" i="30"/>
  <c r="O30" i="30" s="1"/>
  <c r="J22" i="30"/>
  <c r="J21" i="30"/>
  <c r="S20" i="30"/>
  <c r="U20" i="30" s="1"/>
  <c r="M20" i="30"/>
  <c r="O20" i="30" s="1"/>
  <c r="L20" i="30"/>
  <c r="V20" i="30"/>
  <c r="X20" i="30" s="1"/>
  <c r="Y20" i="30"/>
  <c r="AA20" i="30" s="1"/>
  <c r="P20" i="30"/>
  <c r="R20" i="30" s="1"/>
  <c r="J32" i="30" l="1"/>
  <c r="I33" i="30"/>
  <c r="L31" i="30"/>
  <c r="Y31" i="30"/>
  <c r="AA31" i="30" s="1"/>
  <c r="S31" i="30"/>
  <c r="U31" i="30" s="1"/>
  <c r="P31" i="30"/>
  <c r="R31" i="30" s="1"/>
  <c r="V31" i="30"/>
  <c r="X31" i="30" s="1"/>
  <c r="M31" i="30"/>
  <c r="O31" i="30" s="1"/>
  <c r="S21" i="30"/>
  <c r="U21" i="30" s="1"/>
  <c r="L21" i="30"/>
  <c r="Y21" i="30"/>
  <c r="AA21" i="30" s="1"/>
  <c r="P21" i="30"/>
  <c r="R21" i="30" s="1"/>
  <c r="V21" i="30"/>
  <c r="X21" i="30" s="1"/>
  <c r="M21" i="30"/>
  <c r="O21" i="30" s="1"/>
  <c r="S22" i="30"/>
  <c r="U22" i="30" s="1"/>
  <c r="L22" i="30"/>
  <c r="Y22" i="30"/>
  <c r="AA22" i="30" s="1"/>
  <c r="M22" i="30"/>
  <c r="O22" i="30" s="1"/>
  <c r="P22" i="30"/>
  <c r="R22" i="30" s="1"/>
  <c r="V22" i="30"/>
  <c r="X22" i="30" s="1"/>
  <c r="J33" i="30" l="1"/>
  <c r="I34" i="30"/>
  <c r="L32" i="30"/>
  <c r="V32" i="30"/>
  <c r="X32" i="30" s="1"/>
  <c r="S32" i="30"/>
  <c r="U32" i="30" s="1"/>
  <c r="M32" i="30"/>
  <c r="O32" i="30" s="1"/>
  <c r="P32" i="30"/>
  <c r="R32" i="30" s="1"/>
  <c r="Y32" i="30"/>
  <c r="AA32" i="30" s="1"/>
  <c r="J34" i="30" l="1"/>
  <c r="I35" i="30"/>
  <c r="V33" i="30"/>
  <c r="X33" i="30" s="1"/>
  <c r="Y33" i="30"/>
  <c r="AA33" i="30" s="1"/>
  <c r="L33" i="30"/>
  <c r="P33" i="30"/>
  <c r="R33" i="30" s="1"/>
  <c r="M33" i="30"/>
  <c r="O33" i="30" s="1"/>
  <c r="S33" i="30"/>
  <c r="U33" i="30" s="1"/>
  <c r="J35" i="30" l="1"/>
  <c r="I36" i="30"/>
  <c r="Y34" i="30"/>
  <c r="AA34" i="30" s="1"/>
  <c r="S34" i="30"/>
  <c r="U34" i="30" s="1"/>
  <c r="M34" i="30"/>
  <c r="O34" i="30" s="1"/>
  <c r="P34" i="30"/>
  <c r="R34" i="30" s="1"/>
  <c r="L34" i="30"/>
  <c r="V34" i="30"/>
  <c r="X34" i="30" s="1"/>
  <c r="J36" i="30" l="1"/>
  <c r="I37" i="30"/>
  <c r="S35" i="30"/>
  <c r="U35" i="30" s="1"/>
  <c r="M35" i="30"/>
  <c r="O35" i="30" s="1"/>
  <c r="Y35" i="30"/>
  <c r="AA35" i="30" s="1"/>
  <c r="P35" i="30"/>
  <c r="R35" i="30" s="1"/>
  <c r="V35" i="30"/>
  <c r="X35" i="30" s="1"/>
  <c r="L35" i="30"/>
  <c r="J37" i="30" l="1"/>
  <c r="I38" i="30"/>
  <c r="P36" i="30"/>
  <c r="R36" i="30" s="1"/>
  <c r="L36" i="30"/>
  <c r="M36" i="30"/>
  <c r="O36" i="30" s="1"/>
  <c r="V36" i="30"/>
  <c r="X36" i="30" s="1"/>
  <c r="S36" i="30"/>
  <c r="U36" i="30" s="1"/>
  <c r="Y36" i="30"/>
  <c r="AA36" i="30" s="1"/>
  <c r="J38" i="30" l="1"/>
  <c r="I39" i="30"/>
  <c r="M37" i="30"/>
  <c r="O37" i="30" s="1"/>
  <c r="P37" i="30"/>
  <c r="R37" i="30" s="1"/>
  <c r="L37" i="30"/>
  <c r="V37" i="30"/>
  <c r="X37" i="30" s="1"/>
  <c r="Y37" i="30"/>
  <c r="AA37" i="30" s="1"/>
  <c r="S37" i="30"/>
  <c r="U37" i="30" s="1"/>
  <c r="I40" i="30" l="1"/>
  <c r="J39" i="30"/>
  <c r="V38" i="30"/>
  <c r="X38" i="30" s="1"/>
  <c r="Y38" i="30"/>
  <c r="AA38" i="30" s="1"/>
  <c r="L38" i="30"/>
  <c r="S38" i="30"/>
  <c r="U38" i="30" s="1"/>
  <c r="P38" i="30"/>
  <c r="R38" i="30" s="1"/>
  <c r="M38" i="30"/>
  <c r="O38" i="30" s="1"/>
  <c r="S39" i="30" l="1"/>
  <c r="U39" i="30" s="1"/>
  <c r="L39" i="30"/>
  <c r="Y39" i="30"/>
  <c r="AA39" i="30" s="1"/>
  <c r="P39" i="30"/>
  <c r="R39" i="30" s="1"/>
  <c r="M39" i="30"/>
  <c r="O39" i="30" s="1"/>
  <c r="V39" i="30"/>
  <c r="X39" i="30" s="1"/>
  <c r="J40" i="30"/>
  <c r="I41" i="30"/>
  <c r="J41" i="30" l="1"/>
  <c r="I42" i="30"/>
  <c r="P40" i="30"/>
  <c r="R40" i="30" s="1"/>
  <c r="M40" i="30"/>
  <c r="O40" i="30" s="1"/>
  <c r="L40" i="30"/>
  <c r="Y40" i="30"/>
  <c r="AA40" i="30" s="1"/>
  <c r="V40" i="30"/>
  <c r="X40" i="30" s="1"/>
  <c r="S40" i="30"/>
  <c r="U40" i="30" s="1"/>
  <c r="J42" i="30" l="1"/>
  <c r="I43" i="30"/>
  <c r="P41" i="30"/>
  <c r="R41" i="30" s="1"/>
  <c r="S41" i="30"/>
  <c r="U41" i="30" s="1"/>
  <c r="Y41" i="30"/>
  <c r="AA41" i="30" s="1"/>
  <c r="L41" i="30"/>
  <c r="M41" i="30"/>
  <c r="O41" i="30" s="1"/>
  <c r="V41" i="30"/>
  <c r="X41" i="30" s="1"/>
  <c r="J43" i="30" l="1"/>
  <c r="I44" i="30"/>
  <c r="M42" i="30"/>
  <c r="O42" i="30" s="1"/>
  <c r="V42" i="30"/>
  <c r="X42" i="30" s="1"/>
  <c r="S42" i="30"/>
  <c r="U42" i="30" s="1"/>
  <c r="P42" i="30"/>
  <c r="R42" i="30" s="1"/>
  <c r="L42" i="30"/>
  <c r="Y42" i="30"/>
  <c r="AA42" i="30" s="1"/>
  <c r="J44" i="30" l="1"/>
  <c r="I45" i="30"/>
  <c r="S43" i="30"/>
  <c r="U43" i="30" s="1"/>
  <c r="M43" i="30"/>
  <c r="O43" i="30" s="1"/>
  <c r="V43" i="30"/>
  <c r="X43" i="30" s="1"/>
  <c r="L43" i="30"/>
  <c r="Y43" i="30"/>
  <c r="AA43" i="30" s="1"/>
  <c r="P43" i="30"/>
  <c r="R43" i="30" s="1"/>
  <c r="J45" i="30" l="1"/>
  <c r="I46" i="30"/>
  <c r="P44" i="30"/>
  <c r="R44" i="30" s="1"/>
  <c r="S44" i="30"/>
  <c r="U44" i="30" s="1"/>
  <c r="L44" i="30"/>
  <c r="M44" i="30"/>
  <c r="O44" i="30" s="1"/>
  <c r="V44" i="30"/>
  <c r="X44" i="30" s="1"/>
  <c r="Y44" i="30"/>
  <c r="AA44" i="30" s="1"/>
  <c r="J46" i="30" l="1"/>
  <c r="I47" i="30"/>
  <c r="P45" i="30"/>
  <c r="R45" i="30" s="1"/>
  <c r="M45" i="30"/>
  <c r="O45" i="30" s="1"/>
  <c r="S45" i="30"/>
  <c r="U45" i="30" s="1"/>
  <c r="V45" i="30"/>
  <c r="X45" i="30" s="1"/>
  <c r="L45" i="30"/>
  <c r="Y45" i="30"/>
  <c r="AA45" i="30" s="1"/>
  <c r="J47" i="30" l="1"/>
  <c r="I48" i="30"/>
  <c r="P46" i="30"/>
  <c r="R46" i="30" s="1"/>
  <c r="S46" i="30"/>
  <c r="U46" i="30" s="1"/>
  <c r="M46" i="30"/>
  <c r="O46" i="30" s="1"/>
  <c r="Y46" i="30"/>
  <c r="AA46" i="30" s="1"/>
  <c r="L46" i="30"/>
  <c r="V46" i="30"/>
  <c r="X46" i="30" s="1"/>
  <c r="J48" i="30" l="1"/>
  <c r="I49" i="30"/>
  <c r="Y47" i="30"/>
  <c r="AA47" i="30" s="1"/>
  <c r="P47" i="30"/>
  <c r="R47" i="30" s="1"/>
  <c r="L47" i="30"/>
  <c r="S47" i="30"/>
  <c r="U47" i="30" s="1"/>
  <c r="V47" i="30"/>
  <c r="X47" i="30" s="1"/>
  <c r="M47" i="30"/>
  <c r="O47" i="30" s="1"/>
  <c r="J49" i="30" l="1"/>
  <c r="I50" i="30"/>
  <c r="M48" i="30"/>
  <c r="O48" i="30" s="1"/>
  <c r="P48" i="30"/>
  <c r="R48" i="30" s="1"/>
  <c r="L48" i="30"/>
  <c r="S48" i="30"/>
  <c r="U48" i="30" s="1"/>
  <c r="V48" i="30"/>
  <c r="X48" i="30" s="1"/>
  <c r="Y48" i="30"/>
  <c r="AA48" i="30" s="1"/>
  <c r="J50" i="30" l="1"/>
  <c r="I51" i="30"/>
  <c r="Y49" i="30"/>
  <c r="AA49" i="30" s="1"/>
  <c r="M49" i="30"/>
  <c r="O49" i="30" s="1"/>
  <c r="S49" i="30"/>
  <c r="U49" i="30" s="1"/>
  <c r="P49" i="30"/>
  <c r="R49" i="30" s="1"/>
  <c r="V49" i="30"/>
  <c r="X49" i="30" s="1"/>
  <c r="L49" i="30"/>
  <c r="J51" i="30" l="1"/>
  <c r="I52" i="30"/>
  <c r="M50" i="30"/>
  <c r="O50" i="30" s="1"/>
  <c r="P50" i="30"/>
  <c r="R50" i="30" s="1"/>
  <c r="S50" i="30"/>
  <c r="U50" i="30" s="1"/>
  <c r="L50" i="30"/>
  <c r="Y50" i="30"/>
  <c r="AA50" i="30" s="1"/>
  <c r="V50" i="30"/>
  <c r="X50" i="30" s="1"/>
  <c r="J52" i="30" l="1"/>
  <c r="I53" i="30"/>
  <c r="S51" i="30"/>
  <c r="U51" i="30" s="1"/>
  <c r="M51" i="30"/>
  <c r="O51" i="30" s="1"/>
  <c r="L51" i="30"/>
  <c r="P51" i="30"/>
  <c r="R51" i="30" s="1"/>
  <c r="Y51" i="30"/>
  <c r="AA51" i="30" s="1"/>
  <c r="V51" i="30"/>
  <c r="X51" i="30" s="1"/>
  <c r="J53" i="30" l="1"/>
  <c r="I54" i="30"/>
  <c r="V52" i="30"/>
  <c r="X52" i="30" s="1"/>
  <c r="M52" i="30"/>
  <c r="O52" i="30" s="1"/>
  <c r="S52" i="30"/>
  <c r="U52" i="30" s="1"/>
  <c r="L52" i="30"/>
  <c r="Y52" i="30"/>
  <c r="AA52" i="30" s="1"/>
  <c r="P52" i="30"/>
  <c r="R52" i="30" s="1"/>
  <c r="J54" i="30" l="1"/>
  <c r="I55" i="30"/>
  <c r="P53" i="30"/>
  <c r="R53" i="30" s="1"/>
  <c r="S53" i="30"/>
  <c r="U53" i="30" s="1"/>
  <c r="M53" i="30"/>
  <c r="O53" i="30" s="1"/>
  <c r="Y53" i="30"/>
  <c r="AA53" i="30" s="1"/>
  <c r="V53" i="30"/>
  <c r="X53" i="30" s="1"/>
  <c r="L53" i="30"/>
  <c r="J55" i="30" l="1"/>
  <c r="I56" i="30"/>
  <c r="V54" i="30"/>
  <c r="X54" i="30" s="1"/>
  <c r="P54" i="30"/>
  <c r="R54" i="30" s="1"/>
  <c r="L54" i="30"/>
  <c r="M54" i="30"/>
  <c r="O54" i="30" s="1"/>
  <c r="S54" i="30"/>
  <c r="U54" i="30" s="1"/>
  <c r="Y54" i="30"/>
  <c r="AA54" i="30" s="1"/>
  <c r="J56" i="30" l="1"/>
  <c r="I57" i="30"/>
  <c r="Y55" i="30"/>
  <c r="AA55" i="30" s="1"/>
  <c r="P55" i="30"/>
  <c r="R55" i="30" s="1"/>
  <c r="S55" i="30"/>
  <c r="U55" i="30" s="1"/>
  <c r="L55" i="30"/>
  <c r="V55" i="30"/>
  <c r="X55" i="30" s="1"/>
  <c r="M55" i="30"/>
  <c r="O55" i="30" s="1"/>
  <c r="I58" i="30" l="1"/>
  <c r="J57" i="30"/>
  <c r="S56" i="30"/>
  <c r="U56" i="30" s="1"/>
  <c r="L56" i="30"/>
  <c r="P56" i="30"/>
  <c r="R56" i="30" s="1"/>
  <c r="V56" i="30"/>
  <c r="X56" i="30" s="1"/>
  <c r="M56" i="30"/>
  <c r="O56" i="30" s="1"/>
  <c r="Y56" i="30"/>
  <c r="AA56" i="30" s="1"/>
  <c r="L57" i="30" l="1"/>
  <c r="V57" i="30"/>
  <c r="X57" i="30" s="1"/>
  <c r="M57" i="30"/>
  <c r="O57" i="30" s="1"/>
  <c r="Y57" i="30"/>
  <c r="AA57" i="30" s="1"/>
  <c r="P57" i="30"/>
  <c r="R57" i="30" s="1"/>
  <c r="S57" i="30"/>
  <c r="U57" i="30" s="1"/>
  <c r="J58" i="30"/>
  <c r="I59" i="30"/>
  <c r="J59" i="30" l="1"/>
  <c r="I60" i="30"/>
  <c r="P58" i="30"/>
  <c r="R58" i="30" s="1"/>
  <c r="Y58" i="30"/>
  <c r="AA58" i="30" s="1"/>
  <c r="M58" i="30"/>
  <c r="O58" i="30" s="1"/>
  <c r="L58" i="30"/>
  <c r="V58" i="30"/>
  <c r="X58" i="30" s="1"/>
  <c r="S58" i="30"/>
  <c r="U58" i="30" s="1"/>
  <c r="J60" i="30" l="1"/>
  <c r="I61" i="30"/>
  <c r="M59" i="30"/>
  <c r="O59" i="30" s="1"/>
  <c r="V59" i="30"/>
  <c r="X59" i="30" s="1"/>
  <c r="P59" i="30"/>
  <c r="R59" i="30" s="1"/>
  <c r="Y59" i="30"/>
  <c r="AA59" i="30" s="1"/>
  <c r="S59" i="30"/>
  <c r="U59" i="30" s="1"/>
  <c r="L59" i="30"/>
  <c r="J61" i="30" l="1"/>
  <c r="I62" i="30"/>
  <c r="S60" i="30"/>
  <c r="U60" i="30" s="1"/>
  <c r="P60" i="30"/>
  <c r="R60" i="30" s="1"/>
  <c r="L60" i="30"/>
  <c r="Y60" i="30"/>
  <c r="AA60" i="30" s="1"/>
  <c r="V60" i="30"/>
  <c r="X60" i="30" s="1"/>
  <c r="M60" i="30"/>
  <c r="O60" i="30" s="1"/>
  <c r="J62" i="30" l="1"/>
  <c r="I63" i="30"/>
  <c r="S61" i="30"/>
  <c r="U61" i="30" s="1"/>
  <c r="V61" i="30"/>
  <c r="X61" i="30" s="1"/>
  <c r="P61" i="30"/>
  <c r="R61" i="30" s="1"/>
  <c r="Y61" i="30"/>
  <c r="AA61" i="30" s="1"/>
  <c r="L61" i="30"/>
  <c r="M61" i="30"/>
  <c r="O61" i="30" s="1"/>
  <c r="J63" i="30" l="1"/>
  <c r="I64" i="30"/>
  <c r="V62" i="30"/>
  <c r="X62" i="30" s="1"/>
  <c r="M62" i="30"/>
  <c r="O62" i="30" s="1"/>
  <c r="L62" i="30"/>
  <c r="P62" i="30"/>
  <c r="R62" i="30" s="1"/>
  <c r="Y62" i="30"/>
  <c r="AA62" i="30" s="1"/>
  <c r="S62" i="30"/>
  <c r="U62" i="30" s="1"/>
  <c r="J64" i="30" l="1"/>
  <c r="I65" i="30"/>
  <c r="S63" i="30"/>
  <c r="U63" i="30" s="1"/>
  <c r="Y63" i="30"/>
  <c r="AA63" i="30" s="1"/>
  <c r="M63" i="30"/>
  <c r="O63" i="30" s="1"/>
  <c r="L63" i="30"/>
  <c r="V63" i="30"/>
  <c r="X63" i="30" s="1"/>
  <c r="P63" i="30"/>
  <c r="R63" i="30" s="1"/>
  <c r="J65" i="30" l="1"/>
  <c r="I66" i="30"/>
  <c r="Y64" i="30"/>
  <c r="AA64" i="30" s="1"/>
  <c r="S64" i="30"/>
  <c r="U64" i="30" s="1"/>
  <c r="L64" i="30"/>
  <c r="P64" i="30"/>
  <c r="R64" i="30" s="1"/>
  <c r="M64" i="30"/>
  <c r="O64" i="30" s="1"/>
  <c r="V64" i="30"/>
  <c r="X64" i="30" s="1"/>
  <c r="J66" i="30" l="1"/>
  <c r="I67" i="30"/>
  <c r="P65" i="30"/>
  <c r="R65" i="30" s="1"/>
  <c r="Y65" i="30"/>
  <c r="AA65" i="30" s="1"/>
  <c r="L65" i="30"/>
  <c r="M65" i="30"/>
  <c r="O65" i="30" s="1"/>
  <c r="S65" i="30"/>
  <c r="U65" i="30" s="1"/>
  <c r="V65" i="30"/>
  <c r="X65" i="30" s="1"/>
  <c r="J67" i="30" l="1"/>
  <c r="I68" i="30"/>
  <c r="L66" i="30"/>
  <c r="S66" i="30"/>
  <c r="U66" i="30" s="1"/>
  <c r="V66" i="30"/>
  <c r="X66" i="30" s="1"/>
  <c r="M66" i="30"/>
  <c r="O66" i="30" s="1"/>
  <c r="P66" i="30"/>
  <c r="R66" i="30" s="1"/>
  <c r="Y66" i="30"/>
  <c r="AA66" i="30" s="1"/>
  <c r="J68" i="30" l="1"/>
  <c r="I69" i="30"/>
  <c r="M67" i="30"/>
  <c r="O67" i="30" s="1"/>
  <c r="Y67" i="30"/>
  <c r="AA67" i="30" s="1"/>
  <c r="S67" i="30"/>
  <c r="U67" i="30" s="1"/>
  <c r="L67" i="30"/>
  <c r="P67" i="30"/>
  <c r="R67" i="30" s="1"/>
  <c r="V67" i="30"/>
  <c r="X67" i="30" s="1"/>
  <c r="J69" i="30" l="1"/>
  <c r="I70" i="30"/>
  <c r="V68" i="30"/>
  <c r="X68" i="30" s="1"/>
  <c r="P68" i="30"/>
  <c r="R68" i="30" s="1"/>
  <c r="L68" i="30"/>
  <c r="M68" i="30"/>
  <c r="O68" i="30" s="1"/>
  <c r="S68" i="30"/>
  <c r="U68" i="30" s="1"/>
  <c r="Y68" i="30"/>
  <c r="AA68" i="30" s="1"/>
  <c r="J70" i="30" l="1"/>
  <c r="I71" i="30"/>
  <c r="S69" i="30"/>
  <c r="U69" i="30" s="1"/>
  <c r="Y69" i="30"/>
  <c r="AA69" i="30" s="1"/>
  <c r="P69" i="30"/>
  <c r="R69" i="30" s="1"/>
  <c r="M69" i="30"/>
  <c r="O69" i="30" s="1"/>
  <c r="L69" i="30"/>
  <c r="V69" i="30"/>
  <c r="X69" i="30" s="1"/>
  <c r="J71" i="30" l="1"/>
  <c r="I72" i="30"/>
  <c r="P70" i="30"/>
  <c r="R70" i="30" s="1"/>
  <c r="Y70" i="30"/>
  <c r="AA70" i="30" s="1"/>
  <c r="L70" i="30"/>
  <c r="M70" i="30"/>
  <c r="O70" i="30" s="1"/>
  <c r="V70" i="30"/>
  <c r="X70" i="30" s="1"/>
  <c r="S70" i="30"/>
  <c r="U70" i="30" s="1"/>
  <c r="J72" i="30" l="1"/>
  <c r="I73" i="30"/>
  <c r="M71" i="30"/>
  <c r="O71" i="30" s="1"/>
  <c r="Y71" i="30"/>
  <c r="AA71" i="30" s="1"/>
  <c r="P71" i="30"/>
  <c r="R71" i="30" s="1"/>
  <c r="L71" i="30"/>
  <c r="S71" i="30"/>
  <c r="U71" i="30" s="1"/>
  <c r="V71" i="30"/>
  <c r="X71" i="30" s="1"/>
  <c r="J73" i="30" l="1"/>
  <c r="I74" i="30"/>
  <c r="Y72" i="30"/>
  <c r="AA72" i="30" s="1"/>
  <c r="P72" i="30"/>
  <c r="R72" i="30" s="1"/>
  <c r="V72" i="30"/>
  <c r="X72" i="30" s="1"/>
  <c r="L72" i="30"/>
  <c r="S72" i="30"/>
  <c r="U72" i="30" s="1"/>
  <c r="M72" i="30"/>
  <c r="O72" i="30" s="1"/>
  <c r="J74" i="30" l="1"/>
  <c r="I75" i="30"/>
  <c r="P73" i="30"/>
  <c r="R73" i="30" s="1"/>
  <c r="S73" i="30"/>
  <c r="U73" i="30" s="1"/>
  <c r="L73" i="30"/>
  <c r="Y73" i="30"/>
  <c r="AA73" i="30" s="1"/>
  <c r="V73" i="30"/>
  <c r="X73" i="30" s="1"/>
  <c r="M73" i="30"/>
  <c r="O73" i="30" s="1"/>
  <c r="J75" i="30" l="1"/>
  <c r="I76" i="30"/>
  <c r="L74" i="30"/>
  <c r="V74" i="30"/>
  <c r="X74" i="30" s="1"/>
  <c r="P74" i="30"/>
  <c r="R74" i="30" s="1"/>
  <c r="Y74" i="30"/>
  <c r="AA74" i="30" s="1"/>
  <c r="M74" i="30"/>
  <c r="O74" i="30" s="1"/>
  <c r="S74" i="30"/>
  <c r="U74" i="30" s="1"/>
  <c r="J76" i="30" l="1"/>
  <c r="I77" i="30"/>
  <c r="V75" i="30"/>
  <c r="X75" i="30" s="1"/>
  <c r="P75" i="30"/>
  <c r="R75" i="30" s="1"/>
  <c r="L75" i="30"/>
  <c r="S75" i="30"/>
  <c r="U75" i="30" s="1"/>
  <c r="Y75" i="30"/>
  <c r="AA75" i="30" s="1"/>
  <c r="M75" i="30"/>
  <c r="O75" i="30" s="1"/>
  <c r="J77" i="30" l="1"/>
  <c r="I78" i="30"/>
  <c r="S76" i="30"/>
  <c r="U76" i="30" s="1"/>
  <c r="P76" i="30"/>
  <c r="R76" i="30" s="1"/>
  <c r="M76" i="30"/>
  <c r="O76" i="30" s="1"/>
  <c r="L76" i="30"/>
  <c r="Y76" i="30"/>
  <c r="AA76" i="30" s="1"/>
  <c r="V76" i="30"/>
  <c r="X76" i="30" s="1"/>
  <c r="J78" i="30" l="1"/>
  <c r="I79" i="30"/>
  <c r="S77" i="30"/>
  <c r="U77" i="30" s="1"/>
  <c r="M77" i="30"/>
  <c r="O77" i="30" s="1"/>
  <c r="L77" i="30"/>
  <c r="Y77" i="30"/>
  <c r="AA77" i="30" s="1"/>
  <c r="P77" i="30"/>
  <c r="R77" i="30" s="1"/>
  <c r="V77" i="30"/>
  <c r="X77" i="30" s="1"/>
  <c r="J79" i="30" l="1"/>
  <c r="I80" i="30"/>
  <c r="V78" i="30"/>
  <c r="X78" i="30" s="1"/>
  <c r="M78" i="30"/>
  <c r="O78" i="30" s="1"/>
  <c r="S78" i="30"/>
  <c r="U78" i="30" s="1"/>
  <c r="L78" i="30"/>
  <c r="Y78" i="30"/>
  <c r="AA78" i="30" s="1"/>
  <c r="P78" i="30"/>
  <c r="R78" i="30" s="1"/>
  <c r="J80" i="30" l="1"/>
  <c r="I81" i="30"/>
  <c r="M79" i="30"/>
  <c r="O79" i="30" s="1"/>
  <c r="S79" i="30"/>
  <c r="U79" i="30" s="1"/>
  <c r="L79" i="30"/>
  <c r="Y79" i="30"/>
  <c r="AA79" i="30" s="1"/>
  <c r="P79" i="30"/>
  <c r="R79" i="30" s="1"/>
  <c r="V79" i="30"/>
  <c r="X79" i="30" s="1"/>
  <c r="J81" i="30" l="1"/>
  <c r="I82" i="30"/>
  <c r="V80" i="30"/>
  <c r="X80" i="30" s="1"/>
  <c r="M80" i="30"/>
  <c r="O80" i="30" s="1"/>
  <c r="L80" i="30"/>
  <c r="S80" i="30"/>
  <c r="U80" i="30" s="1"/>
  <c r="Y80" i="30"/>
  <c r="AA80" i="30" s="1"/>
  <c r="P80" i="30"/>
  <c r="R80" i="30" s="1"/>
  <c r="J82" i="30" l="1"/>
  <c r="I83" i="30"/>
  <c r="V81" i="30"/>
  <c r="X81" i="30" s="1"/>
  <c r="Y81" i="30"/>
  <c r="AA81" i="30" s="1"/>
  <c r="M81" i="30"/>
  <c r="O81" i="30" s="1"/>
  <c r="P81" i="30"/>
  <c r="R81" i="30" s="1"/>
  <c r="S81" i="30"/>
  <c r="U81" i="30" s="1"/>
  <c r="L81" i="30"/>
  <c r="J83" i="30" l="1"/>
  <c r="I84" i="30"/>
  <c r="V82" i="30"/>
  <c r="X82" i="30" s="1"/>
  <c r="S82" i="30"/>
  <c r="U82" i="30" s="1"/>
  <c r="L82" i="30"/>
  <c r="Y82" i="30"/>
  <c r="AA82" i="30" s="1"/>
  <c r="M82" i="30"/>
  <c r="O82" i="30" s="1"/>
  <c r="P82" i="30"/>
  <c r="R82" i="30" s="1"/>
  <c r="J84" i="30" l="1"/>
  <c r="I85" i="30"/>
  <c r="L83" i="30"/>
  <c r="Y83" i="30"/>
  <c r="AA83" i="30" s="1"/>
  <c r="V83" i="30"/>
  <c r="X83" i="30" s="1"/>
  <c r="M83" i="30"/>
  <c r="O83" i="30" s="1"/>
  <c r="P83" i="30"/>
  <c r="R83" i="30" s="1"/>
  <c r="S83" i="30"/>
  <c r="U83" i="30" s="1"/>
  <c r="J85" i="30" l="1"/>
  <c r="I86" i="30"/>
  <c r="M84" i="30"/>
  <c r="O84" i="30" s="1"/>
  <c r="V84" i="30"/>
  <c r="X84" i="30" s="1"/>
  <c r="S84" i="30"/>
  <c r="U84" i="30" s="1"/>
  <c r="L84" i="30"/>
  <c r="Y84" i="30"/>
  <c r="AA84" i="30" s="1"/>
  <c r="P84" i="30"/>
  <c r="R84" i="30" s="1"/>
  <c r="J86" i="30" l="1"/>
  <c r="I87" i="30"/>
  <c r="V85" i="30"/>
  <c r="X85" i="30" s="1"/>
  <c r="M85" i="30"/>
  <c r="O85" i="30" s="1"/>
  <c r="L85" i="30"/>
  <c r="P85" i="30"/>
  <c r="R85" i="30" s="1"/>
  <c r="S85" i="30"/>
  <c r="U85" i="30" s="1"/>
  <c r="Y85" i="30"/>
  <c r="AA85" i="30" s="1"/>
  <c r="J87" i="30" l="1"/>
  <c r="I88" i="30"/>
  <c r="M86" i="30"/>
  <c r="O86" i="30" s="1"/>
  <c r="Y86" i="30"/>
  <c r="AA86" i="30" s="1"/>
  <c r="L86" i="30"/>
  <c r="P86" i="30"/>
  <c r="R86" i="30" s="1"/>
  <c r="V86" i="30"/>
  <c r="X86" i="30" s="1"/>
  <c r="S86" i="30"/>
  <c r="U86" i="30" s="1"/>
  <c r="J88" i="30" l="1"/>
  <c r="I89" i="30"/>
  <c r="P87" i="30"/>
  <c r="R87" i="30" s="1"/>
  <c r="M87" i="30"/>
  <c r="O87" i="30" s="1"/>
  <c r="S87" i="30"/>
  <c r="U87" i="30" s="1"/>
  <c r="L87" i="30"/>
  <c r="Y87" i="30"/>
  <c r="AA87" i="30" s="1"/>
  <c r="V87" i="30"/>
  <c r="X87" i="30" s="1"/>
  <c r="J89" i="30" l="1"/>
  <c r="I90" i="30"/>
  <c r="Y88" i="30"/>
  <c r="AA88" i="30" s="1"/>
  <c r="V88" i="30"/>
  <c r="X88" i="30" s="1"/>
  <c r="P88" i="30"/>
  <c r="R88" i="30" s="1"/>
  <c r="M88" i="30"/>
  <c r="O88" i="30" s="1"/>
  <c r="L88" i="30"/>
  <c r="S88" i="30"/>
  <c r="U88" i="30" s="1"/>
  <c r="J90" i="30" l="1"/>
  <c r="I91" i="30"/>
  <c r="P89" i="30"/>
  <c r="R89" i="30" s="1"/>
  <c r="S89" i="30"/>
  <c r="U89" i="30" s="1"/>
  <c r="L89" i="30"/>
  <c r="Y89" i="30"/>
  <c r="AA89" i="30" s="1"/>
  <c r="V89" i="30"/>
  <c r="X89" i="30" s="1"/>
  <c r="M89" i="30"/>
  <c r="O89" i="30" s="1"/>
  <c r="J91" i="30" l="1"/>
  <c r="I92" i="30"/>
  <c r="M90" i="30"/>
  <c r="O90" i="30" s="1"/>
  <c r="P90" i="30"/>
  <c r="R90" i="30" s="1"/>
  <c r="Y90" i="30"/>
  <c r="AA90" i="30" s="1"/>
  <c r="V90" i="30"/>
  <c r="X90" i="30" s="1"/>
  <c r="L90" i="30"/>
  <c r="S90" i="30"/>
  <c r="U90" i="30" s="1"/>
  <c r="J92" i="30" l="1"/>
  <c r="I93" i="30"/>
  <c r="M91" i="30"/>
  <c r="O91" i="30" s="1"/>
  <c r="P91" i="30"/>
  <c r="R91" i="30" s="1"/>
  <c r="V91" i="30"/>
  <c r="X91" i="30" s="1"/>
  <c r="S91" i="30"/>
  <c r="U91" i="30" s="1"/>
  <c r="L91" i="30"/>
  <c r="Y91" i="30"/>
  <c r="AA91" i="30" s="1"/>
  <c r="J93" i="30" l="1"/>
  <c r="I94" i="30"/>
  <c r="Y92" i="30"/>
  <c r="AA92" i="30" s="1"/>
  <c r="M92" i="30"/>
  <c r="O92" i="30" s="1"/>
  <c r="P92" i="30"/>
  <c r="R92" i="30" s="1"/>
  <c r="L92" i="30"/>
  <c r="S92" i="30"/>
  <c r="U92" i="30" s="1"/>
  <c r="V92" i="30"/>
  <c r="X92" i="30" s="1"/>
  <c r="J94" i="30" l="1"/>
  <c r="I95" i="30"/>
  <c r="P93" i="30"/>
  <c r="R93" i="30" s="1"/>
  <c r="S93" i="30"/>
  <c r="U93" i="30" s="1"/>
  <c r="Y93" i="30"/>
  <c r="AA93" i="30" s="1"/>
  <c r="M93" i="30"/>
  <c r="O93" i="30" s="1"/>
  <c r="V93" i="30"/>
  <c r="X93" i="30" s="1"/>
  <c r="L93" i="30"/>
  <c r="J95" i="30" l="1"/>
  <c r="I96" i="30"/>
  <c r="Y94" i="30"/>
  <c r="AA94" i="30" s="1"/>
  <c r="S94" i="30"/>
  <c r="U94" i="30" s="1"/>
  <c r="P94" i="30"/>
  <c r="R94" i="30" s="1"/>
  <c r="M94" i="30"/>
  <c r="O94" i="30" s="1"/>
  <c r="V94" i="30"/>
  <c r="X94" i="30" s="1"/>
  <c r="L94" i="30"/>
  <c r="J96" i="30" l="1"/>
  <c r="I97" i="30"/>
  <c r="L95" i="30"/>
  <c r="V95" i="30"/>
  <c r="X95" i="30" s="1"/>
  <c r="M95" i="30"/>
  <c r="O95" i="30" s="1"/>
  <c r="S95" i="30"/>
  <c r="U95" i="30" s="1"/>
  <c r="P95" i="30"/>
  <c r="R95" i="30" s="1"/>
  <c r="Y95" i="30"/>
  <c r="AA95" i="30" s="1"/>
  <c r="J97" i="30" l="1"/>
  <c r="I98" i="30"/>
  <c r="P96" i="30"/>
  <c r="R96" i="30" s="1"/>
  <c r="V96" i="30"/>
  <c r="X96" i="30" s="1"/>
  <c r="L96" i="30"/>
  <c r="S96" i="30"/>
  <c r="U96" i="30" s="1"/>
  <c r="M96" i="30"/>
  <c r="O96" i="30" s="1"/>
  <c r="Y96" i="30"/>
  <c r="AA96" i="30" s="1"/>
  <c r="J98" i="30" l="1"/>
  <c r="I99" i="30"/>
  <c r="V97" i="30"/>
  <c r="X97" i="30" s="1"/>
  <c r="Y97" i="30"/>
  <c r="AA97" i="30" s="1"/>
  <c r="M97" i="30"/>
  <c r="O97" i="30" s="1"/>
  <c r="P97" i="30"/>
  <c r="R97" i="30" s="1"/>
  <c r="L97" i="30"/>
  <c r="S97" i="30"/>
  <c r="U97" i="30" s="1"/>
  <c r="J99" i="30" l="1"/>
  <c r="I100" i="30"/>
  <c r="V98" i="30"/>
  <c r="X98" i="30" s="1"/>
  <c r="P98" i="30"/>
  <c r="R98" i="30" s="1"/>
  <c r="L98" i="30"/>
  <c r="Y98" i="30"/>
  <c r="AA98" i="30" s="1"/>
  <c r="S98" i="30"/>
  <c r="U98" i="30" s="1"/>
  <c r="M98" i="30"/>
  <c r="O98" i="30" s="1"/>
  <c r="J100" i="30" l="1"/>
  <c r="I101" i="30"/>
  <c r="M99" i="30"/>
  <c r="O99" i="30" s="1"/>
  <c r="Y99" i="30"/>
  <c r="AA99" i="30" s="1"/>
  <c r="P99" i="30"/>
  <c r="R99" i="30" s="1"/>
  <c r="S99" i="30"/>
  <c r="U99" i="30" s="1"/>
  <c r="V99" i="30"/>
  <c r="X99" i="30" s="1"/>
  <c r="L99" i="30"/>
  <c r="J101" i="30" l="1"/>
  <c r="I102" i="30"/>
  <c r="S100" i="30"/>
  <c r="U100" i="30" s="1"/>
  <c r="M100" i="30"/>
  <c r="O100" i="30" s="1"/>
  <c r="P100" i="30"/>
  <c r="R100" i="30" s="1"/>
  <c r="L100" i="30"/>
  <c r="V100" i="30"/>
  <c r="X100" i="30" s="1"/>
  <c r="Y100" i="30"/>
  <c r="AA100" i="30" s="1"/>
  <c r="J102" i="30" l="1"/>
  <c r="I103" i="30"/>
  <c r="P101" i="30"/>
  <c r="R101" i="30" s="1"/>
  <c r="V101" i="30"/>
  <c r="X101" i="30" s="1"/>
  <c r="L101" i="30"/>
  <c r="S101" i="30"/>
  <c r="U101" i="30" s="1"/>
  <c r="Y101" i="30"/>
  <c r="AA101" i="30" s="1"/>
  <c r="M101" i="30"/>
  <c r="O101" i="30" s="1"/>
  <c r="J103" i="30" l="1"/>
  <c r="I104" i="30"/>
  <c r="P102" i="30"/>
  <c r="R102" i="30" s="1"/>
  <c r="L102" i="30"/>
  <c r="Y102" i="30"/>
  <c r="AA102" i="30" s="1"/>
  <c r="M102" i="30"/>
  <c r="O102" i="30" s="1"/>
  <c r="V102" i="30"/>
  <c r="X102" i="30" s="1"/>
  <c r="S102" i="30"/>
  <c r="U102" i="30" s="1"/>
  <c r="J104" i="30" l="1"/>
  <c r="I105" i="30"/>
  <c r="M103" i="30"/>
  <c r="O103" i="30" s="1"/>
  <c r="V103" i="30"/>
  <c r="X103" i="30" s="1"/>
  <c r="L103" i="30"/>
  <c r="Y103" i="30"/>
  <c r="AA103" i="30" s="1"/>
  <c r="P103" i="30"/>
  <c r="R103" i="30" s="1"/>
  <c r="S103" i="30"/>
  <c r="U103" i="30" s="1"/>
  <c r="J105" i="30" l="1"/>
  <c r="I106" i="30"/>
  <c r="V104" i="30"/>
  <c r="X104" i="30" s="1"/>
  <c r="Y104" i="30"/>
  <c r="AA104" i="30" s="1"/>
  <c r="S104" i="30"/>
  <c r="U104" i="30" s="1"/>
  <c r="P104" i="30"/>
  <c r="R104" i="30" s="1"/>
  <c r="M104" i="30"/>
  <c r="O104" i="30" s="1"/>
  <c r="L104" i="30"/>
  <c r="J106" i="30" l="1"/>
  <c r="I107" i="30"/>
  <c r="Y105" i="30"/>
  <c r="AA105" i="30" s="1"/>
  <c r="M105" i="30"/>
  <c r="O105" i="30" s="1"/>
  <c r="L105" i="30"/>
  <c r="V105" i="30"/>
  <c r="X105" i="30" s="1"/>
  <c r="S105" i="30"/>
  <c r="U105" i="30" s="1"/>
  <c r="P105" i="30"/>
  <c r="R105" i="30" s="1"/>
  <c r="J107" i="30" l="1"/>
  <c r="I108" i="30"/>
  <c r="P106" i="30"/>
  <c r="R106" i="30" s="1"/>
  <c r="Y106" i="30"/>
  <c r="AA106" i="30" s="1"/>
  <c r="S106" i="30"/>
  <c r="U106" i="30" s="1"/>
  <c r="L106" i="30"/>
  <c r="M106" i="30"/>
  <c r="O106" i="30" s="1"/>
  <c r="V106" i="30"/>
  <c r="X106" i="30" s="1"/>
  <c r="J108" i="30" l="1"/>
  <c r="I109" i="30"/>
  <c r="V107" i="30"/>
  <c r="X107" i="30" s="1"/>
  <c r="P107" i="30"/>
  <c r="R107" i="30" s="1"/>
  <c r="L107" i="30"/>
  <c r="M107" i="30"/>
  <c r="O107" i="30" s="1"/>
  <c r="Y107" i="30"/>
  <c r="AA107" i="30" s="1"/>
  <c r="S107" i="30"/>
  <c r="U107" i="30" s="1"/>
  <c r="J109" i="30" l="1"/>
  <c r="I110" i="30"/>
  <c r="M108" i="30"/>
  <c r="O108" i="30" s="1"/>
  <c r="Y108" i="30"/>
  <c r="AA108" i="30" s="1"/>
  <c r="L108" i="30"/>
  <c r="S108" i="30"/>
  <c r="U108" i="30" s="1"/>
  <c r="P108" i="30"/>
  <c r="R108" i="30" s="1"/>
  <c r="V108" i="30"/>
  <c r="X108" i="30" s="1"/>
  <c r="J110" i="30" l="1"/>
  <c r="I111" i="30"/>
  <c r="S109" i="30"/>
  <c r="U109" i="30" s="1"/>
  <c r="P109" i="30"/>
  <c r="R109" i="30" s="1"/>
  <c r="Y109" i="30"/>
  <c r="AA109" i="30" s="1"/>
  <c r="L109" i="30"/>
  <c r="M109" i="30"/>
  <c r="O109" i="30" s="1"/>
  <c r="V109" i="30"/>
  <c r="X109" i="30" s="1"/>
  <c r="J111" i="30" l="1"/>
  <c r="I112" i="30"/>
  <c r="Y110" i="30"/>
  <c r="AA110" i="30" s="1"/>
  <c r="M110" i="30"/>
  <c r="O110" i="30" s="1"/>
  <c r="L110" i="30"/>
  <c r="P110" i="30"/>
  <c r="R110" i="30" s="1"/>
  <c r="S110" i="30"/>
  <c r="U110" i="30" s="1"/>
  <c r="V110" i="30"/>
  <c r="X110" i="30" s="1"/>
  <c r="J112" i="30" l="1"/>
  <c r="I113" i="30"/>
  <c r="P111" i="30"/>
  <c r="R111" i="30" s="1"/>
  <c r="S111" i="30"/>
  <c r="U111" i="30" s="1"/>
  <c r="L111" i="30"/>
  <c r="V111" i="30"/>
  <c r="X111" i="30" s="1"/>
  <c r="Y111" i="30"/>
  <c r="AA111" i="30" s="1"/>
  <c r="M111" i="30"/>
  <c r="O111" i="30" s="1"/>
  <c r="J113" i="30" l="1"/>
  <c r="I114" i="30"/>
  <c r="P112" i="30"/>
  <c r="R112" i="30" s="1"/>
  <c r="S112" i="30"/>
  <c r="U112" i="30" s="1"/>
  <c r="L112" i="30"/>
  <c r="M112" i="30"/>
  <c r="O112" i="30" s="1"/>
  <c r="V112" i="30"/>
  <c r="X112" i="30" s="1"/>
  <c r="Y112" i="30"/>
  <c r="AA112" i="30" s="1"/>
  <c r="J114" i="30" l="1"/>
  <c r="I115" i="30"/>
  <c r="M113" i="30"/>
  <c r="O113" i="30" s="1"/>
  <c r="Y113" i="30"/>
  <c r="AA113" i="30" s="1"/>
  <c r="L113" i="30"/>
  <c r="S113" i="30"/>
  <c r="U113" i="30" s="1"/>
  <c r="V113" i="30"/>
  <c r="X113" i="30" s="1"/>
  <c r="P113" i="30"/>
  <c r="R113" i="30" s="1"/>
  <c r="J115" i="30" l="1"/>
  <c r="I116" i="30"/>
  <c r="P114" i="30"/>
  <c r="R114" i="30" s="1"/>
  <c r="Y114" i="30"/>
  <c r="AA114" i="30" s="1"/>
  <c r="M114" i="30"/>
  <c r="O114" i="30" s="1"/>
  <c r="L114" i="30"/>
  <c r="S114" i="30"/>
  <c r="U114" i="30" s="1"/>
  <c r="V114" i="30"/>
  <c r="X114" i="30" s="1"/>
  <c r="I117" i="30" l="1"/>
  <c r="J116" i="30"/>
  <c r="S115" i="30"/>
  <c r="U115" i="30" s="1"/>
  <c r="P115" i="30"/>
  <c r="R115" i="30" s="1"/>
  <c r="Y115" i="30"/>
  <c r="AA115" i="30" s="1"/>
  <c r="L115" i="30"/>
  <c r="M115" i="30"/>
  <c r="O115" i="30" s="1"/>
  <c r="V115" i="30"/>
  <c r="X115" i="30" s="1"/>
  <c r="P116" i="30" l="1"/>
  <c r="R116" i="30" s="1"/>
  <c r="L116" i="30"/>
  <c r="S116" i="30"/>
  <c r="U116" i="30" s="1"/>
  <c r="M116" i="30"/>
  <c r="O116" i="30" s="1"/>
  <c r="V116" i="30"/>
  <c r="X116" i="30" s="1"/>
  <c r="Y116" i="30"/>
  <c r="AA116" i="30" s="1"/>
  <c r="J117" i="30"/>
  <c r="I118" i="30"/>
  <c r="J118" i="30" l="1"/>
  <c r="I119" i="30"/>
  <c r="Y117" i="30"/>
  <c r="AA117" i="30" s="1"/>
  <c r="P117" i="30"/>
  <c r="R117" i="30" s="1"/>
  <c r="L117" i="30"/>
  <c r="V117" i="30"/>
  <c r="X117" i="30" s="1"/>
  <c r="S117" i="30"/>
  <c r="U117" i="30" s="1"/>
  <c r="M117" i="30"/>
  <c r="O117" i="30" s="1"/>
  <c r="J119" i="30" l="1"/>
  <c r="I120" i="30"/>
  <c r="M118" i="30"/>
  <c r="O118" i="30" s="1"/>
  <c r="P118" i="30"/>
  <c r="R118" i="30" s="1"/>
  <c r="Y118" i="30"/>
  <c r="AA118" i="30" s="1"/>
  <c r="L118" i="30"/>
  <c r="V118" i="30"/>
  <c r="X118" i="30" s="1"/>
  <c r="S118" i="30"/>
  <c r="U118" i="30" s="1"/>
  <c r="J120" i="30" l="1"/>
  <c r="I121" i="30"/>
  <c r="M119" i="30"/>
  <c r="O119" i="30" s="1"/>
  <c r="L119" i="30"/>
  <c r="P119" i="30"/>
  <c r="R119" i="30" s="1"/>
  <c r="Y119" i="30"/>
  <c r="AA119" i="30" s="1"/>
  <c r="S119" i="30"/>
  <c r="U119" i="30" s="1"/>
  <c r="V119" i="30"/>
  <c r="X119" i="30" s="1"/>
  <c r="J121" i="30" l="1"/>
  <c r="I122" i="30"/>
  <c r="V120" i="30"/>
  <c r="X120" i="30" s="1"/>
  <c r="M120" i="30"/>
  <c r="O120" i="30" s="1"/>
  <c r="P120" i="30"/>
  <c r="R120" i="30" s="1"/>
  <c r="L120" i="30"/>
  <c r="Y120" i="30"/>
  <c r="AA120" i="30" s="1"/>
  <c r="S120" i="30"/>
  <c r="U120" i="30" s="1"/>
  <c r="J122" i="30" l="1"/>
  <c r="I123" i="30"/>
  <c r="P121" i="30"/>
  <c r="R121" i="30" s="1"/>
  <c r="S121" i="30"/>
  <c r="U121" i="30" s="1"/>
  <c r="L121" i="30"/>
  <c r="M121" i="30"/>
  <c r="O121" i="30" s="1"/>
  <c r="Y121" i="30"/>
  <c r="AA121" i="30" s="1"/>
  <c r="V121" i="30"/>
  <c r="X121" i="30" s="1"/>
  <c r="J123" i="30" l="1"/>
  <c r="I124" i="30"/>
  <c r="V122" i="30"/>
  <c r="X122" i="30" s="1"/>
  <c r="S122" i="30"/>
  <c r="U122" i="30" s="1"/>
  <c r="P122" i="30"/>
  <c r="R122" i="30" s="1"/>
  <c r="M122" i="30"/>
  <c r="O122" i="30" s="1"/>
  <c r="Y122" i="30"/>
  <c r="AA122" i="30" s="1"/>
  <c r="L122" i="30"/>
  <c r="J124" i="30" l="1"/>
  <c r="I125" i="30"/>
  <c r="V123" i="30"/>
  <c r="X123" i="30" s="1"/>
  <c r="Y123" i="30"/>
  <c r="AA123" i="30" s="1"/>
  <c r="L123" i="30"/>
  <c r="M123" i="30"/>
  <c r="O123" i="30" s="1"/>
  <c r="S123" i="30"/>
  <c r="U123" i="30" s="1"/>
  <c r="P123" i="30"/>
  <c r="R123" i="30" s="1"/>
  <c r="J125" i="30" l="1"/>
  <c r="I126" i="30"/>
  <c r="M124" i="30"/>
  <c r="O124" i="30" s="1"/>
  <c r="S124" i="30"/>
  <c r="U124" i="30" s="1"/>
  <c r="L124" i="30"/>
  <c r="V124" i="30"/>
  <c r="X124" i="30" s="1"/>
  <c r="Y124" i="30"/>
  <c r="AA124" i="30" s="1"/>
  <c r="P124" i="30"/>
  <c r="R124" i="30" s="1"/>
  <c r="J126" i="30" l="1"/>
  <c r="I127" i="30"/>
  <c r="V125" i="30"/>
  <c r="X125" i="30" s="1"/>
  <c r="M125" i="30"/>
  <c r="O125" i="30" s="1"/>
  <c r="L125" i="30"/>
  <c r="S125" i="30"/>
  <c r="U125" i="30" s="1"/>
  <c r="Y125" i="30"/>
  <c r="AA125" i="30" s="1"/>
  <c r="P125" i="30"/>
  <c r="R125" i="30" s="1"/>
  <c r="I128" i="30" l="1"/>
  <c r="J127" i="30"/>
  <c r="V126" i="30"/>
  <c r="X126" i="30" s="1"/>
  <c r="P126" i="30"/>
  <c r="R126" i="30" s="1"/>
  <c r="L126" i="30"/>
  <c r="Y126" i="30"/>
  <c r="AA126" i="30" s="1"/>
  <c r="S126" i="30"/>
  <c r="U126" i="30" s="1"/>
  <c r="M126" i="30"/>
  <c r="O126" i="30" s="1"/>
  <c r="L127" i="30" l="1"/>
  <c r="V127" i="30"/>
  <c r="X127" i="30" s="1"/>
  <c r="P127" i="30"/>
  <c r="R127" i="30" s="1"/>
  <c r="M127" i="30"/>
  <c r="O127" i="30" s="1"/>
  <c r="Y127" i="30"/>
  <c r="AA127" i="30" s="1"/>
  <c r="S127" i="30"/>
  <c r="U127" i="30" s="1"/>
  <c r="I129" i="30"/>
  <c r="J128" i="30"/>
  <c r="Y128" i="30" l="1"/>
  <c r="AA128" i="30" s="1"/>
  <c r="L128" i="30"/>
  <c r="V128" i="30"/>
  <c r="X128" i="30" s="1"/>
  <c r="M128" i="30"/>
  <c r="O128" i="30" s="1"/>
  <c r="S128" i="30"/>
  <c r="U128" i="30" s="1"/>
  <c r="P128" i="30"/>
  <c r="R128" i="30" s="1"/>
  <c r="J129" i="30"/>
  <c r="I130" i="30"/>
  <c r="J130" i="30" l="1"/>
  <c r="I131" i="30"/>
  <c r="V129" i="30"/>
  <c r="X129" i="30" s="1"/>
  <c r="M129" i="30"/>
  <c r="O129" i="30" s="1"/>
  <c r="P129" i="30"/>
  <c r="R129" i="30" s="1"/>
  <c r="L129" i="30"/>
  <c r="S129" i="30"/>
  <c r="U129" i="30" s="1"/>
  <c r="Y129" i="30"/>
  <c r="AA129" i="30" s="1"/>
  <c r="I132" i="30" l="1"/>
  <c r="J131" i="30"/>
  <c r="M130" i="30"/>
  <c r="O130" i="30" s="1"/>
  <c r="S130" i="30"/>
  <c r="U130" i="30" s="1"/>
  <c r="L130" i="30"/>
  <c r="V130" i="30"/>
  <c r="X130" i="30" s="1"/>
  <c r="Y130" i="30"/>
  <c r="AA130" i="30" s="1"/>
  <c r="P130" i="30"/>
  <c r="R130" i="30" s="1"/>
  <c r="L131" i="30" l="1"/>
  <c r="S131" i="30"/>
  <c r="U131" i="30" s="1"/>
  <c r="Y131" i="30"/>
  <c r="AA131" i="30" s="1"/>
  <c r="P131" i="30"/>
  <c r="R131" i="30" s="1"/>
  <c r="V131" i="30"/>
  <c r="X131" i="30" s="1"/>
  <c r="M131" i="30"/>
  <c r="O131" i="30" s="1"/>
  <c r="I133" i="30"/>
  <c r="J132" i="30"/>
  <c r="L132" i="30" l="1"/>
  <c r="Y132" i="30"/>
  <c r="AA132" i="30" s="1"/>
  <c r="M132" i="30"/>
  <c r="O132" i="30" s="1"/>
  <c r="V132" i="30"/>
  <c r="X132" i="30" s="1"/>
  <c r="S132" i="30"/>
  <c r="U132" i="30" s="1"/>
  <c r="P132" i="30"/>
  <c r="R132" i="30" s="1"/>
  <c r="I134" i="30"/>
  <c r="J133" i="30"/>
  <c r="L133" i="30" l="1"/>
  <c r="Y133" i="30"/>
  <c r="AA133" i="30" s="1"/>
  <c r="V133" i="30"/>
  <c r="X133" i="30" s="1"/>
  <c r="P133" i="30"/>
  <c r="R133" i="30" s="1"/>
  <c r="M133" i="30"/>
  <c r="O133" i="30" s="1"/>
  <c r="S133" i="30"/>
  <c r="U133" i="30" s="1"/>
  <c r="J134" i="30"/>
  <c r="I135" i="30"/>
  <c r="J135" i="30" l="1"/>
  <c r="I136" i="30"/>
  <c r="P134" i="30"/>
  <c r="R134" i="30" s="1"/>
  <c r="V134" i="30"/>
  <c r="X134" i="30" s="1"/>
  <c r="L134" i="30"/>
  <c r="Y134" i="30"/>
  <c r="AA134" i="30" s="1"/>
  <c r="S134" i="30"/>
  <c r="U134" i="30" s="1"/>
  <c r="M134" i="30"/>
  <c r="O134" i="30" s="1"/>
  <c r="J136" i="30" l="1"/>
  <c r="I137" i="30"/>
  <c r="Y135" i="30"/>
  <c r="AA135" i="30" s="1"/>
  <c r="P135" i="30"/>
  <c r="R135" i="30" s="1"/>
  <c r="L135" i="30"/>
  <c r="V135" i="30"/>
  <c r="X135" i="30" s="1"/>
  <c r="S135" i="30"/>
  <c r="U135" i="30" s="1"/>
  <c r="M135" i="30"/>
  <c r="O135" i="30" s="1"/>
  <c r="J137" i="30" l="1"/>
  <c r="I138" i="30"/>
  <c r="Y136" i="30"/>
  <c r="AA136" i="30" s="1"/>
  <c r="M136" i="30"/>
  <c r="O136" i="30" s="1"/>
  <c r="V136" i="30"/>
  <c r="X136" i="30" s="1"/>
  <c r="L136" i="30"/>
  <c r="S136" i="30"/>
  <c r="U136" i="30" s="1"/>
  <c r="P136" i="30"/>
  <c r="R136" i="30" s="1"/>
  <c r="J138" i="30" l="1"/>
  <c r="I139" i="30"/>
  <c r="M137" i="30"/>
  <c r="O137" i="30" s="1"/>
  <c r="S137" i="30"/>
  <c r="U137" i="30" s="1"/>
  <c r="L137" i="30"/>
  <c r="Y137" i="30"/>
  <c r="AA137" i="30" s="1"/>
  <c r="V137" i="30"/>
  <c r="X137" i="30" s="1"/>
  <c r="P137" i="30"/>
  <c r="R137" i="30" s="1"/>
  <c r="I140" i="30" l="1"/>
  <c r="J139" i="30"/>
  <c r="P138" i="30"/>
  <c r="R138" i="30" s="1"/>
  <c r="M138" i="30"/>
  <c r="O138" i="30" s="1"/>
  <c r="L138" i="30"/>
  <c r="Y138" i="30"/>
  <c r="AA138" i="30" s="1"/>
  <c r="S138" i="30"/>
  <c r="U138" i="30" s="1"/>
  <c r="V138" i="30"/>
  <c r="X138" i="30" s="1"/>
  <c r="M139" i="30" l="1"/>
  <c r="O139" i="30" s="1"/>
  <c r="L139" i="30"/>
  <c r="V139" i="30"/>
  <c r="X139" i="30" s="1"/>
  <c r="P139" i="30"/>
  <c r="R139" i="30" s="1"/>
  <c r="S139" i="30"/>
  <c r="U139" i="30" s="1"/>
  <c r="Y139" i="30"/>
  <c r="AA139" i="30" s="1"/>
  <c r="J140" i="30"/>
  <c r="I141" i="30"/>
  <c r="J141" i="30" l="1"/>
  <c r="I142" i="30"/>
  <c r="S140" i="30"/>
  <c r="U140" i="30" s="1"/>
  <c r="M140" i="30"/>
  <c r="O140" i="30" s="1"/>
  <c r="L140" i="30"/>
  <c r="V140" i="30"/>
  <c r="X140" i="30" s="1"/>
  <c r="P140" i="30"/>
  <c r="R140" i="30" s="1"/>
  <c r="Y140" i="30"/>
  <c r="AA140" i="30" s="1"/>
  <c r="J142" i="30" l="1"/>
  <c r="I143" i="30"/>
  <c r="P141" i="30"/>
  <c r="R141" i="30" s="1"/>
  <c r="M141" i="30"/>
  <c r="O141" i="30" s="1"/>
  <c r="L141" i="30"/>
  <c r="S141" i="30"/>
  <c r="U141" i="30" s="1"/>
  <c r="Y141" i="30"/>
  <c r="AA141" i="30" s="1"/>
  <c r="V141" i="30"/>
  <c r="X141" i="30" s="1"/>
  <c r="J143" i="30" l="1"/>
  <c r="I144" i="30"/>
  <c r="Y142" i="30"/>
  <c r="AA142" i="30" s="1"/>
  <c r="S142" i="30"/>
  <c r="U142" i="30" s="1"/>
  <c r="L142" i="30"/>
  <c r="V142" i="30"/>
  <c r="X142" i="30" s="1"/>
  <c r="M142" i="30"/>
  <c r="O142" i="30" s="1"/>
  <c r="P142" i="30"/>
  <c r="R142" i="30" s="1"/>
  <c r="J144" i="30" l="1"/>
  <c r="I145" i="30"/>
  <c r="P143" i="30"/>
  <c r="R143" i="30" s="1"/>
  <c r="S143" i="30"/>
  <c r="U143" i="30" s="1"/>
  <c r="L143" i="30"/>
  <c r="M143" i="30"/>
  <c r="O143" i="30" s="1"/>
  <c r="Y143" i="30"/>
  <c r="AA143" i="30" s="1"/>
  <c r="V143" i="30"/>
  <c r="X143" i="30" s="1"/>
  <c r="J145" i="30" l="1"/>
  <c r="I146" i="30"/>
  <c r="V144" i="30"/>
  <c r="X144" i="30" s="1"/>
  <c r="P144" i="30"/>
  <c r="R144" i="30" s="1"/>
  <c r="L144" i="30"/>
  <c r="Y144" i="30"/>
  <c r="AA144" i="30" s="1"/>
  <c r="M144" i="30"/>
  <c r="O144" i="30" s="1"/>
  <c r="S144" i="30"/>
  <c r="U144" i="30" s="1"/>
  <c r="J146" i="30" l="1"/>
  <c r="I147" i="30"/>
  <c r="M145" i="30"/>
  <c r="O145" i="30" s="1"/>
  <c r="P145" i="30"/>
  <c r="R145" i="30" s="1"/>
  <c r="V145" i="30"/>
  <c r="X145" i="30" s="1"/>
  <c r="S145" i="30"/>
  <c r="U145" i="30" s="1"/>
  <c r="L145" i="30"/>
  <c r="Y145" i="30"/>
  <c r="AA145" i="30" s="1"/>
  <c r="J147" i="30" l="1"/>
  <c r="I148" i="30"/>
  <c r="P146" i="30"/>
  <c r="R146" i="30" s="1"/>
  <c r="M146" i="30"/>
  <c r="O146" i="30" s="1"/>
  <c r="Y146" i="30"/>
  <c r="AA146" i="30" s="1"/>
  <c r="L146" i="30"/>
  <c r="V146" i="30"/>
  <c r="X146" i="30" s="1"/>
  <c r="S146" i="30"/>
  <c r="U146" i="30" s="1"/>
  <c r="J148" i="30" l="1"/>
  <c r="I149" i="30"/>
  <c r="M147" i="30"/>
  <c r="O147" i="30" s="1"/>
  <c r="V147" i="30"/>
  <c r="X147" i="30" s="1"/>
  <c r="Y147" i="30"/>
  <c r="AA147" i="30" s="1"/>
  <c r="L147" i="30"/>
  <c r="S147" i="30"/>
  <c r="U147" i="30" s="1"/>
  <c r="P147" i="30"/>
  <c r="R147" i="30" s="1"/>
  <c r="J149" i="30" l="1"/>
  <c r="I150" i="30"/>
  <c r="S148" i="30"/>
  <c r="U148" i="30" s="1"/>
  <c r="L148" i="30"/>
  <c r="P148" i="30"/>
  <c r="R148" i="30" s="1"/>
  <c r="Y148" i="30"/>
  <c r="AA148" i="30" s="1"/>
  <c r="M148" i="30"/>
  <c r="O148" i="30" s="1"/>
  <c r="V148" i="30"/>
  <c r="X148" i="30" s="1"/>
  <c r="I151" i="30" l="1"/>
  <c r="J150" i="30"/>
  <c r="V149" i="30"/>
  <c r="X149" i="30" s="1"/>
  <c r="S149" i="30"/>
  <c r="U149" i="30" s="1"/>
  <c r="L149" i="30"/>
  <c r="P149" i="30"/>
  <c r="R149" i="30" s="1"/>
  <c r="Y149" i="30"/>
  <c r="AA149" i="30" s="1"/>
  <c r="M149" i="30"/>
  <c r="O149" i="30" s="1"/>
  <c r="L150" i="30" l="1"/>
  <c r="Y150" i="30"/>
  <c r="AA150" i="30" s="1"/>
  <c r="P150" i="30"/>
  <c r="R150" i="30" s="1"/>
  <c r="V150" i="30"/>
  <c r="X150" i="30" s="1"/>
  <c r="M150" i="30"/>
  <c r="O150" i="30" s="1"/>
  <c r="S150" i="30"/>
  <c r="U150" i="30" s="1"/>
  <c r="I152" i="30"/>
  <c r="J151" i="30"/>
  <c r="V151" i="30" l="1"/>
  <c r="X151" i="30" s="1"/>
  <c r="L151" i="30"/>
  <c r="M151" i="30"/>
  <c r="O151" i="30" s="1"/>
  <c r="S151" i="30"/>
  <c r="U151" i="30" s="1"/>
  <c r="P151" i="30"/>
  <c r="R151" i="30" s="1"/>
  <c r="Y151" i="30"/>
  <c r="AA151" i="30" s="1"/>
  <c r="J152" i="30"/>
  <c r="I153" i="30"/>
  <c r="J153" i="30" l="1"/>
  <c r="I154" i="30"/>
  <c r="Y152" i="30"/>
  <c r="AA152" i="30" s="1"/>
  <c r="V152" i="30"/>
  <c r="X152" i="30" s="1"/>
  <c r="P152" i="30"/>
  <c r="R152" i="30" s="1"/>
  <c r="M152" i="30"/>
  <c r="O152" i="30" s="1"/>
  <c r="L152" i="30"/>
  <c r="S152" i="30"/>
  <c r="U152" i="30" s="1"/>
  <c r="J154" i="30" l="1"/>
  <c r="I155" i="30"/>
  <c r="P153" i="30"/>
  <c r="R153" i="30" s="1"/>
  <c r="S153" i="30"/>
  <c r="U153" i="30" s="1"/>
  <c r="L153" i="30"/>
  <c r="V153" i="30"/>
  <c r="X153" i="30" s="1"/>
  <c r="Y153" i="30"/>
  <c r="AA153" i="30" s="1"/>
  <c r="M153" i="30"/>
  <c r="O153" i="30" s="1"/>
  <c r="I156" i="30" l="1"/>
  <c r="J155" i="30"/>
  <c r="Y154" i="30"/>
  <c r="AA154" i="30" s="1"/>
  <c r="V154" i="30"/>
  <c r="X154" i="30" s="1"/>
  <c r="L154" i="30"/>
  <c r="S154" i="30"/>
  <c r="U154" i="30" s="1"/>
  <c r="P154" i="30"/>
  <c r="R154" i="30" s="1"/>
  <c r="M154" i="30"/>
  <c r="O154" i="30" s="1"/>
  <c r="L155" i="30" l="1"/>
  <c r="V155" i="30"/>
  <c r="X155" i="30" s="1"/>
  <c r="M155" i="30"/>
  <c r="O155" i="30" s="1"/>
  <c r="P155" i="30"/>
  <c r="R155" i="30" s="1"/>
  <c r="S155" i="30"/>
  <c r="U155" i="30" s="1"/>
  <c r="Y155" i="30"/>
  <c r="AA155" i="30" s="1"/>
  <c r="J156" i="30"/>
  <c r="I157" i="30"/>
  <c r="I158" i="30" l="1"/>
  <c r="J157" i="30"/>
  <c r="P156" i="30"/>
  <c r="R156" i="30" s="1"/>
  <c r="Y156" i="30"/>
  <c r="AA156" i="30" s="1"/>
  <c r="M156" i="30"/>
  <c r="O156" i="30" s="1"/>
  <c r="L156" i="30"/>
  <c r="S156" i="30"/>
  <c r="U156" i="30" s="1"/>
  <c r="V156" i="30"/>
  <c r="X156" i="30" s="1"/>
  <c r="S157" i="30" l="1"/>
  <c r="U157" i="30" s="1"/>
  <c r="L157" i="30"/>
  <c r="V157" i="30"/>
  <c r="X157" i="30" s="1"/>
  <c r="Y157" i="30"/>
  <c r="AA157" i="30" s="1"/>
  <c r="P157" i="30"/>
  <c r="R157" i="30" s="1"/>
  <c r="M157" i="30"/>
  <c r="O157" i="30" s="1"/>
  <c r="J158" i="30"/>
  <c r="I159" i="30"/>
  <c r="I160" i="30" l="1"/>
  <c r="J159" i="30"/>
  <c r="Y158" i="30"/>
  <c r="AA158" i="30" s="1"/>
  <c r="S158" i="30"/>
  <c r="U158" i="30" s="1"/>
  <c r="L158" i="30"/>
  <c r="P158" i="30"/>
  <c r="R158" i="30" s="1"/>
  <c r="M158" i="30"/>
  <c r="O158" i="30" s="1"/>
  <c r="V158" i="30"/>
  <c r="X158" i="30" s="1"/>
  <c r="L159" i="30" l="1"/>
  <c r="S159" i="30"/>
  <c r="U159" i="30" s="1"/>
  <c r="V159" i="30"/>
  <c r="X159" i="30" s="1"/>
  <c r="M159" i="30"/>
  <c r="O159" i="30" s="1"/>
  <c r="Y159" i="30"/>
  <c r="AA159" i="30" s="1"/>
  <c r="P159" i="30"/>
  <c r="R159" i="30" s="1"/>
  <c r="J160" i="30"/>
  <c r="I161" i="30"/>
  <c r="J161" i="30" l="1"/>
  <c r="I162" i="30"/>
  <c r="V160" i="30"/>
  <c r="X160" i="30" s="1"/>
  <c r="Y160" i="30"/>
  <c r="AA160" i="30" s="1"/>
  <c r="P160" i="30"/>
  <c r="R160" i="30" s="1"/>
  <c r="L160" i="30"/>
  <c r="S160" i="30"/>
  <c r="U160" i="30" s="1"/>
  <c r="M160" i="30"/>
  <c r="O160" i="30" s="1"/>
  <c r="J162" i="30" l="1"/>
  <c r="I163" i="30"/>
  <c r="V161" i="30"/>
  <c r="X161" i="30" s="1"/>
  <c r="S161" i="30"/>
  <c r="U161" i="30" s="1"/>
  <c r="L161" i="30"/>
  <c r="M161" i="30"/>
  <c r="O161" i="30" s="1"/>
  <c r="Y161" i="30"/>
  <c r="AA161" i="30" s="1"/>
  <c r="P161" i="30"/>
  <c r="R161" i="30" s="1"/>
  <c r="J163" i="30" l="1"/>
  <c r="I164" i="30"/>
  <c r="Y162" i="30"/>
  <c r="AA162" i="30" s="1"/>
  <c r="L162" i="30"/>
  <c r="M162" i="30"/>
  <c r="O162" i="30" s="1"/>
  <c r="V162" i="30"/>
  <c r="X162" i="30" s="1"/>
  <c r="S162" i="30"/>
  <c r="U162" i="30" s="1"/>
  <c r="P162" i="30"/>
  <c r="R162" i="30" s="1"/>
  <c r="J164" i="30" l="1"/>
  <c r="I165" i="30"/>
  <c r="V163" i="30"/>
  <c r="X163" i="30" s="1"/>
  <c r="Y163" i="30"/>
  <c r="AA163" i="30" s="1"/>
  <c r="S163" i="30"/>
  <c r="U163" i="30" s="1"/>
  <c r="M163" i="30"/>
  <c r="O163" i="30" s="1"/>
  <c r="L163" i="30"/>
  <c r="P163" i="30"/>
  <c r="R163" i="30" s="1"/>
  <c r="J165" i="30" l="1"/>
  <c r="I166" i="30"/>
  <c r="V164" i="30"/>
  <c r="X164" i="30" s="1"/>
  <c r="P164" i="30"/>
  <c r="R164" i="30" s="1"/>
  <c r="L164" i="30"/>
  <c r="S164" i="30"/>
  <c r="U164" i="30" s="1"/>
  <c r="M164" i="30"/>
  <c r="O164" i="30" s="1"/>
  <c r="Y164" i="30"/>
  <c r="AA164" i="30" s="1"/>
  <c r="J166" i="30" l="1"/>
  <c r="I167" i="30"/>
  <c r="P165" i="30"/>
  <c r="R165" i="30" s="1"/>
  <c r="V165" i="30"/>
  <c r="X165" i="30" s="1"/>
  <c r="L165" i="30"/>
  <c r="Y165" i="30"/>
  <c r="AA165" i="30" s="1"/>
  <c r="M165" i="30"/>
  <c r="O165" i="30" s="1"/>
  <c r="S165" i="30"/>
  <c r="U165" i="30" s="1"/>
  <c r="I168" i="30" l="1"/>
  <c r="J167" i="30"/>
  <c r="Y166" i="30"/>
  <c r="AA166" i="30" s="1"/>
  <c r="M166" i="30"/>
  <c r="O166" i="30" s="1"/>
  <c r="V166" i="30"/>
  <c r="X166" i="30" s="1"/>
  <c r="L166" i="30"/>
  <c r="S166" i="30"/>
  <c r="U166" i="30" s="1"/>
  <c r="P166" i="30"/>
  <c r="R166" i="30" s="1"/>
  <c r="L167" i="30" l="1"/>
  <c r="P167" i="30"/>
  <c r="R167" i="30" s="1"/>
  <c r="Y167" i="30"/>
  <c r="AA167" i="30" s="1"/>
  <c r="S167" i="30"/>
  <c r="U167" i="30" s="1"/>
  <c r="V167" i="30"/>
  <c r="X167" i="30" s="1"/>
  <c r="M167" i="30"/>
  <c r="O167" i="30" s="1"/>
  <c r="J168" i="30"/>
  <c r="I169" i="30"/>
  <c r="I170" i="30" l="1"/>
  <c r="J169" i="30"/>
  <c r="L168" i="30"/>
  <c r="V168" i="30"/>
  <c r="X168" i="30" s="1"/>
  <c r="Y168" i="30"/>
  <c r="AA168" i="30" s="1"/>
  <c r="S168" i="30"/>
  <c r="U168" i="30" s="1"/>
  <c r="P168" i="30"/>
  <c r="R168" i="30" s="1"/>
  <c r="M168" i="30"/>
  <c r="O168" i="30" s="1"/>
  <c r="P169" i="30" l="1"/>
  <c r="R169" i="30" s="1"/>
  <c r="V169" i="30"/>
  <c r="X169" i="30" s="1"/>
  <c r="Y169" i="30"/>
  <c r="AA169" i="30" s="1"/>
  <c r="S169" i="30"/>
  <c r="U169" i="30" s="1"/>
  <c r="L169" i="30"/>
  <c r="M169" i="30"/>
  <c r="O169" i="30" s="1"/>
  <c r="J170" i="30"/>
  <c r="I171" i="30"/>
  <c r="J171" i="30" l="1"/>
  <c r="I172" i="30"/>
  <c r="V170" i="30"/>
  <c r="X170" i="30" s="1"/>
  <c r="L170" i="30"/>
  <c r="S170" i="30"/>
  <c r="U170" i="30" s="1"/>
  <c r="M170" i="30"/>
  <c r="O170" i="30" s="1"/>
  <c r="P170" i="30"/>
  <c r="R170" i="30" s="1"/>
  <c r="Y170" i="30"/>
  <c r="AA170" i="30" s="1"/>
  <c r="I173" i="30" l="1"/>
  <c r="J172" i="30"/>
  <c r="Y171" i="30"/>
  <c r="AA171" i="30" s="1"/>
  <c r="S171" i="30"/>
  <c r="U171" i="30" s="1"/>
  <c r="V171" i="30"/>
  <c r="X171" i="30" s="1"/>
  <c r="M171" i="30"/>
  <c r="O171" i="30" s="1"/>
  <c r="P171" i="30"/>
  <c r="R171" i="30" s="1"/>
  <c r="L171" i="30"/>
  <c r="P172" i="30" l="1"/>
  <c r="R172" i="30" s="1"/>
  <c r="Y172" i="30"/>
  <c r="AA172" i="30" s="1"/>
  <c r="M172" i="30"/>
  <c r="O172" i="30" s="1"/>
  <c r="S172" i="30"/>
  <c r="U172" i="30" s="1"/>
  <c r="V172" i="30"/>
  <c r="X172" i="30" s="1"/>
  <c r="L172" i="30"/>
  <c r="I174" i="30"/>
  <c r="J173" i="30"/>
  <c r="S173" i="30" l="1"/>
  <c r="U173" i="30" s="1"/>
  <c r="P173" i="30"/>
  <c r="R173" i="30" s="1"/>
  <c r="M173" i="30"/>
  <c r="O173" i="30" s="1"/>
  <c r="Y173" i="30"/>
  <c r="AA173" i="30" s="1"/>
  <c r="L173" i="30"/>
  <c r="V173" i="30"/>
  <c r="X173" i="30" s="1"/>
  <c r="J174" i="30"/>
  <c r="I175" i="30"/>
  <c r="J175" i="30" l="1"/>
  <c r="I176" i="30"/>
  <c r="P174" i="30"/>
  <c r="R174" i="30" s="1"/>
  <c r="V174" i="30"/>
  <c r="X174" i="30" s="1"/>
  <c r="L174" i="30"/>
  <c r="M174" i="30"/>
  <c r="O174" i="30" s="1"/>
  <c r="S174" i="30"/>
  <c r="U174" i="30" s="1"/>
  <c r="Y174" i="30"/>
  <c r="AA174" i="30" s="1"/>
  <c r="J176" i="30" l="1"/>
  <c r="I177" i="30"/>
  <c r="L175" i="30"/>
  <c r="Y175" i="30"/>
  <c r="AA175" i="30" s="1"/>
  <c r="M175" i="30"/>
  <c r="O175" i="30" s="1"/>
  <c r="S175" i="30"/>
  <c r="U175" i="30" s="1"/>
  <c r="V175" i="30"/>
  <c r="X175" i="30" s="1"/>
  <c r="P175" i="30"/>
  <c r="R175" i="30" s="1"/>
  <c r="I178" i="30" l="1"/>
  <c r="J178" i="30" s="1"/>
  <c r="J177" i="30"/>
  <c r="L176" i="30"/>
  <c r="M176" i="30"/>
  <c r="O176" i="30" s="1"/>
  <c r="S176" i="30"/>
  <c r="U176" i="30" s="1"/>
  <c r="V176" i="30"/>
  <c r="X176" i="30" s="1"/>
  <c r="P176" i="30"/>
  <c r="R176" i="30" s="1"/>
  <c r="Y176" i="30"/>
  <c r="AA176" i="30" s="1"/>
  <c r="L177" i="30" l="1"/>
  <c r="S177" i="30"/>
  <c r="U177" i="30" s="1"/>
  <c r="P177" i="30"/>
  <c r="R177" i="30" s="1"/>
  <c r="Y177" i="30"/>
  <c r="AA177" i="30" s="1"/>
  <c r="M177" i="30"/>
  <c r="O177" i="30" s="1"/>
  <c r="V177" i="30"/>
  <c r="X177" i="30" s="1"/>
  <c r="S178" i="30"/>
  <c r="U178" i="30" s="1"/>
  <c r="V178" i="30"/>
  <c r="X178" i="30" s="1"/>
  <c r="M178" i="30"/>
  <c r="O178" i="30" s="1"/>
  <c r="Y178" i="30"/>
  <c r="AA178" i="30" s="1"/>
  <c r="P178" i="30"/>
  <c r="R178" i="30" s="1"/>
  <c r="L178" i="30"/>
  <c r="I11" i="32"/>
  <c r="I12" i="32" l="1"/>
  <c r="I13" i="32" l="1"/>
  <c r="I14" i="32" l="1"/>
  <c r="I15" i="32" l="1"/>
  <c r="I16" i="32" l="1"/>
  <c r="I17" i="32" l="1"/>
  <c r="I18" i="32" l="1"/>
  <c r="I19" i="32" l="1"/>
  <c r="I20" i="32" l="1"/>
  <c r="I21" i="32" l="1"/>
  <c r="I22" i="32" l="1"/>
  <c r="I23" i="32" l="1"/>
  <c r="I24" i="32" l="1"/>
  <c r="I25" i="32" l="1"/>
  <c r="I26" i="32" l="1"/>
  <c r="I27" i="32" l="1"/>
  <c r="I28" i="32" l="1"/>
  <c r="I29" i="32" l="1"/>
  <c r="I30" i="32" l="1"/>
  <c r="I31" i="32" l="1"/>
  <c r="I32" i="32" l="1"/>
  <c r="I33" i="32" l="1"/>
  <c r="I34" i="32" l="1"/>
  <c r="I35" i="32" l="1"/>
  <c r="I36" i="32" l="1"/>
  <c r="I37" i="32" l="1"/>
  <c r="I38" i="32" l="1"/>
  <c r="I39" i="32" l="1"/>
  <c r="I40" i="32" l="1"/>
  <c r="I41" i="32" l="1"/>
  <c r="I42" i="32" l="1"/>
  <c r="I43" i="32" l="1"/>
  <c r="I44" i="32" l="1"/>
  <c r="I45" i="32" l="1"/>
  <c r="I46" i="32" l="1"/>
  <c r="I47" i="32" l="1"/>
  <c r="I48" i="32" l="1"/>
  <c r="I49" i="32" l="1"/>
  <c r="I50" i="32" l="1"/>
  <c r="I51" i="32" l="1"/>
  <c r="I52" i="32" l="1"/>
  <c r="I53" i="32" l="1"/>
  <c r="I54" i="32" l="1"/>
  <c r="I55" i="32" l="1"/>
  <c r="I56" i="32" l="1"/>
  <c r="I57" i="32" l="1"/>
  <c r="I58" i="32" l="1"/>
  <c r="I59" i="32" l="1"/>
  <c r="I60" i="32" l="1"/>
  <c r="I61" i="32" l="1"/>
  <c r="I62" i="32" l="1"/>
  <c r="I63" i="32" l="1"/>
  <c r="I64" i="32" l="1"/>
  <c r="I65" i="32" l="1"/>
  <c r="I66" i="32" l="1"/>
  <c r="I67" i="32" l="1"/>
  <c r="I68" i="32" l="1"/>
  <c r="I69" i="32" l="1"/>
  <c r="I70" i="32" l="1"/>
  <c r="I71" i="32" l="1"/>
  <c r="I72" i="32" l="1"/>
  <c r="I73" i="32" l="1"/>
  <c r="I74" i="32" l="1"/>
  <c r="I75" i="32" l="1"/>
  <c r="I76" i="32" l="1"/>
  <c r="I77" i="32" l="1"/>
  <c r="I78" i="32" l="1"/>
  <c r="I79" i="32" l="1"/>
  <c r="I80" i="32" l="1"/>
  <c r="I81" i="32" l="1"/>
  <c r="I82" i="32" l="1"/>
  <c r="I83" i="32" l="1"/>
  <c r="I84" i="32" l="1"/>
  <c r="I85" i="32" l="1"/>
  <c r="I86" i="32" l="1"/>
  <c r="I87" i="32" l="1"/>
  <c r="I88" i="32" l="1"/>
  <c r="I89" i="32" l="1"/>
  <c r="I90" i="32" l="1"/>
  <c r="I91" i="32" l="1"/>
  <c r="I92" i="32" l="1"/>
  <c r="I93" i="32" l="1"/>
  <c r="I94" i="32" l="1"/>
  <c r="I95" i="32" l="1"/>
  <c r="I96" i="32" l="1"/>
  <c r="I97" i="32" l="1"/>
  <c r="I98" i="32" l="1"/>
  <c r="I99" i="32" l="1"/>
  <c r="I100" i="32" l="1"/>
  <c r="I101" i="32" l="1"/>
  <c r="I102" i="32" l="1"/>
  <c r="I103" i="32" l="1"/>
  <c r="I104" i="32" l="1"/>
  <c r="I105" i="32" l="1"/>
  <c r="I106" i="32" l="1"/>
  <c r="I107" i="32" l="1"/>
  <c r="I108" i="32" l="1"/>
  <c r="I109" i="32" l="1"/>
  <c r="I110" i="32" l="1"/>
  <c r="I111" i="32" l="1"/>
  <c r="I112" i="32" l="1"/>
  <c r="I113" i="32" l="1"/>
  <c r="I114" i="32" l="1"/>
  <c r="I115" i="32" l="1"/>
  <c r="I116" i="32" l="1"/>
  <c r="I117" i="32" l="1"/>
  <c r="I118" i="32" l="1"/>
  <c r="I119" i="32" l="1"/>
  <c r="I120" i="32" l="1"/>
  <c r="I121" i="32" l="1"/>
  <c r="I122" i="32" l="1"/>
  <c r="I123" i="32" l="1"/>
  <c r="I124" i="32" l="1"/>
  <c r="I125" i="32" l="1"/>
  <c r="I126" i="32" l="1"/>
  <c r="I127" i="32" l="1"/>
  <c r="I128" i="32" l="1"/>
  <c r="I129" i="32" l="1"/>
  <c r="I130" i="32" l="1"/>
  <c r="I131" i="32" l="1"/>
  <c r="I132" i="32" l="1"/>
  <c r="I133" i="32" l="1"/>
  <c r="I134" i="32" l="1"/>
  <c r="I135" i="32" l="1"/>
  <c r="I136" i="32" l="1"/>
  <c r="I137" i="32" l="1"/>
  <c r="I138" i="32" l="1"/>
  <c r="I139" i="32" l="1"/>
  <c r="I140" i="32" l="1"/>
  <c r="I141" i="32" l="1"/>
  <c r="I142" i="32" l="1"/>
  <c r="I143" i="32" l="1"/>
  <c r="I144" i="32" l="1"/>
  <c r="I145" i="32" l="1"/>
  <c r="I146" i="32" l="1"/>
  <c r="I147" i="32" l="1"/>
  <c r="I148" i="32" l="1"/>
  <c r="I149" i="32" l="1"/>
  <c r="I150" i="32" l="1"/>
  <c r="I151" i="32" l="1"/>
  <c r="I152" i="32" l="1"/>
  <c r="I153" i="32" l="1"/>
  <c r="I154" i="32" l="1"/>
  <c r="I155" i="32" l="1"/>
  <c r="I156" i="32" l="1"/>
  <c r="I157" i="32" l="1"/>
  <c r="I158" i="32" l="1"/>
  <c r="I159" i="32" l="1"/>
  <c r="I160" i="32" l="1"/>
  <c r="I161" i="32" l="1"/>
  <c r="I162" i="32" l="1"/>
  <c r="I163" i="32" l="1"/>
  <c r="I164" i="32" l="1"/>
  <c r="I165" i="32" l="1"/>
  <c r="I166" i="32" l="1"/>
  <c r="I167" i="32" l="1"/>
  <c r="I168" i="32" l="1"/>
  <c r="I169" i="32" l="1"/>
  <c r="I170" i="32" l="1"/>
  <c r="I171" i="32" l="1"/>
  <c r="I172" i="32" l="1"/>
  <c r="I173" i="32" l="1"/>
  <c r="I174" i="32" l="1"/>
  <c r="I175" i="32" l="1"/>
  <c r="I176" i="32" l="1"/>
  <c r="I177" i="32" l="1"/>
  <c r="I178" i="32" l="1"/>
  <c r="N145" i="32"/>
  <c r="F42" i="35" s="1"/>
  <c r="N54" i="32"/>
  <c r="J14" i="32"/>
  <c r="S14" i="32" s="1"/>
  <c r="Q14" i="32"/>
  <c r="Z150" i="32"/>
  <c r="W52" i="32"/>
  <c r="J53" i="32"/>
  <c r="Y53" i="32" s="1"/>
  <c r="J132" i="32"/>
  <c r="E29" i="37" s="1"/>
  <c r="G29" i="37" s="1"/>
  <c r="J61" i="32"/>
  <c r="P61" i="32" s="1"/>
  <c r="J31" i="32"/>
  <c r="N120" i="32"/>
  <c r="F17" i="35" s="1"/>
  <c r="J99" i="32"/>
  <c r="Z171" i="32"/>
  <c r="N46" i="32"/>
  <c r="J56" i="32"/>
  <c r="Z72" i="32"/>
  <c r="N103" i="32"/>
  <c r="T26" i="32"/>
  <c r="Q139" i="32"/>
  <c r="F36" i="24" s="1"/>
  <c r="W137" i="32"/>
  <c r="N55" i="32"/>
  <c r="J98" i="32"/>
  <c r="Y98" i="32" s="1"/>
  <c r="T124" i="32"/>
  <c r="W121" i="32"/>
  <c r="Z169" i="32"/>
  <c r="Z91" i="32"/>
  <c r="W39" i="32"/>
  <c r="T156" i="32"/>
  <c r="N71" i="32"/>
  <c r="N32" i="32"/>
  <c r="J84" i="32"/>
  <c r="J65" i="32"/>
  <c r="P65" i="32" s="1"/>
  <c r="J15" i="32"/>
  <c r="M15" i="32" s="1"/>
  <c r="Q146" i="32"/>
  <c r="F43" i="24" s="1"/>
  <c r="Z79" i="32"/>
  <c r="W133" i="32"/>
  <c r="W83" i="32"/>
  <c r="Z16" i="32"/>
  <c r="T117" i="32"/>
  <c r="Z38" i="32"/>
  <c r="J125" i="32"/>
  <c r="E22" i="37" s="1"/>
  <c r="G22" i="37" s="1"/>
  <c r="J68" i="32"/>
  <c r="J66" i="32"/>
  <c r="Y66" i="32" s="1"/>
  <c r="J48" i="32"/>
  <c r="W115" i="32"/>
  <c r="J166" i="32"/>
  <c r="L21" i="37" s="1"/>
  <c r="N21" i="37" s="1"/>
  <c r="J95" i="32"/>
  <c r="J88" i="32"/>
  <c r="J62" i="32"/>
  <c r="P62" i="32" s="1"/>
  <c r="J75" i="32"/>
  <c r="J78" i="32"/>
  <c r="J105" i="32"/>
  <c r="J42" i="32"/>
  <c r="V42" i="32" s="1"/>
  <c r="Q148" i="32"/>
  <c r="F45" i="24" s="1"/>
  <c r="J140" i="32"/>
  <c r="E37" i="37" s="1"/>
  <c r="G37" i="37" s="1"/>
  <c r="J67" i="32"/>
  <c r="J30" i="32"/>
  <c r="J49" i="32"/>
  <c r="J27" i="32"/>
  <c r="N27" i="32"/>
  <c r="J24" i="32"/>
  <c r="L24" i="32" s="1"/>
  <c r="J107" i="32"/>
  <c r="E4" i="37" s="1"/>
  <c r="G4" i="37" s="1"/>
  <c r="J86" i="32"/>
  <c r="J131" i="32"/>
  <c r="E28" i="37" s="1"/>
  <c r="G28" i="37" s="1"/>
  <c r="J17" i="32"/>
  <c r="J165" i="32"/>
  <c r="L20" i="37" s="1"/>
  <c r="N20" i="37" s="1"/>
  <c r="J143" i="32"/>
  <c r="E40" i="37" s="1"/>
  <c r="G40" i="37" s="1"/>
  <c r="J101" i="32"/>
  <c r="J85" i="32"/>
  <c r="J135" i="32"/>
  <c r="E32" i="37" s="1"/>
  <c r="G32" i="37" s="1"/>
  <c r="J160" i="32"/>
  <c r="L15" i="37" s="1"/>
  <c r="N15" i="37" s="1"/>
  <c r="J164" i="32"/>
  <c r="L19" i="37" s="1"/>
  <c r="N19" i="37" s="1"/>
  <c r="Q164" i="32"/>
  <c r="M19" i="24" s="1"/>
  <c r="Z44" i="32"/>
  <c r="J96" i="32"/>
  <c r="J177" i="32"/>
  <c r="L32" i="37" s="1"/>
  <c r="N32" i="37" s="1"/>
  <c r="J93" i="32"/>
  <c r="J111" i="32"/>
  <c r="E8" i="37" s="1"/>
  <c r="G8" i="37" s="1"/>
  <c r="J94" i="32"/>
  <c r="J129" i="32"/>
  <c r="E26" i="37" s="1"/>
  <c r="G26" i="37" s="1"/>
  <c r="J20" i="32"/>
  <c r="J36" i="32"/>
  <c r="J28" i="32"/>
  <c r="J80" i="32"/>
  <c r="S80" i="32" s="1"/>
  <c r="J172" i="32"/>
  <c r="L27" i="37" s="1"/>
  <c r="N27" i="37" s="1"/>
  <c r="J12" i="32"/>
  <c r="J21" i="32"/>
  <c r="J81" i="32"/>
  <c r="W82" i="32"/>
  <c r="J134" i="32"/>
  <c r="E31" i="37" s="1"/>
  <c r="G31" i="37" s="1"/>
  <c r="J77" i="32"/>
  <c r="J112" i="32"/>
  <c r="E9" i="37" s="1"/>
  <c r="G9" i="37" s="1"/>
  <c r="J104" i="32"/>
  <c r="J161" i="32"/>
  <c r="L16" i="37" s="1"/>
  <c r="N16" i="37" s="1"/>
  <c r="Q178" i="32"/>
  <c r="M33" i="24" s="1"/>
  <c r="J155" i="32"/>
  <c r="L10" i="37" s="1"/>
  <c r="N10" i="37" s="1"/>
  <c r="J130" i="32"/>
  <c r="Q158" i="32"/>
  <c r="M13" i="24" s="1"/>
  <c r="J127" i="32"/>
  <c r="E24" i="37" s="1"/>
  <c r="G24" i="37" s="1"/>
  <c r="J63" i="32"/>
  <c r="J110" i="32"/>
  <c r="E7" i="37" s="1"/>
  <c r="G7" i="37" s="1"/>
  <c r="J142" i="32"/>
  <c r="W19" i="32"/>
  <c r="J74" i="32"/>
  <c r="J106" i="32"/>
  <c r="J37" i="32"/>
  <c r="J11" i="32"/>
  <c r="J126" i="32"/>
  <c r="E23" i="37" s="1"/>
  <c r="G23" i="37" s="1"/>
  <c r="J87" i="32"/>
  <c r="J92" i="32"/>
  <c r="J141" i="32"/>
  <c r="E38" i="37" s="1"/>
  <c r="G38" i="37" s="1"/>
  <c r="J76" i="32"/>
  <c r="M76" i="32" s="1"/>
  <c r="J73" i="32"/>
  <c r="J123" i="32"/>
  <c r="E20" i="37" s="1"/>
  <c r="G20" i="37" s="1"/>
  <c r="J33" i="32"/>
  <c r="V33" i="32" s="1"/>
  <c r="J40" i="32"/>
  <c r="P40" i="32" s="1"/>
  <c r="J102" i="32"/>
  <c r="M102" i="32" s="1"/>
  <c r="J151" i="32"/>
  <c r="L6" i="37" s="1"/>
  <c r="N6" i="37" s="1"/>
  <c r="J45" i="32"/>
  <c r="J59" i="32"/>
  <c r="V59" i="32" s="1"/>
  <c r="Q108" i="32"/>
  <c r="F5" i="24" s="1"/>
  <c r="J22" i="32"/>
  <c r="J128" i="32"/>
  <c r="J13" i="32"/>
  <c r="J89" i="32"/>
  <c r="J119" i="32"/>
  <c r="E16" i="37" s="1"/>
  <c r="G16" i="37" s="1"/>
  <c r="J58" i="32"/>
  <c r="J176" i="32"/>
  <c r="L31" i="37" s="1"/>
  <c r="N31" i="37" s="1"/>
  <c r="J154" i="32"/>
  <c r="L9" i="37" s="1"/>
  <c r="N9" i="37" s="1"/>
  <c r="J170" i="32"/>
  <c r="L25" i="37" s="1"/>
  <c r="N25" i="37" s="1"/>
  <c r="J149" i="32"/>
  <c r="J97" i="32"/>
  <c r="J118" i="32"/>
  <c r="E15" i="37" s="1"/>
  <c r="G15" i="37" s="1"/>
  <c r="J47" i="32"/>
  <c r="J163" i="32"/>
  <c r="L18" i="37" s="1"/>
  <c r="N18" i="37" s="1"/>
  <c r="J57" i="32"/>
  <c r="J50" i="32"/>
  <c r="L50" i="32" s="1"/>
  <c r="J70" i="32"/>
  <c r="J35" i="32"/>
  <c r="J114" i="32"/>
  <c r="J167" i="32"/>
  <c r="L22" i="37" s="1"/>
  <c r="N22" i="37" s="1"/>
  <c r="J162" i="32"/>
  <c r="L17" i="37" s="1"/>
  <c r="N17" i="37" s="1"/>
  <c r="J100" i="32"/>
  <c r="J136" i="32"/>
  <c r="E33" i="37" s="1"/>
  <c r="G33" i="37" s="1"/>
  <c r="J144" i="32"/>
  <c r="E41" i="37" s="1"/>
  <c r="G41" i="37" s="1"/>
  <c r="J69" i="32"/>
  <c r="J153" i="32"/>
  <c r="L8" i="37" s="1"/>
  <c r="N8" i="37" s="1"/>
  <c r="J113" i="32"/>
  <c r="J168" i="32"/>
  <c r="L23" i="37" s="1"/>
  <c r="N23" i="37" s="1"/>
  <c r="J29" i="32"/>
  <c r="J173" i="32"/>
  <c r="L28" i="37" s="1"/>
  <c r="N28" i="37" s="1"/>
  <c r="J25" i="32"/>
  <c r="J64" i="32"/>
  <c r="J174" i="32"/>
  <c r="L29" i="37" s="1"/>
  <c r="N29" i="37" s="1"/>
  <c r="J147" i="32"/>
  <c r="E44" i="37" s="1"/>
  <c r="G44" i="37" s="1"/>
  <c r="J60" i="32"/>
  <c r="P60" i="32" s="1"/>
  <c r="J18" i="32"/>
  <c r="J34" i="32"/>
  <c r="J116" i="32"/>
  <c r="E13" i="37" s="1"/>
  <c r="G13" i="37" s="1"/>
  <c r="J159" i="32"/>
  <c r="J51" i="32"/>
  <c r="J23" i="32"/>
  <c r="J175" i="32"/>
  <c r="L30" i="37" s="1"/>
  <c r="N30" i="37" s="1"/>
  <c r="J109" i="32"/>
  <c r="E6" i="37" s="1"/>
  <c r="G6" i="37" s="1"/>
  <c r="J122" i="32"/>
  <c r="E19" i="37" s="1"/>
  <c r="G19" i="37" s="1"/>
  <c r="S159" i="32" l="1"/>
  <c r="L14" i="37"/>
  <c r="N14" i="37" s="1"/>
  <c r="L128" i="32"/>
  <c r="E25" i="37"/>
  <c r="G25" i="37" s="1"/>
  <c r="L114" i="32"/>
  <c r="E11" i="37"/>
  <c r="G11" i="37" s="1"/>
  <c r="S113" i="32"/>
  <c r="E10" i="37"/>
  <c r="G10" i="37" s="1"/>
  <c r="L130" i="32"/>
  <c r="E27" i="37"/>
  <c r="G27" i="37" s="1"/>
  <c r="V149" i="32"/>
  <c r="L4" i="37"/>
  <c r="N4" i="37" s="1"/>
  <c r="L142" i="32"/>
  <c r="E39" i="37"/>
  <c r="G39" i="37" s="1"/>
  <c r="Z136" i="32"/>
  <c r="Z35" i="32"/>
  <c r="T30" i="32"/>
  <c r="W56" i="32"/>
  <c r="N96" i="32"/>
  <c r="Q45" i="32"/>
  <c r="N35" i="32"/>
  <c r="T35" i="32"/>
  <c r="W99" i="32"/>
  <c r="Q88" i="32"/>
  <c r="W63" i="32"/>
  <c r="N30" i="32"/>
  <c r="Z61" i="32"/>
  <c r="Q33" i="32"/>
  <c r="W20" i="32"/>
  <c r="N165" i="32"/>
  <c r="M20" i="35" s="1"/>
  <c r="Q118" i="32"/>
  <c r="F15" i="24" s="1"/>
  <c r="Q35" i="32"/>
  <c r="Q85" i="32"/>
  <c r="Q15" i="32"/>
  <c r="Z78" i="32"/>
  <c r="Z119" i="32"/>
  <c r="T177" i="32"/>
  <c r="W131" i="32"/>
  <c r="T78" i="32"/>
  <c r="Z88" i="32"/>
  <c r="N78" i="32"/>
  <c r="Q103" i="32"/>
  <c r="T113" i="32"/>
  <c r="U113" i="32" s="1"/>
  <c r="W23" i="32"/>
  <c r="Q69" i="32"/>
  <c r="T167" i="32"/>
  <c r="Z177" i="32"/>
  <c r="Z125" i="32"/>
  <c r="N177" i="32"/>
  <c r="M32" i="35" s="1"/>
  <c r="N125" i="32"/>
  <c r="F22" i="35" s="1"/>
  <c r="Z65" i="32"/>
  <c r="Q163" i="32"/>
  <c r="M18" i="24" s="1"/>
  <c r="T110" i="32"/>
  <c r="Q130" i="32"/>
  <c r="F27" i="24" s="1"/>
  <c r="W129" i="32"/>
  <c r="T93" i="32"/>
  <c r="Q143" i="32"/>
  <c r="F40" i="24" s="1"/>
  <c r="Q105" i="32"/>
  <c r="Z48" i="32"/>
  <c r="T133" i="32"/>
  <c r="N139" i="32"/>
  <c r="F36" i="35" s="1"/>
  <c r="N72" i="32"/>
  <c r="W109" i="32"/>
  <c r="T29" i="32"/>
  <c r="N153" i="32"/>
  <c r="M8" i="35" s="1"/>
  <c r="Z97" i="32"/>
  <c r="W110" i="32"/>
  <c r="W93" i="32"/>
  <c r="Z105" i="32"/>
  <c r="T72" i="32"/>
  <c r="I183" i="32"/>
  <c r="T182" i="32"/>
  <c r="U182" i="32" s="1"/>
  <c r="N25" i="32"/>
  <c r="W69" i="32"/>
  <c r="T47" i="32"/>
  <c r="W58" i="32"/>
  <c r="Q123" i="32"/>
  <c r="F20" i="24" s="1"/>
  <c r="Z130" i="32"/>
  <c r="Z36" i="32"/>
  <c r="T94" i="32"/>
  <c r="N93" i="32"/>
  <c r="N105" i="32"/>
  <c r="T166" i="32"/>
  <c r="T66" i="32"/>
  <c r="N91" i="32"/>
  <c r="T98" i="32"/>
  <c r="Z139" i="32"/>
  <c r="N94" i="32"/>
  <c r="W98" i="32"/>
  <c r="T109" i="32"/>
  <c r="W60" i="32"/>
  <c r="Z25" i="32"/>
  <c r="Z113" i="32"/>
  <c r="Z69" i="32"/>
  <c r="Q162" i="32"/>
  <c r="M17" i="24" s="1"/>
  <c r="W118" i="32"/>
  <c r="Z170" i="32"/>
  <c r="N119" i="32"/>
  <c r="F16" i="35" s="1"/>
  <c r="N102" i="32"/>
  <c r="O102" i="32" s="1"/>
  <c r="N110" i="32"/>
  <c r="F7" i="35" s="1"/>
  <c r="Q155" i="32"/>
  <c r="M10" i="24" s="1"/>
  <c r="Q134" i="32"/>
  <c r="F31" i="24" s="1"/>
  <c r="T44" i="32"/>
  <c r="N24" i="32"/>
  <c r="Z30" i="32"/>
  <c r="N42" i="32"/>
  <c r="Q48" i="32"/>
  <c r="T121" i="32"/>
  <c r="Q56" i="32"/>
  <c r="T76" i="32"/>
  <c r="T81" i="32"/>
  <c r="Z80" i="32"/>
  <c r="W134" i="32"/>
  <c r="Q141" i="32"/>
  <c r="F38" i="24" s="1"/>
  <c r="Q156" i="32"/>
  <c r="M11" i="24" s="1"/>
  <c r="T137" i="32"/>
  <c r="Z109" i="32"/>
  <c r="T51" i="32"/>
  <c r="Z116" i="32"/>
  <c r="N18" i="32"/>
  <c r="Q147" i="32"/>
  <c r="F44" i="24" s="1"/>
  <c r="Z64" i="32"/>
  <c r="N173" i="32"/>
  <c r="M28" i="35" s="1"/>
  <c r="N113" i="32"/>
  <c r="F10" i="35" s="1"/>
  <c r="T144" i="32"/>
  <c r="N114" i="32"/>
  <c r="F11" i="35" s="1"/>
  <c r="T33" i="32"/>
  <c r="T123" i="32"/>
  <c r="W127" i="32"/>
  <c r="W80" i="32"/>
  <c r="T49" i="32"/>
  <c r="Z26" i="32"/>
  <c r="Q116" i="32"/>
  <c r="F13" i="24" s="1"/>
  <c r="Q18" i="32"/>
  <c r="T64" i="32"/>
  <c r="N144" i="32"/>
  <c r="F41" i="35" s="1"/>
  <c r="Z114" i="32"/>
  <c r="W70" i="32"/>
  <c r="W163" i="32"/>
  <c r="W47" i="32"/>
  <c r="N123" i="32"/>
  <c r="F20" i="35" s="1"/>
  <c r="N80" i="32"/>
  <c r="T85" i="32"/>
  <c r="T143" i="32"/>
  <c r="T86" i="32"/>
  <c r="W67" i="32"/>
  <c r="W42" i="32"/>
  <c r="X42" i="32" s="1"/>
  <c r="N156" i="32"/>
  <c r="M11" i="35" s="1"/>
  <c r="Z137" i="32"/>
  <c r="Q137" i="32"/>
  <c r="F34" i="24" s="1"/>
  <c r="W175" i="32"/>
  <c r="Z51" i="32"/>
  <c r="T174" i="32"/>
  <c r="Q177" i="32"/>
  <c r="M32" i="24" s="1"/>
  <c r="Q96" i="32"/>
  <c r="Z164" i="32"/>
  <c r="W85" i="32"/>
  <c r="Q131" i="32"/>
  <c r="F28" i="24" s="1"/>
  <c r="Z27" i="32"/>
  <c r="N67" i="32"/>
  <c r="Z42" i="32"/>
  <c r="Z68" i="32"/>
  <c r="T38" i="32"/>
  <c r="Z133" i="32"/>
  <c r="Z84" i="32"/>
  <c r="T55" i="32"/>
  <c r="N137" i="32"/>
  <c r="F34" i="35" s="1"/>
  <c r="W139" i="32"/>
  <c r="N34" i="32"/>
  <c r="W174" i="32"/>
  <c r="N70" i="32"/>
  <c r="Z163" i="32"/>
  <c r="Z33" i="32"/>
  <c r="Z73" i="32"/>
  <c r="Q87" i="32"/>
  <c r="Q81" i="32"/>
  <c r="Q80" i="32"/>
  <c r="N28" i="32"/>
  <c r="W177" i="32"/>
  <c r="N44" i="32"/>
  <c r="N85" i="32"/>
  <c r="Z131" i="32"/>
  <c r="W27" i="32"/>
  <c r="Q168" i="32"/>
  <c r="M23" i="24" s="1"/>
  <c r="Z62" i="32"/>
  <c r="Q38" i="32"/>
  <c r="Q55" i="32"/>
  <c r="Z132" i="32"/>
  <c r="N175" i="32"/>
  <c r="M30" i="35" s="1"/>
  <c r="N116" i="32"/>
  <c r="F13" i="35" s="1"/>
  <c r="T34" i="32"/>
  <c r="N60" i="32"/>
  <c r="Q64" i="32"/>
  <c r="T25" i="32"/>
  <c r="N29" i="32"/>
  <c r="Q144" i="32"/>
  <c r="F41" i="24" s="1"/>
  <c r="N100" i="32"/>
  <c r="T114" i="32"/>
  <c r="N50" i="32"/>
  <c r="N163" i="32"/>
  <c r="M18" i="35" s="1"/>
  <c r="N131" i="32"/>
  <c r="F28" i="35" s="1"/>
  <c r="W24" i="32"/>
  <c r="Z49" i="32"/>
  <c r="Q78" i="32"/>
  <c r="N115" i="32"/>
  <c r="F12" i="35" s="1"/>
  <c r="Z66" i="32"/>
  <c r="AA66" i="32" s="1"/>
  <c r="Q125" i="32"/>
  <c r="F22" i="24" s="1"/>
  <c r="N38" i="32"/>
  <c r="W55" i="32"/>
  <c r="N56" i="32"/>
  <c r="T99" i="32"/>
  <c r="T132" i="32"/>
  <c r="N162" i="32"/>
  <c r="M17" i="35" s="1"/>
  <c r="W122" i="32"/>
  <c r="Q23" i="32"/>
  <c r="T159" i="32"/>
  <c r="U159" i="32" s="1"/>
  <c r="W34" i="32"/>
  <c r="T18" i="32"/>
  <c r="Z60" i="32"/>
  <c r="T147" i="32"/>
  <c r="Q29" i="32"/>
  <c r="Z153" i="32"/>
  <c r="N136" i="32"/>
  <c r="F33" i="35" s="1"/>
  <c r="W100" i="32"/>
  <c r="W162" i="32"/>
  <c r="Q70" i="32"/>
  <c r="T57" i="32"/>
  <c r="N47" i="32"/>
  <c r="Z118" i="32"/>
  <c r="W97" i="32"/>
  <c r="W45" i="32"/>
  <c r="W102" i="32"/>
  <c r="W141" i="32"/>
  <c r="Z126" i="32"/>
  <c r="T101" i="32"/>
  <c r="W107" i="32"/>
  <c r="N167" i="32"/>
  <c r="M22" i="35" s="1"/>
  <c r="N62" i="32"/>
  <c r="Q95" i="32"/>
  <c r="Q166" i="32"/>
  <c r="M21" i="24" s="1"/>
  <c r="Q16" i="32"/>
  <c r="Z15" i="32"/>
  <c r="N65" i="32"/>
  <c r="Q84" i="32"/>
  <c r="Q39" i="32"/>
  <c r="N124" i="32"/>
  <c r="F21" i="35" s="1"/>
  <c r="Q53" i="32"/>
  <c r="T52" i="32"/>
  <c r="Q150" i="32"/>
  <c r="M5" i="24" s="1"/>
  <c r="Z14" i="32"/>
  <c r="J150" i="32"/>
  <c r="T145" i="32"/>
  <c r="S24" i="32"/>
  <c r="Z53" i="32"/>
  <c r="AA53" i="32" s="1"/>
  <c r="Z52" i="32"/>
  <c r="W14" i="32"/>
  <c r="Z92" i="32"/>
  <c r="W130" i="32"/>
  <c r="Z82" i="32"/>
  <c r="Z81" i="32"/>
  <c r="Q94" i="32"/>
  <c r="Z93" i="32"/>
  <c r="W101" i="32"/>
  <c r="W143" i="32"/>
  <c r="Q149" i="32"/>
  <c r="M4" i="24" s="1"/>
  <c r="Q107" i="32"/>
  <c r="F4" i="24" s="1"/>
  <c r="Q49" i="32"/>
  <c r="T42" i="32"/>
  <c r="T105" i="32"/>
  <c r="N75" i="32"/>
  <c r="N88" i="32"/>
  <c r="W95" i="32"/>
  <c r="N166" i="32"/>
  <c r="M21" i="35" s="1"/>
  <c r="Z115" i="32"/>
  <c r="N48" i="32"/>
  <c r="N66" i="32"/>
  <c r="W68" i="32"/>
  <c r="Z117" i="32"/>
  <c r="T15" i="32"/>
  <c r="W65" i="32"/>
  <c r="T84" i="32"/>
  <c r="Z124" i="32"/>
  <c r="Z103" i="32"/>
  <c r="T139" i="32"/>
  <c r="Q99" i="32"/>
  <c r="N53" i="32"/>
  <c r="N52" i="32"/>
  <c r="N150" i="32"/>
  <c r="M5" i="35" s="1"/>
  <c r="T122" i="32"/>
  <c r="N57" i="32"/>
  <c r="Z122" i="32"/>
  <c r="Q109" i="32"/>
  <c r="F6" i="24" s="1"/>
  <c r="T175" i="32"/>
  <c r="N159" i="32"/>
  <c r="M14" i="35" s="1"/>
  <c r="Z34" i="32"/>
  <c r="W18" i="32"/>
  <c r="T60" i="32"/>
  <c r="W147" i="32"/>
  <c r="Z174" i="32"/>
  <c r="W173" i="32"/>
  <c r="Q113" i="32"/>
  <c r="F10" i="24" s="1"/>
  <c r="T153" i="32"/>
  <c r="Q136" i="32"/>
  <c r="F33" i="24" s="1"/>
  <c r="Q100" i="32"/>
  <c r="W167" i="32"/>
  <c r="W50" i="32"/>
  <c r="W57" i="32"/>
  <c r="Z47" i="32"/>
  <c r="N118" i="32"/>
  <c r="F15" i="35" s="1"/>
  <c r="Q151" i="32"/>
  <c r="M6" i="24" s="1"/>
  <c r="Q40" i="32"/>
  <c r="R40" i="32" s="1"/>
  <c r="Q110" i="32"/>
  <c r="F7" i="24" s="1"/>
  <c r="N130" i="32"/>
  <c r="F27" i="35" s="1"/>
  <c r="Q82" i="32"/>
  <c r="W81" i="32"/>
  <c r="Q101" i="32"/>
  <c r="N143" i="32"/>
  <c r="F40" i="35" s="1"/>
  <c r="N86" i="32"/>
  <c r="T24" i="32"/>
  <c r="Q75" i="32"/>
  <c r="Z95" i="32"/>
  <c r="T115" i="32"/>
  <c r="T48" i="32"/>
  <c r="Q66" i="32"/>
  <c r="W125" i="32"/>
  <c r="W15" i="32"/>
  <c r="Q65" i="32"/>
  <c r="R65" i="32" s="1"/>
  <c r="W84" i="32"/>
  <c r="Q124" i="32"/>
  <c r="F21" i="24" s="1"/>
  <c r="Z55" i="32"/>
  <c r="Z56" i="32"/>
  <c r="Z99" i="32"/>
  <c r="Z31" i="32"/>
  <c r="Z120" i="32"/>
  <c r="Q52" i="32"/>
  <c r="T150" i="32"/>
  <c r="J52" i="32"/>
  <c r="L52" i="32" s="1"/>
  <c r="J54" i="32"/>
  <c r="Y54" i="32" s="1"/>
  <c r="Q176" i="32"/>
  <c r="M31" i="24" s="1"/>
  <c r="Z108" i="32"/>
  <c r="Q122" i="32"/>
  <c r="F19" i="24" s="1"/>
  <c r="Q175" i="32"/>
  <c r="M30" i="24" s="1"/>
  <c r="N23" i="32"/>
  <c r="N51" i="32"/>
  <c r="Z159" i="32"/>
  <c r="Q34" i="32"/>
  <c r="Z18" i="32"/>
  <c r="Q60" i="32"/>
  <c r="R60" i="32" s="1"/>
  <c r="Z147" i="32"/>
  <c r="N174" i="32"/>
  <c r="M29" i="35" s="1"/>
  <c r="Q174" i="32"/>
  <c r="M29" i="24" s="1"/>
  <c r="Z29" i="32"/>
  <c r="T168" i="32"/>
  <c r="W153" i="32"/>
  <c r="Q153" i="32"/>
  <c r="M8" i="24" s="1"/>
  <c r="T136" i="32"/>
  <c r="Z100" i="32"/>
  <c r="T162" i="32"/>
  <c r="Q167" i="32"/>
  <c r="M22" i="24" s="1"/>
  <c r="Z70" i="32"/>
  <c r="Z50" i="32"/>
  <c r="Z57" i="32"/>
  <c r="Q47" i="32"/>
  <c r="T118" i="32"/>
  <c r="N97" i="32"/>
  <c r="W170" i="32"/>
  <c r="N58" i="32"/>
  <c r="Z59" i="32"/>
  <c r="T151" i="32"/>
  <c r="N40" i="32"/>
  <c r="T82" i="32"/>
  <c r="Z94" i="32"/>
  <c r="Q93" i="32"/>
  <c r="N101" i="32"/>
  <c r="Q62" i="32"/>
  <c r="R62" i="32" s="1"/>
  <c r="W166" i="32"/>
  <c r="N107" i="32"/>
  <c r="F4" i="35" s="1"/>
  <c r="W48" i="32"/>
  <c r="W66" i="32"/>
  <c r="N15" i="32"/>
  <c r="O15" i="32" s="1"/>
  <c r="T65" i="32"/>
  <c r="N84" i="32"/>
  <c r="W124" i="32"/>
  <c r="P59" i="32"/>
  <c r="N171" i="32"/>
  <c r="M26" i="35" s="1"/>
  <c r="W53" i="32"/>
  <c r="W150" i="32"/>
  <c r="Q145" i="32"/>
  <c r="F42" i="24" s="1"/>
  <c r="Q159" i="32"/>
  <c r="M14" i="24" s="1"/>
  <c r="W136" i="32"/>
  <c r="T100" i="32"/>
  <c r="T50" i="32"/>
  <c r="Z140" i="32"/>
  <c r="J124" i="32"/>
  <c r="P100" i="32"/>
  <c r="Y100" i="32"/>
  <c r="L100" i="32"/>
  <c r="V100" i="32"/>
  <c r="S100" i="32"/>
  <c r="M100" i="32"/>
  <c r="M85" i="32"/>
  <c r="O85" i="32" s="1"/>
  <c r="Y85" i="32"/>
  <c r="S85" i="32"/>
  <c r="P85" i="32"/>
  <c r="L85" i="32"/>
  <c r="V85" i="32"/>
  <c r="X85" i="32" s="1"/>
  <c r="P135" i="32"/>
  <c r="Y135" i="32"/>
  <c r="M135" i="32"/>
  <c r="S135" i="32"/>
  <c r="L135" i="32"/>
  <c r="V135" i="32"/>
  <c r="V18" i="32"/>
  <c r="Y18" i="32"/>
  <c r="M18" i="32"/>
  <c r="P18" i="32"/>
  <c r="R18" i="32" s="1"/>
  <c r="S18" i="32"/>
  <c r="L18" i="32"/>
  <c r="S131" i="32"/>
  <c r="P131" i="32"/>
  <c r="M131" i="32"/>
  <c r="Y131" i="32"/>
  <c r="V131" i="32"/>
  <c r="L131" i="32"/>
  <c r="S153" i="32"/>
  <c r="M153" i="32"/>
  <c r="P153" i="32"/>
  <c r="V153" i="32"/>
  <c r="Y153" i="32"/>
  <c r="L153" i="32"/>
  <c r="S35" i="32"/>
  <c r="U35" i="32" s="1"/>
  <c r="Y35" i="32"/>
  <c r="AA35" i="32" s="1"/>
  <c r="V35" i="32"/>
  <c r="L35" i="32"/>
  <c r="M35" i="32"/>
  <c r="O35" i="32" s="1"/>
  <c r="P35" i="32"/>
  <c r="N182" i="32"/>
  <c r="Q182" i="32"/>
  <c r="L182" i="32"/>
  <c r="Z182" i="32"/>
  <c r="AA182" i="32" s="1"/>
  <c r="W182" i="32"/>
  <c r="X182" i="32" s="1"/>
  <c r="P22" i="32"/>
  <c r="Y22" i="32"/>
  <c r="M22" i="32"/>
  <c r="V22" i="32"/>
  <c r="L22" i="32"/>
  <c r="S22" i="32"/>
  <c r="V11" i="32"/>
  <c r="S11" i="32"/>
  <c r="L11" i="32"/>
  <c r="Y11" i="32"/>
  <c r="M11" i="32"/>
  <c r="P11" i="32"/>
  <c r="V104" i="32"/>
  <c r="Y104" i="32"/>
  <c r="P104" i="32"/>
  <c r="S104" i="32"/>
  <c r="L104" i="32"/>
  <c r="P21" i="32"/>
  <c r="V21" i="32"/>
  <c r="L21" i="32"/>
  <c r="Y21" i="32"/>
  <c r="S21" i="32"/>
  <c r="M21" i="32"/>
  <c r="V17" i="32"/>
  <c r="M17" i="32"/>
  <c r="L17" i="32"/>
  <c r="Y17" i="32"/>
  <c r="P17" i="32"/>
  <c r="S17" i="32"/>
  <c r="S170" i="32"/>
  <c r="M170" i="32"/>
  <c r="P170" i="32"/>
  <c r="Y170" i="32"/>
  <c r="AA170" i="32" s="1"/>
  <c r="L170" i="32"/>
  <c r="T154" i="32"/>
  <c r="N176" i="32"/>
  <c r="M31" i="35" s="1"/>
  <c r="L58" i="32"/>
  <c r="V58" i="32"/>
  <c r="X58" i="32" s="1"/>
  <c r="S58" i="32"/>
  <c r="Y58" i="32"/>
  <c r="M58" i="32"/>
  <c r="P58" i="32"/>
  <c r="Q89" i="32"/>
  <c r="W13" i="32"/>
  <c r="T128" i="32"/>
  <c r="Q22" i="32"/>
  <c r="T108" i="32"/>
  <c r="N59" i="32"/>
  <c r="Y73" i="32"/>
  <c r="P73" i="32"/>
  <c r="V73" i="32"/>
  <c r="M73" i="32"/>
  <c r="P76" i="32"/>
  <c r="S76" i="32"/>
  <c r="Y76" i="32"/>
  <c r="L76" i="32"/>
  <c r="V76" i="32"/>
  <c r="P141" i="32"/>
  <c r="M141" i="32"/>
  <c r="L141" i="32"/>
  <c r="V141" i="32"/>
  <c r="Y92" i="32"/>
  <c r="AA92" i="32" s="1"/>
  <c r="V92" i="32"/>
  <c r="P92" i="32"/>
  <c r="S92" i="32"/>
  <c r="M87" i="32"/>
  <c r="V87" i="32"/>
  <c r="P87" i="32"/>
  <c r="R87" i="32" s="1"/>
  <c r="Y87" i="32"/>
  <c r="L87" i="32"/>
  <c r="M126" i="32"/>
  <c r="P126" i="32"/>
  <c r="Y126" i="32"/>
  <c r="V126" i="32"/>
  <c r="L126" i="32"/>
  <c r="S126" i="32"/>
  <c r="N11" i="32"/>
  <c r="Q37" i="32"/>
  <c r="Z106" i="32"/>
  <c r="Q74" i="32"/>
  <c r="T19" i="32"/>
  <c r="Z142" i="32"/>
  <c r="P63" i="32"/>
  <c r="M63" i="32"/>
  <c r="Y63" i="32"/>
  <c r="S63" i="32"/>
  <c r="M127" i="32"/>
  <c r="P127" i="32"/>
  <c r="S127" i="32"/>
  <c r="Y127" i="32"/>
  <c r="V127" i="32"/>
  <c r="L127" i="32"/>
  <c r="T127" i="32"/>
  <c r="V155" i="32"/>
  <c r="P155" i="32"/>
  <c r="M155" i="32"/>
  <c r="L155" i="32"/>
  <c r="Y155" i="32"/>
  <c r="Z178" i="32"/>
  <c r="T161" i="32"/>
  <c r="Q104" i="32"/>
  <c r="Z112" i="32"/>
  <c r="Z77" i="32"/>
  <c r="T149" i="32"/>
  <c r="Z21" i="32"/>
  <c r="N12" i="32"/>
  <c r="V28" i="32"/>
  <c r="P28" i="32"/>
  <c r="M28" i="32"/>
  <c r="O28" i="32" s="1"/>
  <c r="L28" i="32"/>
  <c r="S28" i="32"/>
  <c r="Y28" i="32"/>
  <c r="M36" i="32"/>
  <c r="P36" i="32"/>
  <c r="V36" i="32"/>
  <c r="S36" i="32"/>
  <c r="L36" i="32"/>
  <c r="Y36" i="32"/>
  <c r="AA36" i="32" s="1"/>
  <c r="Y20" i="32"/>
  <c r="L20" i="32"/>
  <c r="M20" i="32"/>
  <c r="S20" i="32"/>
  <c r="V20" i="32"/>
  <c r="M129" i="32"/>
  <c r="P129" i="32"/>
  <c r="Y129" i="32"/>
  <c r="S129" i="32"/>
  <c r="V129" i="32"/>
  <c r="X129" i="32" s="1"/>
  <c r="L129" i="32"/>
  <c r="S160" i="32"/>
  <c r="Y160" i="32"/>
  <c r="P160" i="32"/>
  <c r="M160" i="32"/>
  <c r="V160" i="32"/>
  <c r="L160" i="32"/>
  <c r="Z135" i="32"/>
  <c r="M165" i="32"/>
  <c r="P165" i="32"/>
  <c r="Y165" i="32"/>
  <c r="V165" i="32"/>
  <c r="S165" i="32"/>
  <c r="L165" i="32"/>
  <c r="T17" i="32"/>
  <c r="Z111" i="32"/>
  <c r="W160" i="32"/>
  <c r="Q112" i="32"/>
  <c r="F9" i="24" s="1"/>
  <c r="Q128" i="32"/>
  <c r="F25" i="24" s="1"/>
  <c r="J71" i="32"/>
  <c r="Z71" i="32"/>
  <c r="W71" i="32"/>
  <c r="M56" i="32"/>
  <c r="V56" i="32"/>
  <c r="S56" i="32"/>
  <c r="Y56" i="32"/>
  <c r="AA56" i="32" s="1"/>
  <c r="L56" i="32"/>
  <c r="T46" i="32"/>
  <c r="W46" i="32"/>
  <c r="Q46" i="32"/>
  <c r="Z46" i="32"/>
  <c r="P20" i="32"/>
  <c r="V40" i="32"/>
  <c r="Y141" i="32"/>
  <c r="J82" i="32"/>
  <c r="J44" i="32"/>
  <c r="M37" i="32"/>
  <c r="P37" i="32"/>
  <c r="L37" i="32"/>
  <c r="V37" i="32"/>
  <c r="Y37" i="32"/>
  <c r="S37" i="32"/>
  <c r="Y112" i="32"/>
  <c r="M112" i="32"/>
  <c r="L112" i="32"/>
  <c r="P112" i="32"/>
  <c r="V112" i="32"/>
  <c r="W172" i="32"/>
  <c r="P168" i="32"/>
  <c r="M168" i="32"/>
  <c r="Y168" i="32"/>
  <c r="V168" i="32"/>
  <c r="S168" i="32"/>
  <c r="L168" i="32"/>
  <c r="M119" i="32"/>
  <c r="P119" i="32"/>
  <c r="L119" i="32"/>
  <c r="S119" i="32"/>
  <c r="Y119" i="32"/>
  <c r="V119" i="32"/>
  <c r="N122" i="32"/>
  <c r="F19" i="35" s="1"/>
  <c r="M109" i="32"/>
  <c r="P109" i="32"/>
  <c r="V109" i="32"/>
  <c r="L109" i="32"/>
  <c r="Y109" i="32"/>
  <c r="P175" i="32"/>
  <c r="M175" i="32"/>
  <c r="L175" i="32"/>
  <c r="Y175" i="32"/>
  <c r="S175" i="32"/>
  <c r="Z175" i="32"/>
  <c r="T23" i="32"/>
  <c r="Q51" i="32"/>
  <c r="T116" i="32"/>
  <c r="S34" i="32"/>
  <c r="M34" i="32"/>
  <c r="O34" i="32" s="1"/>
  <c r="Y34" i="32"/>
  <c r="AA34" i="32" s="1"/>
  <c r="V34" i="32"/>
  <c r="X34" i="32" s="1"/>
  <c r="L34" i="32"/>
  <c r="S60" i="32"/>
  <c r="M60" i="32"/>
  <c r="Y60" i="32"/>
  <c r="AA60" i="32" s="1"/>
  <c r="V60" i="32"/>
  <c r="X60" i="32" s="1"/>
  <c r="L60" i="32"/>
  <c r="P147" i="32"/>
  <c r="M147" i="32"/>
  <c r="S147" i="32"/>
  <c r="L147" i="32"/>
  <c r="V147" i="32"/>
  <c r="Y147" i="32"/>
  <c r="AA147" i="32" s="1"/>
  <c r="M174" i="32"/>
  <c r="P174" i="32"/>
  <c r="S174" i="32"/>
  <c r="U174" i="32" s="1"/>
  <c r="Y174" i="32"/>
  <c r="V174" i="32"/>
  <c r="L174" i="32"/>
  <c r="N64" i="32"/>
  <c r="W25" i="32"/>
  <c r="Q173" i="32"/>
  <c r="M28" i="24" s="1"/>
  <c r="W29" i="32"/>
  <c r="W168" i="32"/>
  <c r="W113" i="32"/>
  <c r="T69" i="32"/>
  <c r="W144" i="32"/>
  <c r="P162" i="32"/>
  <c r="M162" i="32"/>
  <c r="Y162" i="32"/>
  <c r="L162" i="32"/>
  <c r="S162" i="32"/>
  <c r="Z162" i="32"/>
  <c r="Q114" i="32"/>
  <c r="F11" i="24" s="1"/>
  <c r="W35" i="32"/>
  <c r="T70" i="32"/>
  <c r="Q50" i="32"/>
  <c r="Q57" i="32"/>
  <c r="T163" i="32"/>
  <c r="L47" i="32"/>
  <c r="P47" i="32"/>
  <c r="M47" i="32"/>
  <c r="V47" i="32"/>
  <c r="S47" i="32"/>
  <c r="Y47" i="32"/>
  <c r="M118" i="32"/>
  <c r="P118" i="32"/>
  <c r="S118" i="32"/>
  <c r="L118" i="32"/>
  <c r="V118" i="32"/>
  <c r="Y118" i="32"/>
  <c r="AA118" i="32" s="1"/>
  <c r="T97" i="32"/>
  <c r="N154" i="32"/>
  <c r="M9" i="35" s="1"/>
  <c r="Q154" i="32"/>
  <c r="M9" i="24" s="1"/>
  <c r="T58" i="32"/>
  <c r="T119" i="32"/>
  <c r="W89" i="32"/>
  <c r="Z13" i="32"/>
  <c r="N128" i="32"/>
  <c r="F25" i="35" s="1"/>
  <c r="N22" i="32"/>
  <c r="N108" i="32"/>
  <c r="F5" i="35" s="1"/>
  <c r="W108" i="32"/>
  <c r="W59" i="32"/>
  <c r="X59" i="32" s="1"/>
  <c r="N45" i="32"/>
  <c r="Q102" i="32"/>
  <c r="Z40" i="32"/>
  <c r="W33" i="32"/>
  <c r="X33" i="32" s="1"/>
  <c r="W123" i="32"/>
  <c r="T73" i="32"/>
  <c r="N76" i="32"/>
  <c r="O76" i="32" s="1"/>
  <c r="T141" i="32"/>
  <c r="N92" i="32"/>
  <c r="T87" i="32"/>
  <c r="W126" i="32"/>
  <c r="T11" i="32"/>
  <c r="Z37" i="32"/>
  <c r="Q106" i="32"/>
  <c r="Z74" i="32"/>
  <c r="N19" i="32"/>
  <c r="N142" i="32"/>
  <c r="F39" i="35" s="1"/>
  <c r="W142" i="32"/>
  <c r="T63" i="32"/>
  <c r="N158" i="32"/>
  <c r="M13" i="35" s="1"/>
  <c r="T158" i="32"/>
  <c r="T130" i="32"/>
  <c r="Z155" i="32"/>
  <c r="W178" i="32"/>
  <c r="Z161" i="32"/>
  <c r="N104" i="32"/>
  <c r="T112" i="32"/>
  <c r="N77" i="32"/>
  <c r="N82" i="32"/>
  <c r="N81" i="32"/>
  <c r="T21" i="32"/>
  <c r="Z12" i="32"/>
  <c r="T172" i="32"/>
  <c r="Z172" i="32"/>
  <c r="T80" i="32"/>
  <c r="U80" i="32" s="1"/>
  <c r="T28" i="32"/>
  <c r="N36" i="32"/>
  <c r="Q20" i="32"/>
  <c r="T129" i="32"/>
  <c r="N109" i="32"/>
  <c r="F6" i="35" s="1"/>
  <c r="W94" i="32"/>
  <c r="Y93" i="32"/>
  <c r="L93" i="32"/>
  <c r="S93" i="32"/>
  <c r="M93" i="32"/>
  <c r="V93" i="32"/>
  <c r="P93" i="32"/>
  <c r="R93" i="32" s="1"/>
  <c r="P177" i="32"/>
  <c r="M177" i="32"/>
  <c r="Y177" i="32"/>
  <c r="S177" i="32"/>
  <c r="U177" i="32" s="1"/>
  <c r="L177" i="32"/>
  <c r="V177" i="32"/>
  <c r="W96" i="32"/>
  <c r="W44" i="32"/>
  <c r="T164" i="32"/>
  <c r="Q135" i="32"/>
  <c r="F32" i="24" s="1"/>
  <c r="N135" i="32"/>
  <c r="F32" i="35" s="1"/>
  <c r="Z85" i="32"/>
  <c r="Z101" i="32"/>
  <c r="Z143" i="32"/>
  <c r="W165" i="32"/>
  <c r="N17" i="32"/>
  <c r="Z134" i="32"/>
  <c r="T131" i="32"/>
  <c r="W86" i="32"/>
  <c r="Q24" i="32"/>
  <c r="Q27" i="32"/>
  <c r="W49" i="32"/>
  <c r="W30" i="32"/>
  <c r="Z67" i="32"/>
  <c r="Q111" i="32"/>
  <c r="F8" i="24" s="1"/>
  <c r="Q160" i="32"/>
  <c r="M15" i="24" s="1"/>
  <c r="J148" i="32"/>
  <c r="E45" i="37" s="1"/>
  <c r="G45" i="37" s="1"/>
  <c r="T148" i="32"/>
  <c r="Q42" i="32"/>
  <c r="W105" i="32"/>
  <c r="W78" i="32"/>
  <c r="T75" i="32"/>
  <c r="T62" i="32"/>
  <c r="T88" i="32"/>
  <c r="N95" i="32"/>
  <c r="T140" i="32"/>
  <c r="N68" i="32"/>
  <c r="Z148" i="32"/>
  <c r="J133" i="32"/>
  <c r="E30" i="37" s="1"/>
  <c r="G30" i="37" s="1"/>
  <c r="N133" i="32"/>
  <c r="F30" i="35" s="1"/>
  <c r="J146" i="32"/>
  <c r="E43" i="37" s="1"/>
  <c r="G43" i="37" s="1"/>
  <c r="W146" i="32"/>
  <c r="T71" i="32"/>
  <c r="N147" i="32"/>
  <c r="F44" i="35" s="1"/>
  <c r="J121" i="32"/>
  <c r="E18" i="37" s="1"/>
  <c r="G18" i="37" s="1"/>
  <c r="N121" i="32"/>
  <c r="F18" i="35" s="1"/>
  <c r="Z121" i="32"/>
  <c r="W43" i="32"/>
  <c r="T43" i="32"/>
  <c r="J43" i="32"/>
  <c r="N43" i="32"/>
  <c r="Z43" i="32"/>
  <c r="Q43" i="32"/>
  <c r="J108" i="32"/>
  <c r="E5" i="37" s="1"/>
  <c r="G5" i="37" s="1"/>
  <c r="J90" i="32"/>
  <c r="W90" i="32"/>
  <c r="N90" i="32"/>
  <c r="T90" i="32"/>
  <c r="Q90" i="32"/>
  <c r="Z90" i="32"/>
  <c r="M104" i="32"/>
  <c r="S13" i="32"/>
  <c r="M13" i="32"/>
  <c r="L13" i="32"/>
  <c r="P13" i="32"/>
  <c r="Y13" i="32"/>
  <c r="V13" i="32"/>
  <c r="S106" i="32"/>
  <c r="P106" i="32"/>
  <c r="R106" i="32" s="1"/>
  <c r="V106" i="32"/>
  <c r="L106" i="32"/>
  <c r="M106" i="32"/>
  <c r="Y106" i="32"/>
  <c r="M12" i="32"/>
  <c r="O12" i="32" s="1"/>
  <c r="V12" i="32"/>
  <c r="L12" i="32"/>
  <c r="S12" i="32"/>
  <c r="P12" i="32"/>
  <c r="Y12" i="32"/>
  <c r="J79" i="32"/>
  <c r="N79" i="32"/>
  <c r="J169" i="32"/>
  <c r="L24" i="37" s="1"/>
  <c r="N24" i="37" s="1"/>
  <c r="Q169" i="32"/>
  <c r="M24" i="24" s="1"/>
  <c r="J138" i="32"/>
  <c r="E35" i="37" s="1"/>
  <c r="G35" i="37" s="1"/>
  <c r="Z138" i="32"/>
  <c r="T138" i="32"/>
  <c r="N138" i="32"/>
  <c r="F35" i="35" s="1"/>
  <c r="Q138" i="32"/>
  <c r="F35" i="24" s="1"/>
  <c r="Z152" i="32"/>
  <c r="W152" i="32"/>
  <c r="T152" i="32"/>
  <c r="J152" i="32"/>
  <c r="L7" i="37" s="1"/>
  <c r="N7" i="37" s="1"/>
  <c r="N152" i="32"/>
  <c r="M7" i="35" s="1"/>
  <c r="J19" i="32"/>
  <c r="M89" i="32"/>
  <c r="V89" i="32"/>
  <c r="L89" i="32"/>
  <c r="S89" i="32"/>
  <c r="P89" i="32"/>
  <c r="Y89" i="32"/>
  <c r="M142" i="32"/>
  <c r="P142" i="32"/>
  <c r="V142" i="32"/>
  <c r="Y142" i="32"/>
  <c r="AA142" i="32" s="1"/>
  <c r="S142" i="32"/>
  <c r="S161" i="32"/>
  <c r="U161" i="32" s="1"/>
  <c r="M161" i="32"/>
  <c r="P161" i="32"/>
  <c r="V161" i="32"/>
  <c r="L161" i="32"/>
  <c r="Y161" i="32"/>
  <c r="P172" i="32"/>
  <c r="M172" i="32"/>
  <c r="V172" i="32"/>
  <c r="L172" i="32"/>
  <c r="S172" i="32"/>
  <c r="J83" i="32"/>
  <c r="N83" i="32"/>
  <c r="J32" i="32"/>
  <c r="W32" i="32"/>
  <c r="Z32" i="32"/>
  <c r="T41" i="32"/>
  <c r="W41" i="32"/>
  <c r="J41" i="32"/>
  <c r="Z41" i="32"/>
  <c r="N41" i="32"/>
  <c r="Q41" i="32"/>
  <c r="U24" i="32"/>
  <c r="S23" i="32"/>
  <c r="V23" i="32"/>
  <c r="M23" i="32"/>
  <c r="O23" i="32" s="1"/>
  <c r="L23" i="32"/>
  <c r="P23" i="32"/>
  <c r="Y23" i="32"/>
  <c r="V51" i="32"/>
  <c r="L51" i="32"/>
  <c r="Y51" i="32"/>
  <c r="M51" i="32"/>
  <c r="S51" i="32"/>
  <c r="U51" i="32" s="1"/>
  <c r="P51" i="32"/>
  <c r="R51" i="32" s="1"/>
  <c r="V159" i="32"/>
  <c r="M159" i="32"/>
  <c r="P159" i="32"/>
  <c r="L159" i="32"/>
  <c r="Y159" i="32"/>
  <c r="AA159" i="32" s="1"/>
  <c r="W159" i="32"/>
  <c r="M64" i="32"/>
  <c r="O64" i="32" s="1"/>
  <c r="Y64" i="32"/>
  <c r="L64" i="32"/>
  <c r="V64" i="32"/>
  <c r="S64" i="32"/>
  <c r="P64" i="32"/>
  <c r="R64" i="32" s="1"/>
  <c r="Y25" i="32"/>
  <c r="P25" i="32"/>
  <c r="L25" i="32"/>
  <c r="M25" i="32"/>
  <c r="O25" i="32" s="1"/>
  <c r="S25" i="32"/>
  <c r="V25" i="32"/>
  <c r="M173" i="32"/>
  <c r="P173" i="32"/>
  <c r="L173" i="32"/>
  <c r="Y173" i="32"/>
  <c r="S173" i="32"/>
  <c r="V173" i="32"/>
  <c r="T173" i="32"/>
  <c r="Z168" i="32"/>
  <c r="S69" i="32"/>
  <c r="U69" i="32" s="1"/>
  <c r="P69" i="32"/>
  <c r="R69" i="32" s="1"/>
  <c r="L69" i="32"/>
  <c r="M69" i="32"/>
  <c r="V69" i="32"/>
  <c r="V144" i="32"/>
  <c r="S144" i="32"/>
  <c r="M144" i="32"/>
  <c r="P144" i="32"/>
  <c r="L144" i="32"/>
  <c r="Y144" i="32"/>
  <c r="M167" i="32"/>
  <c r="P167" i="32"/>
  <c r="V167" i="32"/>
  <c r="L167" i="32"/>
  <c r="S167" i="32"/>
  <c r="U167" i="32" s="1"/>
  <c r="Y167" i="32"/>
  <c r="Y114" i="32"/>
  <c r="P114" i="32"/>
  <c r="M114" i="32"/>
  <c r="S114" i="32"/>
  <c r="V114" i="32"/>
  <c r="W114" i="32"/>
  <c r="Y97" i="32"/>
  <c r="S97" i="32"/>
  <c r="P97" i="32"/>
  <c r="M97" i="32"/>
  <c r="V97" i="32"/>
  <c r="L97" i="32"/>
  <c r="N149" i="32"/>
  <c r="M4" i="35" s="1"/>
  <c r="T170" i="32"/>
  <c r="T176" i="32"/>
  <c r="Q58" i="32"/>
  <c r="N89" i="32"/>
  <c r="N13" i="32"/>
  <c r="T22" i="32"/>
  <c r="Q59" i="32"/>
  <c r="Z45" i="32"/>
  <c r="Z151" i="32"/>
  <c r="Z102" i="32"/>
  <c r="T40" i="32"/>
  <c r="W73" i="32"/>
  <c r="Z76" i="32"/>
  <c r="N141" i="32"/>
  <c r="F38" i="35" s="1"/>
  <c r="T92" i="32"/>
  <c r="W87" i="32"/>
  <c r="N126" i="32"/>
  <c r="F23" i="35" s="1"/>
  <c r="Q11" i="32"/>
  <c r="W37" i="32"/>
  <c r="N106" i="32"/>
  <c r="W74" i="32"/>
  <c r="Q19" i="32"/>
  <c r="N63" i="32"/>
  <c r="Z127" i="32"/>
  <c r="T178" i="32"/>
  <c r="W161" i="32"/>
  <c r="T104" i="32"/>
  <c r="N112" i="32"/>
  <c r="F9" i="35" s="1"/>
  <c r="T77" i="32"/>
  <c r="P134" i="32"/>
  <c r="M134" i="32"/>
  <c r="S134" i="32"/>
  <c r="Y134" i="32"/>
  <c r="L134" i="32"/>
  <c r="V134" i="32"/>
  <c r="W21" i="32"/>
  <c r="Q12" i="32"/>
  <c r="Q172" i="32"/>
  <c r="M27" i="24" s="1"/>
  <c r="N151" i="32"/>
  <c r="M6" i="35" s="1"/>
  <c r="Q28" i="32"/>
  <c r="Q36" i="32"/>
  <c r="Z20" i="32"/>
  <c r="N129" i="32"/>
  <c r="F26" i="35" s="1"/>
  <c r="P96" i="32"/>
  <c r="Y96" i="32"/>
  <c r="M96" i="32"/>
  <c r="O96" i="32" s="1"/>
  <c r="V96" i="32"/>
  <c r="S96" i="32"/>
  <c r="P164" i="32"/>
  <c r="M164" i="32"/>
  <c r="V164" i="32"/>
  <c r="Y164" i="32"/>
  <c r="S164" i="32"/>
  <c r="L164" i="32"/>
  <c r="W164" i="32"/>
  <c r="Q17" i="32"/>
  <c r="T134" i="32"/>
  <c r="P86" i="32"/>
  <c r="V86" i="32"/>
  <c r="S86" i="32"/>
  <c r="U86" i="32" s="1"/>
  <c r="Y86" i="32"/>
  <c r="L86" i="32"/>
  <c r="M86" i="32"/>
  <c r="M107" i="32"/>
  <c r="P107" i="32"/>
  <c r="S107" i="32"/>
  <c r="V107" i="32"/>
  <c r="L107" i="32"/>
  <c r="Y107" i="32"/>
  <c r="V24" i="32"/>
  <c r="P24" i="32"/>
  <c r="Y24" i="32"/>
  <c r="M24" i="32"/>
  <c r="V27" i="32"/>
  <c r="X27" i="32" s="1"/>
  <c r="P27" i="32"/>
  <c r="S27" i="32"/>
  <c r="M27" i="32"/>
  <c r="O27" i="32" s="1"/>
  <c r="L27" i="32"/>
  <c r="V49" i="32"/>
  <c r="S49" i="32"/>
  <c r="Y49" i="32"/>
  <c r="P49" i="32"/>
  <c r="R49" i="32" s="1"/>
  <c r="V30" i="32"/>
  <c r="M30" i="32"/>
  <c r="Y30" i="32"/>
  <c r="P30" i="32"/>
  <c r="T67" i="32"/>
  <c r="Z160" i="32"/>
  <c r="S42" i="32"/>
  <c r="P42" i="32"/>
  <c r="M42" i="32"/>
  <c r="O42" i="32" s="1"/>
  <c r="L42" i="32"/>
  <c r="Y42" i="32"/>
  <c r="M105" i="32"/>
  <c r="O105" i="32" s="1"/>
  <c r="V105" i="32"/>
  <c r="X105" i="32" s="1"/>
  <c r="P105" i="32"/>
  <c r="R105" i="32" s="1"/>
  <c r="Y105" i="32"/>
  <c r="L105" i="32"/>
  <c r="S105" i="32"/>
  <c r="Y78" i="32"/>
  <c r="S78" i="32"/>
  <c r="U78" i="32" s="1"/>
  <c r="P78" i="32"/>
  <c r="M78" i="32"/>
  <c r="V78" i="32"/>
  <c r="L78" i="32"/>
  <c r="W75" i="32"/>
  <c r="W62" i="32"/>
  <c r="W88" i="32"/>
  <c r="T95" i="32"/>
  <c r="Q68" i="32"/>
  <c r="J16" i="32"/>
  <c r="W16" i="32"/>
  <c r="T83" i="32"/>
  <c r="Q133" i="32"/>
  <c r="F30" i="24" s="1"/>
  <c r="Q79" i="32"/>
  <c r="Z146" i="32"/>
  <c r="T32" i="32"/>
  <c r="W169" i="32"/>
  <c r="Q121" i="32"/>
  <c r="F18" i="24" s="1"/>
  <c r="M98" i="32"/>
  <c r="L98" i="32"/>
  <c r="P98" i="32"/>
  <c r="S98" i="32"/>
  <c r="L49" i="32"/>
  <c r="Y172" i="32"/>
  <c r="L92" i="32"/>
  <c r="S87" i="32"/>
  <c r="W138" i="32"/>
  <c r="P34" i="32"/>
  <c r="Q152" i="32"/>
  <c r="M7" i="24" s="1"/>
  <c r="V162" i="32"/>
  <c r="X162" i="32" s="1"/>
  <c r="S109" i="32"/>
  <c r="P45" i="32"/>
  <c r="M45" i="32"/>
  <c r="L45" i="32"/>
  <c r="Y45" i="32"/>
  <c r="S45" i="32"/>
  <c r="V45" i="32"/>
  <c r="X45" i="32" s="1"/>
  <c r="M151" i="32"/>
  <c r="P151" i="32"/>
  <c r="S151" i="32"/>
  <c r="U151" i="32" s="1"/>
  <c r="V151" i="32"/>
  <c r="L151" i="32"/>
  <c r="Y151" i="32"/>
  <c r="V102" i="32"/>
  <c r="P102" i="32"/>
  <c r="S102" i="32"/>
  <c r="Y102" i="32"/>
  <c r="AA102" i="32" s="1"/>
  <c r="L102" i="32"/>
  <c r="L40" i="32"/>
  <c r="Y40" i="32"/>
  <c r="S40" i="32"/>
  <c r="M40" i="32"/>
  <c r="Y33" i="32"/>
  <c r="AA33" i="32" s="1"/>
  <c r="S33" i="32"/>
  <c r="U33" i="32" s="1"/>
  <c r="M33" i="32"/>
  <c r="L33" i="32"/>
  <c r="P33" i="32"/>
  <c r="R33" i="32" s="1"/>
  <c r="P123" i="32"/>
  <c r="M123" i="32"/>
  <c r="S123" i="32"/>
  <c r="L123" i="32"/>
  <c r="V123" i="32"/>
  <c r="X123" i="32" s="1"/>
  <c r="Y123" i="32"/>
  <c r="Z123" i="32"/>
  <c r="Q73" i="32"/>
  <c r="Q76" i="32"/>
  <c r="W92" i="32"/>
  <c r="N87" i="32"/>
  <c r="W11" i="32"/>
  <c r="N37" i="32"/>
  <c r="W106" i="32"/>
  <c r="T74" i="32"/>
  <c r="Z19" i="32"/>
  <c r="Q142" i="32"/>
  <c r="F39" i="24" s="1"/>
  <c r="P110" i="32"/>
  <c r="Y110" i="32"/>
  <c r="V110" i="32"/>
  <c r="X110" i="32" s="1"/>
  <c r="M110" i="32"/>
  <c r="S110" i="32"/>
  <c r="L110" i="32"/>
  <c r="Z110" i="32"/>
  <c r="Q63" i="32"/>
  <c r="Q127" i="32"/>
  <c r="F24" i="24" s="1"/>
  <c r="Z158" i="32"/>
  <c r="M130" i="32"/>
  <c r="S130" i="32"/>
  <c r="V130" i="32"/>
  <c r="P130" i="32"/>
  <c r="Y130" i="32"/>
  <c r="W155" i="32"/>
  <c r="Q161" i="32"/>
  <c r="M16" i="24" s="1"/>
  <c r="W104" i="32"/>
  <c r="W77" i="32"/>
  <c r="W149" i="32"/>
  <c r="X149" i="32" s="1"/>
  <c r="N21" i="32"/>
  <c r="W12" i="32"/>
  <c r="M80" i="32"/>
  <c r="O80" i="32" s="1"/>
  <c r="V80" i="32"/>
  <c r="X80" i="32" s="1"/>
  <c r="Y80" i="32"/>
  <c r="AA80" i="32" s="1"/>
  <c r="P80" i="32"/>
  <c r="R80" i="32" s="1"/>
  <c r="L80" i="32"/>
  <c r="W28" i="32"/>
  <c r="W36" i="32"/>
  <c r="N20" i="32"/>
  <c r="Y94" i="32"/>
  <c r="M94" i="32"/>
  <c r="O94" i="32" s="1"/>
  <c r="S94" i="32"/>
  <c r="L94" i="32"/>
  <c r="P94" i="32"/>
  <c r="R94" i="32" s="1"/>
  <c r="V94" i="32"/>
  <c r="X94" i="32" s="1"/>
  <c r="N111" i="32"/>
  <c r="F8" i="35" s="1"/>
  <c r="Z96" i="32"/>
  <c r="Q44" i="32"/>
  <c r="T135" i="32"/>
  <c r="Y101" i="32"/>
  <c r="M101" i="32"/>
  <c r="P101" i="32"/>
  <c r="V101" i="32"/>
  <c r="L101" i="32"/>
  <c r="S101" i="32"/>
  <c r="U101" i="32" s="1"/>
  <c r="M143" i="32"/>
  <c r="P143" i="32"/>
  <c r="L143" i="32"/>
  <c r="V143" i="32"/>
  <c r="Y143" i="32"/>
  <c r="AA143" i="32" s="1"/>
  <c r="S143" i="32"/>
  <c r="T165" i="32"/>
  <c r="Z17" i="32"/>
  <c r="N134" i="32"/>
  <c r="F31" i="35" s="1"/>
  <c r="Z86" i="32"/>
  <c r="T107" i="32"/>
  <c r="Z24" i="32"/>
  <c r="T27" i="32"/>
  <c r="N49" i="32"/>
  <c r="Q30" i="32"/>
  <c r="Q67" i="32"/>
  <c r="T111" i="32"/>
  <c r="N140" i="32"/>
  <c r="F37" i="35" s="1"/>
  <c r="T160" i="32"/>
  <c r="N161" i="32"/>
  <c r="M16" i="35" s="1"/>
  <c r="Z75" i="32"/>
  <c r="W140" i="32"/>
  <c r="L68" i="32"/>
  <c r="V68" i="32"/>
  <c r="X68" i="32" s="1"/>
  <c r="S68" i="32"/>
  <c r="M68" i="32"/>
  <c r="P68" i="32"/>
  <c r="R68" i="32" s="1"/>
  <c r="Y68" i="32"/>
  <c r="M125" i="32"/>
  <c r="P125" i="32"/>
  <c r="L125" i="32"/>
  <c r="S125" i="32"/>
  <c r="V125" i="32"/>
  <c r="X125" i="32" s="1"/>
  <c r="Y125" i="32"/>
  <c r="Q117" i="32"/>
  <c r="F14" i="24" s="1"/>
  <c r="W117" i="32"/>
  <c r="J117" i="32"/>
  <c r="E14" i="37" s="1"/>
  <c r="G14" i="37" s="1"/>
  <c r="W148" i="32"/>
  <c r="T16" i="32"/>
  <c r="Q83" i="32"/>
  <c r="T79" i="32"/>
  <c r="T146" i="32"/>
  <c r="Q32" i="32"/>
  <c r="J156" i="32"/>
  <c r="L11" i="37" s="1"/>
  <c r="N11" i="37" s="1"/>
  <c r="W156" i="32"/>
  <c r="Z156" i="32"/>
  <c r="J39" i="32"/>
  <c r="Z39" i="32"/>
  <c r="N39" i="32"/>
  <c r="Q91" i="32"/>
  <c r="T91" i="32"/>
  <c r="J91" i="32"/>
  <c r="N169" i="32"/>
  <c r="M24" i="35" s="1"/>
  <c r="S73" i="32"/>
  <c r="V98" i="32"/>
  <c r="L30" i="32"/>
  <c r="M49" i="32"/>
  <c r="M92" i="32"/>
  <c r="Z157" i="32"/>
  <c r="Q157" i="32"/>
  <c r="M12" i="24" s="1"/>
  <c r="N157" i="32"/>
  <c r="M12" i="35" s="1"/>
  <c r="J157" i="32"/>
  <c r="L12" i="37" s="1"/>
  <c r="N12" i="37" s="1"/>
  <c r="T157" i="32"/>
  <c r="W157" i="32"/>
  <c r="L63" i="32"/>
  <c r="J158" i="32"/>
  <c r="L13" i="37" s="1"/>
  <c r="N13" i="37" s="1"/>
  <c r="Y69" i="32"/>
  <c r="AA69" i="32" s="1"/>
  <c r="V175" i="32"/>
  <c r="X175" i="32" s="1"/>
  <c r="M154" i="32"/>
  <c r="P154" i="32"/>
  <c r="V154" i="32"/>
  <c r="Y154" i="32"/>
  <c r="L154" i="32"/>
  <c r="S154" i="32"/>
  <c r="M128" i="32"/>
  <c r="P128" i="32"/>
  <c r="Y128" i="32"/>
  <c r="S128" i="32"/>
  <c r="V128" i="32"/>
  <c r="L74" i="32"/>
  <c r="M74" i="32"/>
  <c r="S74" i="32"/>
  <c r="P74" i="32"/>
  <c r="R74" i="32" s="1"/>
  <c r="V74" i="32"/>
  <c r="Y74" i="32"/>
  <c r="T142" i="32"/>
  <c r="W158" i="32"/>
  <c r="J178" i="32"/>
  <c r="L33" i="37" s="1"/>
  <c r="N33" i="37" s="1"/>
  <c r="N178" i="32"/>
  <c r="M33" i="35" s="1"/>
  <c r="S77" i="32"/>
  <c r="U77" i="32" s="1"/>
  <c r="Y77" i="32"/>
  <c r="P77" i="32"/>
  <c r="V77" i="32"/>
  <c r="X77" i="32" s="1"/>
  <c r="L77" i="32"/>
  <c r="M77" i="32"/>
  <c r="S149" i="32"/>
  <c r="U149" i="32" s="1"/>
  <c r="M149" i="32"/>
  <c r="P149" i="32"/>
  <c r="Y149" i="32"/>
  <c r="L149" i="32"/>
  <c r="Z154" i="32"/>
  <c r="P176" i="32"/>
  <c r="M176" i="32"/>
  <c r="S176" i="32"/>
  <c r="L176" i="32"/>
  <c r="V176" i="32"/>
  <c r="Y176" i="32"/>
  <c r="Z176" i="32"/>
  <c r="Z89" i="32"/>
  <c r="T13" i="32"/>
  <c r="W128" i="32"/>
  <c r="Z22" i="32"/>
  <c r="M59" i="32"/>
  <c r="O59" i="32" s="1"/>
  <c r="Y59" i="32"/>
  <c r="L59" i="32"/>
  <c r="S59" i="32"/>
  <c r="P122" i="32"/>
  <c r="L122" i="32"/>
  <c r="Y122" i="32"/>
  <c r="AA122" i="32" s="1"/>
  <c r="S122" i="32"/>
  <c r="U122" i="32" s="1"/>
  <c r="M122" i="32"/>
  <c r="V122" i="32"/>
  <c r="Z23" i="32"/>
  <c r="W51" i="32"/>
  <c r="V116" i="32"/>
  <c r="P116" i="32"/>
  <c r="M116" i="32"/>
  <c r="S116" i="32"/>
  <c r="Y116" i="32"/>
  <c r="L116" i="32"/>
  <c r="W116" i="32"/>
  <c r="W64" i="32"/>
  <c r="Q25" i="32"/>
  <c r="Z173" i="32"/>
  <c r="Y29" i="32"/>
  <c r="V29" i="32"/>
  <c r="M29" i="32"/>
  <c r="O29" i="32" s="1"/>
  <c r="L29" i="32"/>
  <c r="S29" i="32"/>
  <c r="U29" i="32" s="1"/>
  <c r="P29" i="32"/>
  <c r="N168" i="32"/>
  <c r="M23" i="35" s="1"/>
  <c r="M113" i="32"/>
  <c r="P113" i="32"/>
  <c r="L113" i="32"/>
  <c r="V113" i="32"/>
  <c r="Y113" i="32"/>
  <c r="N69" i="32"/>
  <c r="Z144" i="32"/>
  <c r="M136" i="32"/>
  <c r="P136" i="32"/>
  <c r="L136" i="32"/>
  <c r="S136" i="32"/>
  <c r="Y136" i="32"/>
  <c r="AA136" i="32" s="1"/>
  <c r="V136" i="32"/>
  <c r="Z167" i="32"/>
  <c r="P70" i="32"/>
  <c r="Y70" i="32"/>
  <c r="V70" i="32"/>
  <c r="S70" i="32"/>
  <c r="M70" i="32"/>
  <c r="O70" i="32" s="1"/>
  <c r="L70" i="32"/>
  <c r="V50" i="32"/>
  <c r="M50" i="32"/>
  <c r="O50" i="32" s="1"/>
  <c r="Y50" i="32"/>
  <c r="AA50" i="32" s="1"/>
  <c r="P50" i="32"/>
  <c r="S50" i="32"/>
  <c r="V57" i="32"/>
  <c r="X57" i="32" s="1"/>
  <c r="L57" i="32"/>
  <c r="S57" i="32"/>
  <c r="M57" i="32"/>
  <c r="P57" i="32"/>
  <c r="R57" i="32" s="1"/>
  <c r="P163" i="32"/>
  <c r="M163" i="32"/>
  <c r="S163" i="32"/>
  <c r="L163" i="32"/>
  <c r="Y163" i="32"/>
  <c r="V163" i="32"/>
  <c r="X163" i="32" s="1"/>
  <c r="Q97" i="32"/>
  <c r="Q170" i="32"/>
  <c r="M25" i="24" s="1"/>
  <c r="N170" i="32"/>
  <c r="M25" i="35" s="1"/>
  <c r="W154" i="32"/>
  <c r="W176" i="32"/>
  <c r="Z58" i="32"/>
  <c r="W119" i="32"/>
  <c r="Q119" i="32"/>
  <c r="F16" i="24" s="1"/>
  <c r="T89" i="32"/>
  <c r="Q13" i="32"/>
  <c r="Z128" i="32"/>
  <c r="W22" i="32"/>
  <c r="T59" i="32"/>
  <c r="T45" i="32"/>
  <c r="W151" i="32"/>
  <c r="T102" i="32"/>
  <c r="W40" i="32"/>
  <c r="N33" i="32"/>
  <c r="N73" i="32"/>
  <c r="W76" i="32"/>
  <c r="Z141" i="32"/>
  <c r="Q92" i="32"/>
  <c r="Z87" i="32"/>
  <c r="T126" i="32"/>
  <c r="Q126" i="32"/>
  <c r="F23" i="24" s="1"/>
  <c r="Z11" i="32"/>
  <c r="T37" i="32"/>
  <c r="T106" i="32"/>
  <c r="N74" i="32"/>
  <c r="Z63" i="32"/>
  <c r="N127" i="32"/>
  <c r="F24" i="35" s="1"/>
  <c r="T155" i="32"/>
  <c r="N155" i="32"/>
  <c r="M10" i="35" s="1"/>
  <c r="Z104" i="32"/>
  <c r="W112" i="32"/>
  <c r="Q77" i="32"/>
  <c r="Y81" i="32"/>
  <c r="S81" i="32"/>
  <c r="P81" i="32"/>
  <c r="V81" i="32"/>
  <c r="X81" i="32" s="1"/>
  <c r="M81" i="32"/>
  <c r="L81" i="32"/>
  <c r="Z149" i="32"/>
  <c r="Q21" i="32"/>
  <c r="T12" i="32"/>
  <c r="N172" i="32"/>
  <c r="M27" i="35" s="1"/>
  <c r="Z28" i="32"/>
  <c r="T36" i="32"/>
  <c r="T20" i="32"/>
  <c r="Z129" i="32"/>
  <c r="Q129" i="32"/>
  <c r="F26" i="24" s="1"/>
  <c r="S111" i="32"/>
  <c r="P111" i="32"/>
  <c r="Y111" i="32"/>
  <c r="AA111" i="32" s="1"/>
  <c r="V111" i="32"/>
  <c r="M111" i="32"/>
  <c r="L111" i="32"/>
  <c r="T96" i="32"/>
  <c r="N164" i="32"/>
  <c r="M19" i="35" s="1"/>
  <c r="N160" i="32"/>
  <c r="M15" i="35" s="1"/>
  <c r="W135" i="32"/>
  <c r="Z165" i="32"/>
  <c r="Q165" i="32"/>
  <c r="M20" i="24" s="1"/>
  <c r="W17" i="32"/>
  <c r="Q86" i="32"/>
  <c r="Z107" i="32"/>
  <c r="M67" i="32"/>
  <c r="P67" i="32"/>
  <c r="Y67" i="32"/>
  <c r="AA67" i="32" s="1"/>
  <c r="L67" i="32"/>
  <c r="S67" i="32"/>
  <c r="V67" i="32"/>
  <c r="W111" i="32"/>
  <c r="M140" i="32"/>
  <c r="P140" i="32"/>
  <c r="V140" i="32"/>
  <c r="L140" i="32"/>
  <c r="S140" i="32"/>
  <c r="U140" i="32" s="1"/>
  <c r="Y140" i="32"/>
  <c r="AA140" i="32" s="1"/>
  <c r="P75" i="32"/>
  <c r="S75" i="32"/>
  <c r="U75" i="32" s="1"/>
  <c r="M75" i="32"/>
  <c r="L75" i="32"/>
  <c r="V75" i="32"/>
  <c r="Y75" i="32"/>
  <c r="Y62" i="32"/>
  <c r="AA62" i="32" s="1"/>
  <c r="V62" i="32"/>
  <c r="X62" i="32" s="1"/>
  <c r="M62" i="32"/>
  <c r="O62" i="32" s="1"/>
  <c r="L62" i="32"/>
  <c r="S62" i="32"/>
  <c r="L88" i="32"/>
  <c r="V88" i="32"/>
  <c r="S88" i="32"/>
  <c r="Y88" i="32"/>
  <c r="AA88" i="32" s="1"/>
  <c r="P88" i="32"/>
  <c r="M88" i="32"/>
  <c r="O88" i="32" s="1"/>
  <c r="Y95" i="32"/>
  <c r="AA95" i="32" s="1"/>
  <c r="M95" i="32"/>
  <c r="L95" i="32"/>
  <c r="V95" i="32"/>
  <c r="P95" i="32"/>
  <c r="S95" i="32"/>
  <c r="P166" i="32"/>
  <c r="M166" i="32"/>
  <c r="V166" i="32"/>
  <c r="Y166" i="32"/>
  <c r="L166" i="32"/>
  <c r="S166" i="32"/>
  <c r="Z166" i="32"/>
  <c r="Q115" i="32"/>
  <c r="F12" i="24" s="1"/>
  <c r="J115" i="32"/>
  <c r="E12" i="37" s="1"/>
  <c r="G12" i="37" s="1"/>
  <c r="Y48" i="32"/>
  <c r="V48" i="32"/>
  <c r="P48" i="32"/>
  <c r="L48" i="32"/>
  <c r="S48" i="32"/>
  <c r="U48" i="32" s="1"/>
  <c r="M48" i="32"/>
  <c r="O48" i="32" s="1"/>
  <c r="V66" i="32"/>
  <c r="X66" i="32" s="1"/>
  <c r="P66" i="32"/>
  <c r="M66" i="32"/>
  <c r="S66" i="32"/>
  <c r="L66" i="32"/>
  <c r="Q140" i="32"/>
  <c r="F37" i="24" s="1"/>
  <c r="T68" i="32"/>
  <c r="T125" i="32"/>
  <c r="J38" i="32"/>
  <c r="W38" i="32"/>
  <c r="N117" i="32"/>
  <c r="F14" i="35" s="1"/>
  <c r="N148" i="32"/>
  <c r="F45" i="35" s="1"/>
  <c r="N16" i="32"/>
  <c r="Z83" i="32"/>
  <c r="W79" i="32"/>
  <c r="N146" i="32"/>
  <c r="F43" i="35" s="1"/>
  <c r="Q71" i="32"/>
  <c r="T39" i="32"/>
  <c r="W91" i="32"/>
  <c r="T169" i="32"/>
  <c r="Z98" i="32"/>
  <c r="AA98" i="32" s="1"/>
  <c r="Q98" i="32"/>
  <c r="N98" i="32"/>
  <c r="W26" i="32"/>
  <c r="N26" i="32"/>
  <c r="J26" i="32"/>
  <c r="Q26" i="32"/>
  <c r="J46" i="32"/>
  <c r="L73" i="32"/>
  <c r="P56" i="32"/>
  <c r="R56" i="32" s="1"/>
  <c r="S30" i="32"/>
  <c r="Y27" i="32"/>
  <c r="AA27" i="32" s="1"/>
  <c r="V170" i="32"/>
  <c r="S141" i="32"/>
  <c r="S155" i="32"/>
  <c r="U155" i="32" s="1"/>
  <c r="V63" i="32"/>
  <c r="X63" i="32" s="1"/>
  <c r="S112" i="32"/>
  <c r="L96" i="32"/>
  <c r="Y57" i="32"/>
  <c r="T103" i="32"/>
  <c r="Q72" i="32"/>
  <c r="Q31" i="32"/>
  <c r="Q61" i="32"/>
  <c r="R61" i="32" s="1"/>
  <c r="Q171" i="32"/>
  <c r="M26" i="24" s="1"/>
  <c r="P132" i="32"/>
  <c r="M132" i="32"/>
  <c r="V132" i="32"/>
  <c r="L132" i="32"/>
  <c r="S132" i="32"/>
  <c r="W132" i="32"/>
  <c r="N31" i="32"/>
  <c r="N61" i="32"/>
  <c r="J103" i="32"/>
  <c r="J139" i="32"/>
  <c r="E36" i="37" s="1"/>
  <c r="G36" i="37" s="1"/>
  <c r="J72" i="32"/>
  <c r="J137" i="32"/>
  <c r="E34" i="37" s="1"/>
  <c r="G34" i="37" s="1"/>
  <c r="W120" i="32"/>
  <c r="L31" i="32"/>
  <c r="M31" i="32"/>
  <c r="Y31" i="32"/>
  <c r="AA31" i="32" s="1"/>
  <c r="V31" i="32"/>
  <c r="P31" i="32"/>
  <c r="L61" i="32"/>
  <c r="Y61" i="32"/>
  <c r="AA61" i="32" s="1"/>
  <c r="V61" i="32"/>
  <c r="S61" i="32"/>
  <c r="M61" i="32"/>
  <c r="J55" i="32"/>
  <c r="Q120" i="32"/>
  <c r="F17" i="24" s="1"/>
  <c r="T120" i="32"/>
  <c r="V14" i="32"/>
  <c r="M14" i="32"/>
  <c r="Y14" i="32"/>
  <c r="AA14" i="32" s="1"/>
  <c r="L14" i="32"/>
  <c r="P14" i="32"/>
  <c r="R14" i="32" s="1"/>
  <c r="S52" i="32"/>
  <c r="Y52" i="32"/>
  <c r="AA52" i="32" s="1"/>
  <c r="M52" i="32"/>
  <c r="O52" i="32" s="1"/>
  <c r="P52" i="32"/>
  <c r="W54" i="32"/>
  <c r="Q54" i="32"/>
  <c r="T54" i="32"/>
  <c r="Z54" i="32"/>
  <c r="W103" i="32"/>
  <c r="W72" i="32"/>
  <c r="S99" i="32"/>
  <c r="U99" i="32" s="1"/>
  <c r="P99" i="32"/>
  <c r="R99" i="32" s="1"/>
  <c r="Y99" i="32"/>
  <c r="L99" i="32"/>
  <c r="V99" i="32"/>
  <c r="X99" i="32" s="1"/>
  <c r="M99" i="32"/>
  <c r="W31" i="32"/>
  <c r="T61" i="32"/>
  <c r="T171" i="32"/>
  <c r="W171" i="32"/>
  <c r="N132" i="32"/>
  <c r="F29" i="35" s="1"/>
  <c r="S53" i="32"/>
  <c r="P53" i="32"/>
  <c r="R53" i="32" s="1"/>
  <c r="M53" i="32"/>
  <c r="L53" i="32"/>
  <c r="V53" i="32"/>
  <c r="N14" i="32"/>
  <c r="V52" i="32"/>
  <c r="X52" i="32" s="1"/>
  <c r="S150" i="32"/>
  <c r="S31" i="32"/>
  <c r="Y15" i="32"/>
  <c r="S15" i="32"/>
  <c r="U15" i="32" s="1"/>
  <c r="P15" i="32"/>
  <c r="R15" i="32" s="1"/>
  <c r="L15" i="32"/>
  <c r="V15" i="32"/>
  <c r="V65" i="32"/>
  <c r="M65" i="32"/>
  <c r="O65" i="32" s="1"/>
  <c r="Y65" i="32"/>
  <c r="AA65" i="32" s="1"/>
  <c r="L65" i="32"/>
  <c r="S65" i="32"/>
  <c r="U65" i="32" s="1"/>
  <c r="S84" i="32"/>
  <c r="U84" i="32" s="1"/>
  <c r="V84" i="32"/>
  <c r="L84" i="32"/>
  <c r="Y84" i="32"/>
  <c r="AA84" i="32" s="1"/>
  <c r="P84" i="32"/>
  <c r="M84" i="32"/>
  <c r="T56" i="32"/>
  <c r="J171" i="32"/>
  <c r="L26" i="37" s="1"/>
  <c r="N26" i="37" s="1"/>
  <c r="N99" i="32"/>
  <c r="J120" i="32"/>
  <c r="E17" i="37" s="1"/>
  <c r="G17" i="37" s="1"/>
  <c r="T31" i="32"/>
  <c r="W61" i="32"/>
  <c r="Q132" i="32"/>
  <c r="F29" i="24" s="1"/>
  <c r="T53" i="32"/>
  <c r="T14" i="32"/>
  <c r="U14" i="32" s="1"/>
  <c r="Y132" i="32"/>
  <c r="W145" i="32"/>
  <c r="Z145" i="32"/>
  <c r="J145" i="32"/>
  <c r="E42" i="37" s="1"/>
  <c r="G42" i="37" s="1"/>
  <c r="X50" i="32" l="1"/>
  <c r="X74" i="32"/>
  <c r="U143" i="32"/>
  <c r="R24" i="32"/>
  <c r="L150" i="32"/>
  <c r="L5" i="37"/>
  <c r="N5" i="37" s="1"/>
  <c r="R47" i="32"/>
  <c r="L124" i="32"/>
  <c r="E21" i="37"/>
  <c r="G21" i="37" s="1"/>
  <c r="O45" i="32"/>
  <c r="U60" i="32"/>
  <c r="R85" i="32"/>
  <c r="U97" i="32"/>
  <c r="U105" i="32"/>
  <c r="O97" i="32"/>
  <c r="R23" i="32"/>
  <c r="M150" i="32"/>
  <c r="O150" i="32" s="1"/>
  <c r="R95" i="32"/>
  <c r="R29" i="32"/>
  <c r="X13" i="32"/>
  <c r="X101" i="32"/>
  <c r="AA42" i="32"/>
  <c r="V150" i="32"/>
  <c r="X150" i="32" s="1"/>
  <c r="R52" i="32"/>
  <c r="U30" i="32"/>
  <c r="AA48" i="32"/>
  <c r="U57" i="32"/>
  <c r="AA77" i="32"/>
  <c r="X98" i="32"/>
  <c r="U110" i="32"/>
  <c r="AA114" i="32"/>
  <c r="M124" i="32"/>
  <c r="X177" i="32"/>
  <c r="U85" i="32"/>
  <c r="AA177" i="32"/>
  <c r="AA174" i="32"/>
  <c r="U175" i="32"/>
  <c r="X141" i="32"/>
  <c r="O100" i="32"/>
  <c r="Y150" i="32"/>
  <c r="AA150" i="32" s="1"/>
  <c r="AA49" i="32"/>
  <c r="U168" i="32"/>
  <c r="P150" i="32"/>
  <c r="R150" i="32" s="1"/>
  <c r="R96" i="32"/>
  <c r="X167" i="32"/>
  <c r="U34" i="32"/>
  <c r="U172" i="32"/>
  <c r="U150" i="32"/>
  <c r="R66" i="32"/>
  <c r="X48" i="32"/>
  <c r="R88" i="32"/>
  <c r="X70" i="32"/>
  <c r="O75" i="32"/>
  <c r="AA70" i="32"/>
  <c r="U109" i="32"/>
  <c r="R78" i="32"/>
  <c r="AA97" i="32"/>
  <c r="AA130" i="32"/>
  <c r="AA164" i="32"/>
  <c r="U66" i="32"/>
  <c r="X136" i="32"/>
  <c r="AA125" i="32"/>
  <c r="AA68" i="32"/>
  <c r="X143" i="32"/>
  <c r="O86" i="32"/>
  <c r="U114" i="32"/>
  <c r="X170" i="32"/>
  <c r="O66" i="32"/>
  <c r="R50" i="32"/>
  <c r="AA94" i="32"/>
  <c r="X130" i="32"/>
  <c r="U163" i="32"/>
  <c r="U73" i="32"/>
  <c r="U123" i="32"/>
  <c r="X86" i="32"/>
  <c r="X96" i="32"/>
  <c r="X69" i="32"/>
  <c r="AA25" i="32"/>
  <c r="U95" i="32"/>
  <c r="R67" i="32"/>
  <c r="U94" i="32"/>
  <c r="X173" i="32"/>
  <c r="X25" i="32"/>
  <c r="X118" i="32"/>
  <c r="O18" i="32"/>
  <c r="U98" i="32"/>
  <c r="M54" i="32"/>
  <c r="O54" i="32" s="1"/>
  <c r="X93" i="32"/>
  <c r="X47" i="32"/>
  <c r="AA132" i="32"/>
  <c r="AA57" i="32"/>
  <c r="X67" i="32"/>
  <c r="O51" i="32"/>
  <c r="O47" i="32"/>
  <c r="X56" i="32"/>
  <c r="U67" i="32"/>
  <c r="O81" i="32"/>
  <c r="U116" i="32"/>
  <c r="U154" i="32"/>
  <c r="R45" i="32"/>
  <c r="O24" i="32"/>
  <c r="R59" i="32"/>
  <c r="U93" i="32"/>
  <c r="AA119" i="32"/>
  <c r="O56" i="32"/>
  <c r="AA126" i="32"/>
  <c r="AA73" i="32"/>
  <c r="R35" i="32"/>
  <c r="X140" i="32"/>
  <c r="O30" i="32"/>
  <c r="AA64" i="32"/>
  <c r="X23" i="32"/>
  <c r="O60" i="32"/>
  <c r="U76" i="32"/>
  <c r="AA153" i="32"/>
  <c r="X131" i="32"/>
  <c r="O58" i="32"/>
  <c r="I184" i="32"/>
  <c r="K184" i="32" s="1"/>
  <c r="M36" i="37" s="1"/>
  <c r="N36" i="37" s="1"/>
  <c r="K183" i="32"/>
  <c r="U40" i="32"/>
  <c r="X78" i="32"/>
  <c r="X142" i="32"/>
  <c r="O68" i="32"/>
  <c r="X89" i="32"/>
  <c r="AA101" i="32"/>
  <c r="X144" i="32"/>
  <c r="U100" i="32"/>
  <c r="AA18" i="32"/>
  <c r="X166" i="32"/>
  <c r="R70" i="32"/>
  <c r="U42" i="32"/>
  <c r="U164" i="32"/>
  <c r="X134" i="32"/>
  <c r="P124" i="32"/>
  <c r="U147" i="32"/>
  <c r="X65" i="32"/>
  <c r="X14" i="32"/>
  <c r="X88" i="32"/>
  <c r="AA78" i="32"/>
  <c r="X24" i="32"/>
  <c r="S124" i="32"/>
  <c r="U124" i="32" s="1"/>
  <c r="AA106" i="32"/>
  <c r="AA93" i="32"/>
  <c r="O84" i="32"/>
  <c r="U141" i="32"/>
  <c r="O67" i="32"/>
  <c r="X29" i="32"/>
  <c r="O40" i="32"/>
  <c r="R34" i="32"/>
  <c r="R27" i="32"/>
  <c r="Y124" i="32"/>
  <c r="AA124" i="32" s="1"/>
  <c r="U162" i="32"/>
  <c r="X84" i="32"/>
  <c r="R84" i="32"/>
  <c r="O53" i="32"/>
  <c r="R48" i="32"/>
  <c r="U166" i="32"/>
  <c r="U62" i="32"/>
  <c r="AA29" i="32"/>
  <c r="AA116" i="32"/>
  <c r="R101" i="32"/>
  <c r="R102" i="32"/>
  <c r="U49" i="32"/>
  <c r="R89" i="32"/>
  <c r="V124" i="32"/>
  <c r="X124" i="32" s="1"/>
  <c r="X20" i="32"/>
  <c r="AA163" i="32"/>
  <c r="X122" i="32"/>
  <c r="X102" i="32"/>
  <c r="O78" i="32"/>
  <c r="U144" i="32"/>
  <c r="U118" i="32"/>
  <c r="X147" i="32"/>
  <c r="R100" i="32"/>
  <c r="R104" i="32"/>
  <c r="AA100" i="32"/>
  <c r="R31" i="32"/>
  <c r="AA162" i="32"/>
  <c r="U53" i="32"/>
  <c r="O57" i="32"/>
  <c r="U136" i="32"/>
  <c r="AA113" i="32"/>
  <c r="U176" i="32"/>
  <c r="O101" i="32"/>
  <c r="U130" i="32"/>
  <c r="U87" i="32"/>
  <c r="AA105" i="32"/>
  <c r="AA30" i="32"/>
  <c r="X107" i="32"/>
  <c r="AA51" i="32"/>
  <c r="V54" i="32"/>
  <c r="X54" i="32" s="1"/>
  <c r="O93" i="32"/>
  <c r="X174" i="32"/>
  <c r="AA109" i="32"/>
  <c r="U153" i="32"/>
  <c r="X18" i="32"/>
  <c r="U132" i="32"/>
  <c r="X95" i="32"/>
  <c r="X113" i="32"/>
  <c r="R42" i="32"/>
  <c r="P54" i="32"/>
  <c r="R54" i="32" s="1"/>
  <c r="X127" i="32"/>
  <c r="AA15" i="32"/>
  <c r="R81" i="32"/>
  <c r="AA59" i="32"/>
  <c r="AA172" i="32"/>
  <c r="X30" i="32"/>
  <c r="U23" i="32"/>
  <c r="L54" i="32"/>
  <c r="X109" i="32"/>
  <c r="U18" i="32"/>
  <c r="X15" i="32"/>
  <c r="O95" i="32"/>
  <c r="R75" i="32"/>
  <c r="U81" i="32"/>
  <c r="O77" i="32"/>
  <c r="AA45" i="32"/>
  <c r="X97" i="32"/>
  <c r="S54" i="32"/>
  <c r="U54" i="32" s="1"/>
  <c r="AA47" i="32"/>
  <c r="AA131" i="32"/>
  <c r="X53" i="32"/>
  <c r="AA99" i="32"/>
  <c r="U52" i="32"/>
  <c r="AA75" i="32"/>
  <c r="AA81" i="32"/>
  <c r="U50" i="32"/>
  <c r="U74" i="32"/>
  <c r="AA134" i="32"/>
  <c r="U25" i="32"/>
  <c r="U64" i="32"/>
  <c r="AA13" i="32"/>
  <c r="U47" i="32"/>
  <c r="R37" i="32"/>
  <c r="O31" i="32"/>
  <c r="AA12" i="32"/>
  <c r="O104" i="32"/>
  <c r="X100" i="32"/>
  <c r="AA110" i="32"/>
  <c r="X35" i="32"/>
  <c r="X119" i="32"/>
  <c r="U37" i="32"/>
  <c r="U165" i="32"/>
  <c r="U28" i="32"/>
  <c r="AA87" i="32"/>
  <c r="X92" i="32"/>
  <c r="X73" i="32"/>
  <c r="U58" i="32"/>
  <c r="AA17" i="32"/>
  <c r="U89" i="32"/>
  <c r="X12" i="32"/>
  <c r="O13" i="32"/>
  <c r="X61" i="32"/>
  <c r="X132" i="32"/>
  <c r="AA176" i="32"/>
  <c r="AA128" i="32"/>
  <c r="X154" i="32"/>
  <c r="X151" i="32"/>
  <c r="U27" i="32"/>
  <c r="R86" i="32"/>
  <c r="X114" i="32"/>
  <c r="O69" i="32"/>
  <c r="AA23" i="32"/>
  <c r="U119" i="32"/>
  <c r="R22" i="32"/>
  <c r="X176" i="32"/>
  <c r="X164" i="32"/>
  <c r="U173" i="32"/>
  <c r="O49" i="32"/>
  <c r="X153" i="32"/>
  <c r="U135" i="32"/>
  <c r="R113" i="32"/>
  <c r="E10" i="24"/>
  <c r="G10" i="24" s="1"/>
  <c r="E22" i="35"/>
  <c r="G22" i="35" s="1"/>
  <c r="O125" i="32"/>
  <c r="E20" i="35"/>
  <c r="G20" i="35" s="1"/>
  <c r="O123" i="32"/>
  <c r="E24" i="35"/>
  <c r="G24" i="35" s="1"/>
  <c r="O127" i="32"/>
  <c r="AA21" i="32"/>
  <c r="O22" i="32"/>
  <c r="R153" i="32"/>
  <c r="L8" i="24"/>
  <c r="N8" i="24" s="1"/>
  <c r="E28" i="35"/>
  <c r="G28" i="35" s="1"/>
  <c r="O131" i="32"/>
  <c r="S46" i="32"/>
  <c r="U46" i="32" s="1"/>
  <c r="P46" i="32"/>
  <c r="R46" i="32" s="1"/>
  <c r="V46" i="32"/>
  <c r="X46" i="32" s="1"/>
  <c r="M46" i="32"/>
  <c r="O46" i="32" s="1"/>
  <c r="Y46" i="32"/>
  <c r="AA46" i="32" s="1"/>
  <c r="L46" i="32"/>
  <c r="R166" i="32"/>
  <c r="L21" i="24"/>
  <c r="N21" i="24" s="1"/>
  <c r="X111" i="32"/>
  <c r="L18" i="24"/>
  <c r="N18" i="24" s="1"/>
  <c r="R163" i="32"/>
  <c r="O113" i="32"/>
  <c r="E10" i="35"/>
  <c r="G10" i="35" s="1"/>
  <c r="P178" i="32"/>
  <c r="M178" i="32"/>
  <c r="V178" i="32"/>
  <c r="X178" i="32" s="1"/>
  <c r="S178" i="32"/>
  <c r="U178" i="32" s="1"/>
  <c r="L178" i="32"/>
  <c r="Y178" i="32"/>
  <c r="AA178" i="32" s="1"/>
  <c r="E25" i="24"/>
  <c r="G25" i="24" s="1"/>
  <c r="R128" i="32"/>
  <c r="L9" i="24"/>
  <c r="N9" i="24" s="1"/>
  <c r="R154" i="32"/>
  <c r="O92" i="32"/>
  <c r="V91" i="32"/>
  <c r="X91" i="32" s="1"/>
  <c r="S91" i="32"/>
  <c r="U91" i="32" s="1"/>
  <c r="P91" i="32"/>
  <c r="R91" i="32" s="1"/>
  <c r="L91" i="32"/>
  <c r="M91" i="32"/>
  <c r="O91" i="32" s="1"/>
  <c r="Y91" i="32"/>
  <c r="AA91" i="32" s="1"/>
  <c r="R130" i="32"/>
  <c r="E27" i="24"/>
  <c r="G27" i="24" s="1"/>
  <c r="R123" i="32"/>
  <c r="E20" i="24"/>
  <c r="G20" i="24" s="1"/>
  <c r="U102" i="32"/>
  <c r="M16" i="32"/>
  <c r="O16" i="32" s="1"/>
  <c r="P16" i="32"/>
  <c r="R16" i="32" s="1"/>
  <c r="V16" i="32"/>
  <c r="X16" i="32" s="1"/>
  <c r="Y16" i="32"/>
  <c r="AA16" i="32" s="1"/>
  <c r="L16" i="32"/>
  <c r="S16" i="32"/>
  <c r="U16" i="32" s="1"/>
  <c r="AA107" i="32"/>
  <c r="AA96" i="32"/>
  <c r="R144" i="32"/>
  <c r="E41" i="24"/>
  <c r="G41" i="24" s="1"/>
  <c r="X161" i="32"/>
  <c r="Y152" i="32"/>
  <c r="AA152" i="32" s="1"/>
  <c r="M152" i="32"/>
  <c r="P152" i="32"/>
  <c r="V152" i="32"/>
  <c r="X152" i="32" s="1"/>
  <c r="L152" i="32"/>
  <c r="S152" i="32"/>
  <c r="U152" i="32" s="1"/>
  <c r="E21" i="24"/>
  <c r="G21" i="24" s="1"/>
  <c r="R124" i="32"/>
  <c r="V79" i="32"/>
  <c r="X79" i="32" s="1"/>
  <c r="L79" i="32"/>
  <c r="P79" i="32"/>
  <c r="R79" i="32" s="1"/>
  <c r="Y79" i="32"/>
  <c r="AA79" i="32" s="1"/>
  <c r="S79" i="32"/>
  <c r="U79" i="32" s="1"/>
  <c r="M79" i="32"/>
  <c r="O79" i="32" s="1"/>
  <c r="U106" i="32"/>
  <c r="U13" i="32"/>
  <c r="M121" i="32"/>
  <c r="P121" i="32"/>
  <c r="V121" i="32"/>
  <c r="X121" i="32" s="1"/>
  <c r="L121" i="32"/>
  <c r="S121" i="32"/>
  <c r="U121" i="32" s="1"/>
  <c r="Y121" i="32"/>
  <c r="AA121" i="32" s="1"/>
  <c r="M133" i="32"/>
  <c r="P133" i="32"/>
  <c r="Y133" i="32"/>
  <c r="AA133" i="32" s="1"/>
  <c r="L133" i="32"/>
  <c r="V133" i="32"/>
  <c r="X133" i="32" s="1"/>
  <c r="S133" i="32"/>
  <c r="U133" i="32" s="1"/>
  <c r="P148" i="32"/>
  <c r="M148" i="32"/>
  <c r="L148" i="32"/>
  <c r="S148" i="32"/>
  <c r="U148" i="32" s="1"/>
  <c r="Y148" i="32"/>
  <c r="AA148" i="32" s="1"/>
  <c r="V148" i="32"/>
  <c r="X148" i="32" s="1"/>
  <c r="E15" i="24"/>
  <c r="G15" i="24" s="1"/>
  <c r="R118" i="32"/>
  <c r="L17" i="35"/>
  <c r="N17" i="35" s="1"/>
  <c r="O162" i="32"/>
  <c r="X112" i="32"/>
  <c r="AA37" i="32"/>
  <c r="V44" i="32"/>
  <c r="X44" i="32" s="1"/>
  <c r="M44" i="32"/>
  <c r="O44" i="32" s="1"/>
  <c r="L44" i="32"/>
  <c r="S44" i="32"/>
  <c r="U44" i="32" s="1"/>
  <c r="Y44" i="32"/>
  <c r="AA44" i="32" s="1"/>
  <c r="P44" i="32"/>
  <c r="R44" i="32" s="1"/>
  <c r="X165" i="32"/>
  <c r="X160" i="32"/>
  <c r="U20" i="32"/>
  <c r="U36" i="32"/>
  <c r="AA155" i="32"/>
  <c r="U63" i="32"/>
  <c r="X126" i="32"/>
  <c r="R73" i="32"/>
  <c r="R170" i="32"/>
  <c r="L25" i="24"/>
  <c r="N25" i="24" s="1"/>
  <c r="AA104" i="32"/>
  <c r="U11" i="32"/>
  <c r="AA22" i="32"/>
  <c r="M34" i="24"/>
  <c r="N34" i="24" s="1"/>
  <c r="R182" i="32"/>
  <c r="O153" i="32"/>
  <c r="L8" i="35"/>
  <c r="N8" i="35" s="1"/>
  <c r="R131" i="32"/>
  <c r="E28" i="24"/>
  <c r="G28" i="24" s="1"/>
  <c r="E32" i="35"/>
  <c r="G32" i="35" s="1"/>
  <c r="O135" i="32"/>
  <c r="O124" i="32"/>
  <c r="E21" i="35"/>
  <c r="G21" i="35" s="1"/>
  <c r="V38" i="32"/>
  <c r="X38" i="32" s="1"/>
  <c r="Y38" i="32"/>
  <c r="AA38" i="32" s="1"/>
  <c r="S38" i="32"/>
  <c r="U38" i="32" s="1"/>
  <c r="P38" i="32"/>
  <c r="R38" i="32" s="1"/>
  <c r="L38" i="32"/>
  <c r="M38" i="32"/>
  <c r="O38" i="32" s="1"/>
  <c r="X75" i="32"/>
  <c r="U70" i="32"/>
  <c r="R122" i="32"/>
  <c r="E19" i="24"/>
  <c r="G19" i="24" s="1"/>
  <c r="AA149" i="32"/>
  <c r="O74" i="32"/>
  <c r="E25" i="35"/>
  <c r="G25" i="35" s="1"/>
  <c r="O128" i="32"/>
  <c r="L9" i="35"/>
  <c r="N9" i="35" s="1"/>
  <c r="O154" i="32"/>
  <c r="R110" i="32"/>
  <c r="E7" i="24"/>
  <c r="G7" i="24" s="1"/>
  <c r="AA123" i="32"/>
  <c r="R151" i="32"/>
  <c r="L6" i="24"/>
  <c r="N6" i="24" s="1"/>
  <c r="R98" i="32"/>
  <c r="R30" i="32"/>
  <c r="O164" i="32"/>
  <c r="L19" i="35"/>
  <c r="N19" i="35" s="1"/>
  <c r="U134" i="32"/>
  <c r="R97" i="32"/>
  <c r="O114" i="32"/>
  <c r="E11" i="35"/>
  <c r="G11" i="35" s="1"/>
  <c r="O144" i="32"/>
  <c r="E41" i="35"/>
  <c r="G41" i="35" s="1"/>
  <c r="AA173" i="32"/>
  <c r="X64" i="32"/>
  <c r="Y41" i="32"/>
  <c r="AA41" i="32" s="1"/>
  <c r="S41" i="32"/>
  <c r="U41" i="32" s="1"/>
  <c r="P41" i="32"/>
  <c r="R41" i="32" s="1"/>
  <c r="V41" i="32"/>
  <c r="X41" i="32" s="1"/>
  <c r="L41" i="32"/>
  <c r="M41" i="32"/>
  <c r="O41" i="32" s="1"/>
  <c r="X172" i="32"/>
  <c r="R161" i="32"/>
  <c r="L16" i="24"/>
  <c r="N16" i="24" s="1"/>
  <c r="R142" i="32"/>
  <c r="E39" i="24"/>
  <c r="G39" i="24" s="1"/>
  <c r="P43" i="32"/>
  <c r="R43" i="32" s="1"/>
  <c r="L43" i="32"/>
  <c r="S43" i="32"/>
  <c r="U43" i="32" s="1"/>
  <c r="V43" i="32"/>
  <c r="X43" i="32" s="1"/>
  <c r="M43" i="32"/>
  <c r="O43" i="32" s="1"/>
  <c r="Y43" i="32"/>
  <c r="AA43" i="32" s="1"/>
  <c r="O177" i="32"/>
  <c r="L32" i="35"/>
  <c r="N32" i="35" s="1"/>
  <c r="E15" i="35"/>
  <c r="G15" i="35" s="1"/>
  <c r="O118" i="32"/>
  <c r="L17" i="24"/>
  <c r="N17" i="24" s="1"/>
  <c r="R162" i="32"/>
  <c r="AA175" i="32"/>
  <c r="X168" i="32"/>
  <c r="R112" i="32"/>
  <c r="E9" i="24"/>
  <c r="G9" i="24" s="1"/>
  <c r="X37" i="32"/>
  <c r="S82" i="32"/>
  <c r="U82" i="32" s="1"/>
  <c r="L82" i="32"/>
  <c r="P82" i="32"/>
  <c r="R82" i="32" s="1"/>
  <c r="V82" i="32"/>
  <c r="X82" i="32" s="1"/>
  <c r="Y82" i="32"/>
  <c r="AA82" i="32" s="1"/>
  <c r="M82" i="32"/>
  <c r="O82" i="32" s="1"/>
  <c r="AA165" i="32"/>
  <c r="O160" i="32"/>
  <c r="L15" i="35"/>
  <c r="N15" i="35" s="1"/>
  <c r="U129" i="32"/>
  <c r="O20" i="32"/>
  <c r="X36" i="32"/>
  <c r="AA63" i="32"/>
  <c r="X87" i="32"/>
  <c r="AA76" i="32"/>
  <c r="L25" i="35"/>
  <c r="N25" i="35" s="1"/>
  <c r="O170" i="32"/>
  <c r="O17" i="32"/>
  <c r="X21" i="32"/>
  <c r="X104" i="32"/>
  <c r="X11" i="32"/>
  <c r="M34" i="35"/>
  <c r="N34" i="35" s="1"/>
  <c r="O182" i="32"/>
  <c r="U131" i="32"/>
  <c r="AA135" i="32"/>
  <c r="AA85" i="32"/>
  <c r="L103" i="32"/>
  <c r="S103" i="32"/>
  <c r="U103" i="32" s="1"/>
  <c r="M103" i="32"/>
  <c r="O103" i="32" s="1"/>
  <c r="V103" i="32"/>
  <c r="X103" i="32" s="1"/>
  <c r="P103" i="32"/>
  <c r="R103" i="32" s="1"/>
  <c r="Y103" i="32"/>
  <c r="AA103" i="32" s="1"/>
  <c r="Y39" i="32"/>
  <c r="AA39" i="32" s="1"/>
  <c r="V39" i="32"/>
  <c r="X39" i="32" s="1"/>
  <c r="M39" i="32"/>
  <c r="O39" i="32" s="1"/>
  <c r="P39" i="32"/>
  <c r="R39" i="32" s="1"/>
  <c r="L39" i="32"/>
  <c r="S39" i="32"/>
  <c r="U39" i="32" s="1"/>
  <c r="E4" i="35"/>
  <c r="G4" i="35" s="1"/>
  <c r="O107" i="32"/>
  <c r="X76" i="32"/>
  <c r="E29" i="24"/>
  <c r="G29" i="24" s="1"/>
  <c r="R132" i="32"/>
  <c r="P120" i="32"/>
  <c r="M120" i="32"/>
  <c r="S120" i="32"/>
  <c r="U120" i="32" s="1"/>
  <c r="L120" i="32"/>
  <c r="Y120" i="32"/>
  <c r="AA120" i="32" s="1"/>
  <c r="V120" i="32"/>
  <c r="X120" i="32" s="1"/>
  <c r="L55" i="32"/>
  <c r="V55" i="32"/>
  <c r="X55" i="32" s="1"/>
  <c r="Y55" i="32"/>
  <c r="AA55" i="32" s="1"/>
  <c r="P55" i="32"/>
  <c r="R55" i="32" s="1"/>
  <c r="S55" i="32"/>
  <c r="U55" i="32" s="1"/>
  <c r="M55" i="32"/>
  <c r="O55" i="32" s="1"/>
  <c r="P137" i="32"/>
  <c r="M137" i="32"/>
  <c r="Y137" i="32"/>
  <c r="AA137" i="32" s="1"/>
  <c r="V137" i="32"/>
  <c r="X137" i="32" s="1"/>
  <c r="L137" i="32"/>
  <c r="S137" i="32"/>
  <c r="U137" i="32" s="1"/>
  <c r="L26" i="32"/>
  <c r="M26" i="32"/>
  <c r="O26" i="32" s="1"/>
  <c r="Y26" i="32"/>
  <c r="AA26" i="32" s="1"/>
  <c r="V26" i="32"/>
  <c r="X26" i="32" s="1"/>
  <c r="P26" i="32"/>
  <c r="R26" i="32" s="1"/>
  <c r="S26" i="32"/>
  <c r="U26" i="32" s="1"/>
  <c r="R111" i="32"/>
  <c r="E8" i="24"/>
  <c r="G8" i="24" s="1"/>
  <c r="U59" i="32"/>
  <c r="L4" i="24"/>
  <c r="N4" i="24" s="1"/>
  <c r="R149" i="32"/>
  <c r="R77" i="32"/>
  <c r="P157" i="32"/>
  <c r="S157" i="32"/>
  <c r="U157" i="32" s="1"/>
  <c r="M157" i="32"/>
  <c r="V157" i="32"/>
  <c r="X157" i="32" s="1"/>
  <c r="Y157" i="32"/>
  <c r="AA157" i="32" s="1"/>
  <c r="L157" i="32"/>
  <c r="M156" i="32"/>
  <c r="P156" i="32"/>
  <c r="V156" i="32"/>
  <c r="X156" i="32" s="1"/>
  <c r="Y156" i="32"/>
  <c r="AA156" i="32" s="1"/>
  <c r="L156" i="32"/>
  <c r="S156" i="32"/>
  <c r="U156" i="32" s="1"/>
  <c r="U125" i="32"/>
  <c r="R143" i="32"/>
  <c r="E40" i="24"/>
  <c r="G40" i="24" s="1"/>
  <c r="AA40" i="32"/>
  <c r="O151" i="32"/>
  <c r="L6" i="35"/>
  <c r="N6" i="35" s="1"/>
  <c r="X49" i="32"/>
  <c r="AA86" i="32"/>
  <c r="R164" i="32"/>
  <c r="L19" i="24"/>
  <c r="N19" i="24" s="1"/>
  <c r="O134" i="32"/>
  <c r="E31" i="35"/>
  <c r="G31" i="35" s="1"/>
  <c r="E11" i="24"/>
  <c r="G11" i="24" s="1"/>
  <c r="R114" i="32"/>
  <c r="R167" i="32"/>
  <c r="L22" i="24"/>
  <c r="N22" i="24" s="1"/>
  <c r="R159" i="32"/>
  <c r="L14" i="24"/>
  <c r="N14" i="24" s="1"/>
  <c r="P32" i="32"/>
  <c r="R32" i="32" s="1"/>
  <c r="V32" i="32"/>
  <c r="X32" i="32" s="1"/>
  <c r="L32" i="32"/>
  <c r="Y32" i="32"/>
  <c r="AA32" i="32" s="1"/>
  <c r="M32" i="32"/>
  <c r="O32" i="32" s="1"/>
  <c r="S32" i="32"/>
  <c r="U32" i="32" s="1"/>
  <c r="L27" i="35"/>
  <c r="N27" i="35" s="1"/>
  <c r="O172" i="32"/>
  <c r="O161" i="32"/>
  <c r="L16" i="35"/>
  <c r="N16" i="35" s="1"/>
  <c r="E39" i="35"/>
  <c r="G39" i="35" s="1"/>
  <c r="O142" i="32"/>
  <c r="O89" i="32"/>
  <c r="AA54" i="32"/>
  <c r="P138" i="32"/>
  <c r="M138" i="32"/>
  <c r="V138" i="32"/>
  <c r="X138" i="32" s="1"/>
  <c r="L138" i="32"/>
  <c r="S138" i="32"/>
  <c r="U138" i="32" s="1"/>
  <c r="Y138" i="32"/>
  <c r="AA138" i="32" s="1"/>
  <c r="R12" i="32"/>
  <c r="O106" i="32"/>
  <c r="S90" i="32"/>
  <c r="U90" i="32" s="1"/>
  <c r="Y90" i="32"/>
  <c r="AA90" i="32" s="1"/>
  <c r="L90" i="32"/>
  <c r="M90" i="32"/>
  <c r="O90" i="32" s="1"/>
  <c r="P90" i="32"/>
  <c r="R90" i="32" s="1"/>
  <c r="V90" i="32"/>
  <c r="X90" i="32" s="1"/>
  <c r="L32" i="24"/>
  <c r="N32" i="24" s="1"/>
  <c r="R177" i="32"/>
  <c r="R174" i="32"/>
  <c r="L29" i="24"/>
  <c r="N29" i="24" s="1"/>
  <c r="E44" i="35"/>
  <c r="G44" i="35" s="1"/>
  <c r="O147" i="32"/>
  <c r="E6" i="24"/>
  <c r="G6" i="24" s="1"/>
  <c r="R109" i="32"/>
  <c r="AA168" i="32"/>
  <c r="AA141" i="32"/>
  <c r="L20" i="24"/>
  <c r="N20" i="24" s="1"/>
  <c r="R165" i="32"/>
  <c r="L15" i="24"/>
  <c r="N15" i="24" s="1"/>
  <c r="R160" i="32"/>
  <c r="AA129" i="32"/>
  <c r="R36" i="32"/>
  <c r="R28" i="32"/>
  <c r="L10" i="35"/>
  <c r="N10" i="35" s="1"/>
  <c r="O155" i="32"/>
  <c r="AA127" i="32"/>
  <c r="O63" i="32"/>
  <c r="R126" i="32"/>
  <c r="E23" i="24"/>
  <c r="G23" i="24" s="1"/>
  <c r="O87" i="32"/>
  <c r="R58" i="32"/>
  <c r="U170" i="32"/>
  <c r="X17" i="32"/>
  <c r="R21" i="32"/>
  <c r="R11" i="32"/>
  <c r="U22" i="32"/>
  <c r="R135" i="32"/>
  <c r="E32" i="24"/>
  <c r="G32" i="24" s="1"/>
  <c r="U56" i="32"/>
  <c r="O99" i="32"/>
  <c r="X31" i="32"/>
  <c r="U112" i="32"/>
  <c r="AA166" i="32"/>
  <c r="U111" i="32"/>
  <c r="O116" i="32"/>
  <c r="E13" i="35"/>
  <c r="G13" i="35" s="1"/>
  <c r="O122" i="32"/>
  <c r="E19" i="35"/>
  <c r="G19" i="35" s="1"/>
  <c r="O176" i="32"/>
  <c r="L31" i="35"/>
  <c r="N31" i="35" s="1"/>
  <c r="L4" i="35"/>
  <c r="N4" i="35" s="1"/>
  <c r="O149" i="32"/>
  <c r="AA74" i="32"/>
  <c r="X128" i="32"/>
  <c r="S117" i="32"/>
  <c r="U117" i="32" s="1"/>
  <c r="Y117" i="32"/>
  <c r="AA117" i="32" s="1"/>
  <c r="P117" i="32"/>
  <c r="M117" i="32"/>
  <c r="L117" i="32"/>
  <c r="V117" i="32"/>
  <c r="X117" i="32" s="1"/>
  <c r="U68" i="32"/>
  <c r="E40" i="35"/>
  <c r="G40" i="35" s="1"/>
  <c r="O143" i="32"/>
  <c r="O130" i="32"/>
  <c r="E27" i="35"/>
  <c r="G27" i="35" s="1"/>
  <c r="O33" i="32"/>
  <c r="AA151" i="32"/>
  <c r="O98" i="32"/>
  <c r="AA24" i="32"/>
  <c r="U107" i="32"/>
  <c r="U96" i="32"/>
  <c r="E31" i="24"/>
  <c r="G31" i="24" s="1"/>
  <c r="R134" i="32"/>
  <c r="L22" i="35"/>
  <c r="N22" i="35" s="1"/>
  <c r="O167" i="32"/>
  <c r="R173" i="32"/>
  <c r="L28" i="24"/>
  <c r="N28" i="24" s="1"/>
  <c r="R25" i="32"/>
  <c r="O159" i="32"/>
  <c r="L14" i="35"/>
  <c r="N14" i="35" s="1"/>
  <c r="L27" i="24"/>
  <c r="N27" i="24" s="1"/>
  <c r="R172" i="32"/>
  <c r="AA89" i="32"/>
  <c r="S19" i="32"/>
  <c r="U19" i="32" s="1"/>
  <c r="M19" i="32"/>
  <c r="O19" i="32" s="1"/>
  <c r="Y19" i="32"/>
  <c r="AA19" i="32" s="1"/>
  <c r="P19" i="32"/>
  <c r="R19" i="32" s="1"/>
  <c r="V19" i="32"/>
  <c r="X19" i="32" s="1"/>
  <c r="L19" i="32"/>
  <c r="U12" i="32"/>
  <c r="R13" i="32"/>
  <c r="V108" i="32"/>
  <c r="X108" i="32" s="1"/>
  <c r="P108" i="32"/>
  <c r="M108" i="32"/>
  <c r="Y108" i="32"/>
  <c r="AA108" i="32" s="1"/>
  <c r="S108" i="32"/>
  <c r="U108" i="32" s="1"/>
  <c r="L108" i="32"/>
  <c r="L29" i="35"/>
  <c r="N29" i="35" s="1"/>
  <c r="O174" i="32"/>
  <c r="R147" i="32"/>
  <c r="E44" i="24"/>
  <c r="G44" i="24" s="1"/>
  <c r="L30" i="35"/>
  <c r="N30" i="35" s="1"/>
  <c r="O175" i="32"/>
  <c r="E6" i="35"/>
  <c r="G6" i="35" s="1"/>
  <c r="O109" i="32"/>
  <c r="R119" i="32"/>
  <c r="E16" i="24"/>
  <c r="G16" i="24" s="1"/>
  <c r="O168" i="32"/>
  <c r="L23" i="35"/>
  <c r="N23" i="35" s="1"/>
  <c r="O112" i="32"/>
  <c r="E9" i="35"/>
  <c r="G9" i="35" s="1"/>
  <c r="X40" i="32"/>
  <c r="O165" i="32"/>
  <c r="L20" i="35"/>
  <c r="N20" i="35" s="1"/>
  <c r="AA160" i="32"/>
  <c r="R129" i="32"/>
  <c r="E26" i="24"/>
  <c r="G26" i="24" s="1"/>
  <c r="AA20" i="32"/>
  <c r="O36" i="32"/>
  <c r="X28" i="32"/>
  <c r="R155" i="32"/>
  <c r="L10" i="24"/>
  <c r="N10" i="24" s="1"/>
  <c r="U127" i="32"/>
  <c r="R63" i="32"/>
  <c r="O126" i="32"/>
  <c r="E23" i="35"/>
  <c r="G23" i="35" s="1"/>
  <c r="U92" i="32"/>
  <c r="O141" i="32"/>
  <c r="E38" i="35"/>
  <c r="G38" i="35" s="1"/>
  <c r="R76" i="32"/>
  <c r="U17" i="32"/>
  <c r="O21" i="32"/>
  <c r="O11" i="32"/>
  <c r="X135" i="32"/>
  <c r="O166" i="32"/>
  <c r="L21" i="35"/>
  <c r="N21" i="35" s="1"/>
  <c r="O140" i="32"/>
  <c r="E37" i="35"/>
  <c r="G37" i="35" s="1"/>
  <c r="E8" i="35"/>
  <c r="G8" i="35" s="1"/>
  <c r="O111" i="32"/>
  <c r="L18" i="35"/>
  <c r="N18" i="35" s="1"/>
  <c r="O163" i="32"/>
  <c r="O136" i="32"/>
  <c r="E33" i="35"/>
  <c r="G33" i="35" s="1"/>
  <c r="X116" i="32"/>
  <c r="E29" i="35"/>
  <c r="G29" i="35" s="1"/>
  <c r="O132" i="32"/>
  <c r="L5" i="35"/>
  <c r="N5" i="35" s="1"/>
  <c r="O61" i="32"/>
  <c r="Y72" i="32"/>
  <c r="AA72" i="32" s="1"/>
  <c r="V72" i="32"/>
  <c r="X72" i="32" s="1"/>
  <c r="M72" i="32"/>
  <c r="O72" i="32" s="1"/>
  <c r="L72" i="32"/>
  <c r="S72" i="32"/>
  <c r="U72" i="32" s="1"/>
  <c r="P72" i="32"/>
  <c r="R72" i="32" s="1"/>
  <c r="P145" i="32"/>
  <c r="M145" i="32"/>
  <c r="S145" i="32"/>
  <c r="U145" i="32" s="1"/>
  <c r="Y145" i="32"/>
  <c r="AA145" i="32" s="1"/>
  <c r="L145" i="32"/>
  <c r="V145" i="32"/>
  <c r="X145" i="32" s="1"/>
  <c r="M171" i="32"/>
  <c r="P171" i="32"/>
  <c r="V171" i="32"/>
  <c r="X171" i="32" s="1"/>
  <c r="S171" i="32"/>
  <c r="U171" i="32" s="1"/>
  <c r="Y171" i="32"/>
  <c r="AA171" i="32" s="1"/>
  <c r="L171" i="32"/>
  <c r="U31" i="32"/>
  <c r="O14" i="32"/>
  <c r="U61" i="32"/>
  <c r="M139" i="32"/>
  <c r="P139" i="32"/>
  <c r="L139" i="32"/>
  <c r="Y139" i="32"/>
  <c r="AA139" i="32" s="1"/>
  <c r="V139" i="32"/>
  <c r="X139" i="32" s="1"/>
  <c r="S139" i="32"/>
  <c r="U139" i="32" s="1"/>
  <c r="V115" i="32"/>
  <c r="X115" i="32" s="1"/>
  <c r="M115" i="32"/>
  <c r="Y115" i="32"/>
  <c r="AA115" i="32" s="1"/>
  <c r="S115" i="32"/>
  <c r="U115" i="32" s="1"/>
  <c r="P115" i="32"/>
  <c r="L115" i="32"/>
  <c r="U88" i="32"/>
  <c r="E37" i="24"/>
  <c r="G37" i="24" s="1"/>
  <c r="R140" i="32"/>
  <c r="E33" i="24"/>
  <c r="G33" i="24" s="1"/>
  <c r="R136" i="32"/>
  <c r="E13" i="24"/>
  <c r="G13" i="24" s="1"/>
  <c r="R116" i="32"/>
  <c r="R176" i="32"/>
  <c r="L31" i="24"/>
  <c r="N31" i="24" s="1"/>
  <c r="U128" i="32"/>
  <c r="AA154" i="32"/>
  <c r="V158" i="32"/>
  <c r="X158" i="32" s="1"/>
  <c r="M158" i="32"/>
  <c r="P158" i="32"/>
  <c r="S158" i="32"/>
  <c r="U158" i="32" s="1"/>
  <c r="Y158" i="32"/>
  <c r="AA158" i="32" s="1"/>
  <c r="L158" i="32"/>
  <c r="R125" i="32"/>
  <c r="E22" i="24"/>
  <c r="G22" i="24" s="1"/>
  <c r="O110" i="32"/>
  <c r="E7" i="35"/>
  <c r="G7" i="35" s="1"/>
  <c r="U45" i="32"/>
  <c r="E4" i="24"/>
  <c r="G4" i="24" s="1"/>
  <c r="R107" i="32"/>
  <c r="AA167" i="32"/>
  <c r="AA144" i="32"/>
  <c r="L28" i="35"/>
  <c r="N28" i="35" s="1"/>
  <c r="O173" i="32"/>
  <c r="X159" i="32"/>
  <c r="X51" i="32"/>
  <c r="Y83" i="32"/>
  <c r="AA83" i="32" s="1"/>
  <c r="M83" i="32"/>
  <c r="O83" i="32" s="1"/>
  <c r="P83" i="32"/>
  <c r="R83" i="32" s="1"/>
  <c r="S83" i="32"/>
  <c r="U83" i="32" s="1"/>
  <c r="L83" i="32"/>
  <c r="V83" i="32"/>
  <c r="X83" i="32" s="1"/>
  <c r="AA161" i="32"/>
  <c r="U142" i="32"/>
  <c r="P169" i="32"/>
  <c r="M169" i="32"/>
  <c r="Y169" i="32"/>
  <c r="AA169" i="32" s="1"/>
  <c r="S169" i="32"/>
  <c r="U169" i="32" s="1"/>
  <c r="V169" i="32"/>
  <c r="X169" i="32" s="1"/>
  <c r="L169" i="32"/>
  <c r="X106" i="32"/>
  <c r="M146" i="32"/>
  <c r="P146" i="32"/>
  <c r="V146" i="32"/>
  <c r="X146" i="32" s="1"/>
  <c r="Y146" i="32"/>
  <c r="AA146" i="32" s="1"/>
  <c r="L146" i="32"/>
  <c r="S146" i="32"/>
  <c r="U146" i="32" s="1"/>
  <c r="L30" i="24"/>
  <c r="N30" i="24" s="1"/>
  <c r="R175" i="32"/>
  <c r="E16" i="35"/>
  <c r="G16" i="35" s="1"/>
  <c r="O119" i="32"/>
  <c r="L23" i="24"/>
  <c r="N23" i="24" s="1"/>
  <c r="R168" i="32"/>
  <c r="AA112" i="32"/>
  <c r="O37" i="32"/>
  <c r="R20" i="32"/>
  <c r="L71" i="32"/>
  <c r="M71" i="32"/>
  <c r="O71" i="32" s="1"/>
  <c r="V71" i="32"/>
  <c r="X71" i="32" s="1"/>
  <c r="S71" i="32"/>
  <c r="U71" i="32" s="1"/>
  <c r="P71" i="32"/>
  <c r="R71" i="32" s="1"/>
  <c r="Y71" i="32"/>
  <c r="AA71" i="32" s="1"/>
  <c r="U160" i="32"/>
  <c r="E26" i="35"/>
  <c r="G26" i="35" s="1"/>
  <c r="O129" i="32"/>
  <c r="AA28" i="32"/>
  <c r="X155" i="32"/>
  <c r="E24" i="24"/>
  <c r="G24" i="24" s="1"/>
  <c r="R127" i="32"/>
  <c r="U126" i="32"/>
  <c r="R92" i="32"/>
  <c r="E38" i="24"/>
  <c r="G38" i="24" s="1"/>
  <c r="R141" i="32"/>
  <c r="O73" i="32"/>
  <c r="AA58" i="32"/>
  <c r="R17" i="32"/>
  <c r="U21" i="32"/>
  <c r="U104" i="32"/>
  <c r="AA11" i="32"/>
  <c r="X22" i="32"/>
  <c r="Z183" i="32" l="1"/>
  <c r="AA183" i="32" s="1"/>
  <c r="M35" i="37"/>
  <c r="N35" i="37" s="1"/>
  <c r="L5" i="24"/>
  <c r="N5" i="24" s="1"/>
  <c r="I185" i="32"/>
  <c r="K185" i="32" s="1"/>
  <c r="M37" i="37" s="1"/>
  <c r="N37" i="37" s="1"/>
  <c r="W183" i="32"/>
  <c r="X183" i="32" s="1"/>
  <c r="N183" i="32"/>
  <c r="M35" i="35" s="1"/>
  <c r="N35" i="35" s="1"/>
  <c r="Q183" i="32"/>
  <c r="R183" i="32" s="1"/>
  <c r="T183" i="32"/>
  <c r="U183" i="32" s="1"/>
  <c r="L183" i="32"/>
  <c r="R108" i="32"/>
  <c r="E5" i="24"/>
  <c r="G5" i="24" s="1"/>
  <c r="E14" i="24"/>
  <c r="G14" i="24" s="1"/>
  <c r="R117" i="32"/>
  <c r="L7" i="24"/>
  <c r="N7" i="24" s="1"/>
  <c r="R152" i="32"/>
  <c r="L33" i="35"/>
  <c r="N33" i="35" s="1"/>
  <c r="O178" i="32"/>
  <c r="O171" i="32"/>
  <c r="L26" i="35"/>
  <c r="N26" i="35" s="1"/>
  <c r="E42" i="24"/>
  <c r="G42" i="24" s="1"/>
  <c r="R145" i="32"/>
  <c r="R156" i="32"/>
  <c r="L11" i="24"/>
  <c r="N11" i="24" s="1"/>
  <c r="O137" i="32"/>
  <c r="E34" i="35"/>
  <c r="G34" i="35" s="1"/>
  <c r="E17" i="35"/>
  <c r="G17" i="35" s="1"/>
  <c r="O120" i="32"/>
  <c r="O152" i="32"/>
  <c r="L7" i="35"/>
  <c r="N7" i="35" s="1"/>
  <c r="L33" i="24"/>
  <c r="N33" i="24" s="1"/>
  <c r="R178" i="32"/>
  <c r="W184" i="32"/>
  <c r="X184" i="32" s="1"/>
  <c r="L184" i="32"/>
  <c r="N184" i="32"/>
  <c r="Q184" i="32"/>
  <c r="T184" i="32"/>
  <c r="U184" i="32" s="1"/>
  <c r="Z184" i="32"/>
  <c r="AA184" i="32" s="1"/>
  <c r="E43" i="35"/>
  <c r="G43" i="35" s="1"/>
  <c r="O146" i="32"/>
  <c r="O145" i="32"/>
  <c r="E42" i="35"/>
  <c r="G42" i="35" s="1"/>
  <c r="L12" i="35"/>
  <c r="N12" i="35" s="1"/>
  <c r="O157" i="32"/>
  <c r="R169" i="32"/>
  <c r="L24" i="24"/>
  <c r="N24" i="24" s="1"/>
  <c r="O156" i="32"/>
  <c r="L11" i="35"/>
  <c r="N11" i="35" s="1"/>
  <c r="L12" i="24"/>
  <c r="N12" i="24" s="1"/>
  <c r="R157" i="32"/>
  <c r="R137" i="32"/>
  <c r="E34" i="24"/>
  <c r="G34" i="24" s="1"/>
  <c r="E17" i="24"/>
  <c r="G17" i="24" s="1"/>
  <c r="R120" i="32"/>
  <c r="E43" i="24"/>
  <c r="G43" i="24" s="1"/>
  <c r="R146" i="32"/>
  <c r="M35" i="24"/>
  <c r="N35" i="24" s="1"/>
  <c r="R115" i="32"/>
  <c r="E12" i="24"/>
  <c r="G12" i="24" s="1"/>
  <c r="E35" i="24"/>
  <c r="G35" i="24" s="1"/>
  <c r="R138" i="32"/>
  <c r="L13" i="24"/>
  <c r="N13" i="24" s="1"/>
  <c r="R158" i="32"/>
  <c r="E12" i="35"/>
  <c r="G12" i="35" s="1"/>
  <c r="O115" i="32"/>
  <c r="R139" i="32"/>
  <c r="E36" i="24"/>
  <c r="G36" i="24" s="1"/>
  <c r="E45" i="35"/>
  <c r="G45" i="35" s="1"/>
  <c r="O148" i="32"/>
  <c r="R133" i="32"/>
  <c r="E30" i="24"/>
  <c r="G30" i="24" s="1"/>
  <c r="E18" i="24"/>
  <c r="G18" i="24" s="1"/>
  <c r="R121" i="32"/>
  <c r="E35" i="35"/>
  <c r="G35" i="35" s="1"/>
  <c r="O138" i="32"/>
  <c r="L24" i="35"/>
  <c r="N24" i="35" s="1"/>
  <c r="O169" i="32"/>
  <c r="L26" i="24"/>
  <c r="N26" i="24" s="1"/>
  <c r="R171" i="32"/>
  <c r="L13" i="35"/>
  <c r="N13" i="35" s="1"/>
  <c r="O158" i="32"/>
  <c r="E36" i="35"/>
  <c r="G36" i="35" s="1"/>
  <c r="O139" i="32"/>
  <c r="O108" i="32"/>
  <c r="E5" i="35"/>
  <c r="G5" i="35" s="1"/>
  <c r="E14" i="35"/>
  <c r="G14" i="35" s="1"/>
  <c r="O117" i="32"/>
  <c r="E45" i="24"/>
  <c r="G45" i="24" s="1"/>
  <c r="R148" i="32"/>
  <c r="O133" i="32"/>
  <c r="E30" i="35"/>
  <c r="G30" i="35" s="1"/>
  <c r="E18" i="35"/>
  <c r="G18" i="35" s="1"/>
  <c r="O121" i="32"/>
  <c r="I186" i="32"/>
  <c r="M38" i="37" s="1"/>
  <c r="N38" i="37" s="1"/>
  <c r="O183" i="32" l="1"/>
  <c r="I187" i="32"/>
  <c r="K187" i="32" s="1"/>
  <c r="M39" i="37" s="1"/>
  <c r="N39" i="37" s="1"/>
  <c r="T185" i="32"/>
  <c r="U185" i="32" s="1"/>
  <c r="W185" i="32"/>
  <c r="X185" i="32" s="1"/>
  <c r="Q185" i="32"/>
  <c r="Z185" i="32"/>
  <c r="AA185" i="32" s="1"/>
  <c r="N185" i="32"/>
  <c r="L185" i="32"/>
  <c r="M36" i="24"/>
  <c r="N36" i="24" s="1"/>
  <c r="R184" i="32"/>
  <c r="M36" i="35"/>
  <c r="N36" i="35" s="1"/>
  <c r="O184" i="32"/>
  <c r="R185" i="32" l="1"/>
  <c r="M37" i="24"/>
  <c r="N37" i="24" s="1"/>
  <c r="Q186" i="32"/>
  <c r="Z186" i="32"/>
  <c r="AA186" i="32" s="1"/>
  <c r="T186" i="32"/>
  <c r="U186" i="32" s="1"/>
  <c r="W186" i="32"/>
  <c r="X186" i="32" s="1"/>
  <c r="L186" i="32"/>
  <c r="N186" i="32"/>
  <c r="M37" i="35"/>
  <c r="N37" i="35" s="1"/>
  <c r="O185" i="32"/>
  <c r="I188" i="32"/>
  <c r="K188" i="32" s="1"/>
  <c r="M40" i="37" s="1"/>
  <c r="N40" i="37" s="1"/>
  <c r="N187" i="32" l="1"/>
  <c r="T187" i="32"/>
  <c r="U187" i="32" s="1"/>
  <c r="Z187" i="32"/>
  <c r="AA187" i="32" s="1"/>
  <c r="L187" i="32"/>
  <c r="Q187" i="32"/>
  <c r="W187" i="32"/>
  <c r="X187" i="32" s="1"/>
  <c r="I189" i="32"/>
  <c r="K189" i="32" s="1"/>
  <c r="M41" i="37" s="1"/>
  <c r="N41" i="37" s="1"/>
  <c r="R186" i="32"/>
  <c r="M38" i="24"/>
  <c r="N38" i="24" s="1"/>
  <c r="M38" i="35"/>
  <c r="N38" i="35" s="1"/>
  <c r="O186" i="32"/>
  <c r="I190" i="32" l="1"/>
  <c r="K190" i="32" s="1"/>
  <c r="M42" i="37" s="1"/>
  <c r="N42" i="37" s="1"/>
  <c r="R187" i="32"/>
  <c r="M39" i="24"/>
  <c r="N39" i="24" s="1"/>
  <c r="Q188" i="32"/>
  <c r="W188" i="32"/>
  <c r="X188" i="32" s="1"/>
  <c r="N188" i="32"/>
  <c r="L188" i="32"/>
  <c r="T188" i="32"/>
  <c r="U188" i="32" s="1"/>
  <c r="Z188" i="32"/>
  <c r="AA188" i="32" s="1"/>
  <c r="M39" i="35"/>
  <c r="N39" i="35" s="1"/>
  <c r="O187" i="32"/>
  <c r="M40" i="24" l="1"/>
  <c r="N40" i="24" s="1"/>
  <c r="R188" i="32"/>
  <c r="W189" i="32"/>
  <c r="X189" i="32" s="1"/>
  <c r="N189" i="32"/>
  <c r="Q189" i="32"/>
  <c r="T189" i="32"/>
  <c r="U189" i="32" s="1"/>
  <c r="L189" i="32"/>
  <c r="Z189" i="32"/>
  <c r="AA189" i="32" s="1"/>
  <c r="M40" i="35"/>
  <c r="N40" i="35" s="1"/>
  <c r="O188" i="32"/>
  <c r="I191" i="32"/>
  <c r="K191" i="32" s="1"/>
  <c r="M43" i="37" s="1"/>
  <c r="N43" i="37" s="1"/>
  <c r="R189" i="32" l="1"/>
  <c r="M41" i="24"/>
  <c r="N41" i="24" s="1"/>
  <c r="M41" i="35"/>
  <c r="N41" i="35" s="1"/>
  <c r="O189" i="32"/>
  <c r="I192" i="32"/>
  <c r="K192" i="32" s="1"/>
  <c r="M44" i="37" s="1"/>
  <c r="N44" i="37" s="1"/>
  <c r="L190" i="32"/>
  <c r="W190" i="32"/>
  <c r="X190" i="32" s="1"/>
  <c r="T190" i="32"/>
  <c r="U190" i="32" s="1"/>
  <c r="N190" i="32"/>
  <c r="Q190" i="32"/>
  <c r="Z190" i="32"/>
  <c r="AA190" i="32" s="1"/>
  <c r="T191" i="32" l="1"/>
  <c r="U191" i="32" s="1"/>
  <c r="N191" i="32"/>
  <c r="Q191" i="32"/>
  <c r="L191" i="32"/>
  <c r="W191" i="32"/>
  <c r="X191" i="32" s="1"/>
  <c r="Z191" i="32"/>
  <c r="AA191" i="32" s="1"/>
  <c r="I193" i="32"/>
  <c r="K193" i="32" s="1"/>
  <c r="M45" i="37" s="1"/>
  <c r="N45" i="37" s="1"/>
  <c r="M42" i="24"/>
  <c r="N42" i="24" s="1"/>
  <c r="R190" i="32"/>
  <c r="O190" i="32"/>
  <c r="M42" i="35"/>
  <c r="N42" i="35" s="1"/>
  <c r="M43" i="24" l="1"/>
  <c r="N43" i="24" s="1"/>
  <c r="R191" i="32"/>
  <c r="W193" i="32"/>
  <c r="X193" i="32" s="1"/>
  <c r="Z193" i="32"/>
  <c r="AA193" i="32" s="1"/>
  <c r="N193" i="32"/>
  <c r="Q193" i="32"/>
  <c r="T193" i="32"/>
  <c r="U193" i="32" s="1"/>
  <c r="L193" i="32"/>
  <c r="M43" i="35"/>
  <c r="N43" i="35" s="1"/>
  <c r="O191" i="32"/>
  <c r="Z192" i="32"/>
  <c r="AA192" i="32" s="1"/>
  <c r="N192" i="32"/>
  <c r="L192" i="32"/>
  <c r="T192" i="32"/>
  <c r="U192" i="32" s="1"/>
  <c r="W192" i="32"/>
  <c r="X192" i="32" s="1"/>
  <c r="Q192" i="32"/>
  <c r="R193" i="32" l="1"/>
  <c r="M45" i="24"/>
  <c r="N45" i="24" s="1"/>
  <c r="R192" i="32"/>
  <c r="M44" i="24"/>
  <c r="N44" i="24" s="1"/>
  <c r="M45" i="35"/>
  <c r="N45" i="35" s="1"/>
  <c r="O193" i="32"/>
  <c r="M44" i="35"/>
  <c r="N44" i="35" s="1"/>
  <c r="O192" i="32"/>
  <c r="C45" i="25"/>
  <c r="C44" i="25" s="1"/>
  <c r="C43" i="25" s="1"/>
  <c r="C42" i="25" s="1"/>
  <c r="C41" i="25" s="1"/>
  <c r="C40" i="25" s="1"/>
  <c r="C39" i="25" s="1"/>
  <c r="C38" i="25" s="1"/>
  <c r="C37" i="25" s="1"/>
  <c r="C36" i="25" s="1"/>
  <c r="C35" i="25" s="1"/>
  <c r="C34" i="25" s="1"/>
  <c r="C33" i="25" s="1"/>
  <c r="C32" i="25" s="1"/>
  <c r="C31" i="25" s="1"/>
  <c r="C30" i="25" s="1"/>
  <c r="C29" i="25" s="1"/>
  <c r="C28" i="25" s="1"/>
  <c r="C27" i="25" s="1"/>
  <c r="C26" i="25" s="1"/>
  <c r="C25" i="25" s="1"/>
  <c r="C24" i="25" s="1"/>
  <c r="C23" i="25" s="1"/>
  <c r="C22" i="25" s="1"/>
  <c r="C21" i="25" s="1"/>
  <c r="C20" i="25" s="1"/>
  <c r="C19" i="25" s="1"/>
  <c r="C18" i="25" s="1"/>
  <c r="C17" i="25" s="1"/>
  <c r="C16" i="25" s="1"/>
  <c r="C15" i="25" s="1"/>
  <c r="C14" i="25" s="1"/>
  <c r="C13" i="25" s="1"/>
  <c r="C12" i="25" s="1"/>
  <c r="C11" i="25" s="1"/>
  <c r="C10" i="25" s="1"/>
  <c r="C9" i="25" s="1"/>
  <c r="C8" i="25" s="1"/>
  <c r="C7" i="25" s="1"/>
  <c r="C6" i="25" s="1"/>
  <c r="C5" i="25" s="1"/>
  <c r="C4" i="25" s="1"/>
  <c r="C45" i="36"/>
  <c r="C44" i="36" s="1"/>
  <c r="C43" i="36" s="1"/>
  <c r="C42" i="36" s="1"/>
  <c r="C41" i="36" s="1"/>
  <c r="C40" i="36" s="1"/>
  <c r="C39" i="36" s="1"/>
  <c r="C38" i="36" s="1"/>
  <c r="C37" i="36" s="1"/>
  <c r="C36" i="36" s="1"/>
  <c r="C35" i="36" s="1"/>
  <c r="C34" i="36" s="1"/>
  <c r="C33" i="36" s="1"/>
  <c r="C32" i="36" s="1"/>
  <c r="C31" i="36" s="1"/>
  <c r="C30" i="36" s="1"/>
  <c r="C29" i="36" s="1"/>
  <c r="C28" i="36" s="1"/>
  <c r="C27" i="36" s="1"/>
  <c r="C26" i="36" s="1"/>
  <c r="C25" i="36" s="1"/>
  <c r="C24" i="36" s="1"/>
  <c r="C23" i="36" s="1"/>
  <c r="C22" i="36" s="1"/>
  <c r="C21" i="36" s="1"/>
  <c r="C20" i="36" s="1"/>
  <c r="C19" i="36" s="1"/>
  <c r="C18" i="36" s="1"/>
  <c r="C17" i="36" s="1"/>
  <c r="C16" i="36" s="1"/>
  <c r="C15" i="36" s="1"/>
  <c r="C14" i="36" s="1"/>
  <c r="C13" i="36" s="1"/>
  <c r="C12" i="36" s="1"/>
  <c r="C11" i="36" s="1"/>
  <c r="C10" i="36" s="1"/>
  <c r="C9" i="36" s="1"/>
  <c r="C8" i="36" s="1"/>
  <c r="C7" i="36" s="1"/>
  <c r="C6" i="36" s="1"/>
  <c r="C5" i="36" s="1"/>
  <c r="C4" i="36" s="1"/>
  <c r="C45" i="24"/>
  <c r="C44" i="24" s="1"/>
  <c r="C43" i="24" s="1"/>
  <c r="C42" i="24" s="1"/>
  <c r="C41" i="24" s="1"/>
  <c r="C40" i="24" s="1"/>
  <c r="C39" i="24" s="1"/>
  <c r="C38" i="24" s="1"/>
  <c r="C37" i="24" s="1"/>
  <c r="C36" i="24" s="1"/>
  <c r="C35" i="24" s="1"/>
  <c r="C34" i="24" s="1"/>
  <c r="C33" i="24" s="1"/>
  <c r="C32" i="24" s="1"/>
  <c r="C31" i="24" s="1"/>
  <c r="C30" i="24" s="1"/>
  <c r="C29" i="24" s="1"/>
  <c r="C28" i="24" s="1"/>
  <c r="C27" i="24" s="1"/>
  <c r="C26" i="24" s="1"/>
  <c r="C25" i="24" s="1"/>
  <c r="C24" i="24" s="1"/>
  <c r="C23" i="24" s="1"/>
  <c r="C22" i="24" s="1"/>
  <c r="C21" i="24" s="1"/>
  <c r="C20" i="24" s="1"/>
  <c r="C19" i="24" s="1"/>
  <c r="C18" i="24" s="1"/>
  <c r="C17" i="24" s="1"/>
  <c r="C16" i="24" s="1"/>
  <c r="C15" i="24" s="1"/>
  <c r="C14" i="24" s="1"/>
  <c r="C13" i="24" s="1"/>
  <c r="C12" i="24" s="1"/>
  <c r="C11" i="24" s="1"/>
  <c r="C10" i="24" s="1"/>
  <c r="C9" i="24" s="1"/>
  <c r="C8" i="24" s="1"/>
  <c r="C7" i="24" s="1"/>
  <c r="C6" i="24" s="1"/>
  <c r="C5" i="24" s="1"/>
  <c r="C4" i="24" s="1"/>
</calcChain>
</file>

<file path=xl/sharedStrings.xml><?xml version="1.0" encoding="utf-8"?>
<sst xmlns="http://schemas.openxmlformats.org/spreadsheetml/2006/main" count="526" uniqueCount="248">
  <si>
    <t>Advocacia Geral da União - Procuradoria Geral Federal</t>
  </si>
  <si>
    <t>Procuradoria Federal Especializada-INSS -Setor de Cálculos e Pagamentos Judiciais-INSS</t>
  </si>
  <si>
    <t>CÁLCULO DE PARCELAS RETROATIVAS - ORIENTAÇÃO PARA ACORDO JUDICIAL</t>
  </si>
  <si>
    <r>
      <t>OBS: CORREÇÃO INPC+TR + IPCAE -</t>
    </r>
    <r>
      <rPr>
        <b/>
        <u/>
        <sz val="9"/>
        <color indexed="10"/>
        <rFont val="Arial"/>
        <family val="2"/>
      </rPr>
      <t xml:space="preserve"> SELIC a partir de 12/2021</t>
    </r>
  </si>
  <si>
    <t>ATUALIZADO ATÉ:</t>
  </si>
  <si>
    <t>Obs: D.I.P. (Data Início Pgto-Adm) em:</t>
  </si>
  <si>
    <t>Nº Parcelas</t>
  </si>
  <si>
    <t>D.I.B.</t>
  </si>
  <si>
    <t>Valor</t>
  </si>
  <si>
    <t>Indice</t>
  </si>
  <si>
    <t>Valor Corr.</t>
  </si>
  <si>
    <t>Jrs</t>
  </si>
  <si>
    <t>Vr jrs</t>
  </si>
  <si>
    <t xml:space="preserve">Soma </t>
  </si>
  <si>
    <t>Com 13º Integral 1º ano-Sem teto</t>
  </si>
  <si>
    <t>100% c/13º prop(teto)</t>
  </si>
  <si>
    <t xml:space="preserve">Exerc. ant. </t>
  </si>
  <si>
    <t>Exerc Atual</t>
  </si>
  <si>
    <t>SOMA</t>
  </si>
  <si>
    <t>Soma 95%</t>
  </si>
  <si>
    <t>Soma 90%</t>
  </si>
  <si>
    <t>Soma 80%</t>
  </si>
  <si>
    <t>Soma 70%</t>
  </si>
  <si>
    <t>Soma 60%</t>
  </si>
  <si>
    <t>SOMA EXERC. ANTERIOR. EM:</t>
  </si>
  <si>
    <t>SOMA EXERCÍCIO ATUAL EM:</t>
  </si>
  <si>
    <t>LIMITE DE ALÇADA DO JEF (TETO):</t>
  </si>
  <si>
    <t>ORTN/OTN/BTN até 02/91 + INPC até 12/92 + IRSM até 02/94 + URV até 06/94 + IPCR até 06/95 + INPC até 04/96 + IGPDI até 09/2006 + INPC + TR + IPCA-E + Selic após 12/021</t>
  </si>
  <si>
    <t>COM ADICIONAL ACOMPANHANTE (25%)</t>
  </si>
  <si>
    <t>Valor Com Adic 25%</t>
  </si>
  <si>
    <t>C/ adicional 25%</t>
  </si>
  <si>
    <t>BPC / LOAS</t>
  </si>
  <si>
    <t>TOTAL SEM LIMITE</t>
  </si>
  <si>
    <t>TOTAL 100% (TETO)</t>
  </si>
  <si>
    <t>ATUALIZADO ATÉ COMPETÊNCIA:</t>
  </si>
  <si>
    <t>Obs: D.I.P. (Data Início Pgto-Adm): SEM PAGAMENTO ADM.</t>
  </si>
  <si>
    <t>S A L Á R I O   M A T E R N I D A D E</t>
  </si>
  <si>
    <t>Juros</t>
  </si>
  <si>
    <t>Valor Juros</t>
  </si>
  <si>
    <r>
      <t>100%</t>
    </r>
    <r>
      <rPr>
        <b/>
        <sz val="7.5"/>
        <color rgb="FF00B0F0"/>
        <rFont val="Catriel"/>
      </rPr>
      <t xml:space="preserve"> </t>
    </r>
    <r>
      <rPr>
        <b/>
        <sz val="7.5"/>
        <color theme="3" tint="0.39997558519241921"/>
        <rFont val="Catriel"/>
      </rPr>
      <t>SEM  13º</t>
    </r>
  </si>
  <si>
    <t>13º 4/12</t>
  </si>
  <si>
    <t>TOTAL 100%</t>
  </si>
  <si>
    <t>C/ 13º</t>
  </si>
  <si>
    <t xml:space="preserve">C/ 13º </t>
  </si>
  <si>
    <t xml:space="preserve">Exerc ant. </t>
  </si>
  <si>
    <t>Exer  atual</t>
  </si>
  <si>
    <t>Soma 50%</t>
  </si>
  <si>
    <t xml:space="preserve">S E G U R O  -  D E F E S O </t>
  </si>
  <si>
    <t>Sem juros</t>
  </si>
  <si>
    <t>100% SEM  13º</t>
  </si>
  <si>
    <t>BENEFÍCIOS PREV. COM DIREITO AO 13º SALÁRIO</t>
  </si>
  <si>
    <t>Parc. Exerc. Anteriores</t>
  </si>
  <si>
    <t>Parc. Exerc. Corrente</t>
  </si>
  <si>
    <t>Exerc. ant</t>
  </si>
  <si>
    <t>Exerc. atual</t>
  </si>
  <si>
    <t>BENEFÍCIOS ASSISTENCIAIS (LOAS)</t>
  </si>
  <si>
    <t xml:space="preserve">     SALÁRIO-MÍNIMO     -</t>
  </si>
  <si>
    <t>I P C A - E - Até 11/2021 (após, Selic)</t>
  </si>
  <si>
    <t>Início dos jrs:</t>
  </si>
  <si>
    <t>Atualização:</t>
  </si>
  <si>
    <t>Competência</t>
  </si>
  <si>
    <t>Correção mon</t>
  </si>
  <si>
    <t>%</t>
  </si>
  <si>
    <t>Índice-mês</t>
  </si>
  <si>
    <t>ìndice acum</t>
  </si>
  <si>
    <t>% jrs mês</t>
  </si>
  <si>
    <t>% jrs acum.</t>
  </si>
  <si>
    <t>01/01/2011 R$</t>
  </si>
  <si>
    <t>01/02/2011 R$</t>
  </si>
  <si>
    <t>01/03/2011 R$</t>
  </si>
  <si>
    <t>01/04/2011 R$</t>
  </si>
  <si>
    <t>01/05/2011 R$</t>
  </si>
  <si>
    <t>01/06/2011 R$</t>
  </si>
  <si>
    <t>01/07/2011 R$</t>
  </si>
  <si>
    <t>01/08/2011 R$</t>
  </si>
  <si>
    <t>01/09/2011 R$</t>
  </si>
  <si>
    <t>01/10/2011 R$</t>
  </si>
  <si>
    <t>01/11/2011 R$</t>
  </si>
  <si>
    <t>01/12/2011 R$</t>
  </si>
  <si>
    <t>01/01/2012 R$</t>
  </si>
  <si>
    <t>01/02/2012 R$</t>
  </si>
  <si>
    <t>01/03/2012 R$</t>
  </si>
  <si>
    <t>01/04/2012 R$</t>
  </si>
  <si>
    <t>01/05/2012 R$</t>
  </si>
  <si>
    <t>01/06/2012 R$</t>
  </si>
  <si>
    <t>01/07/2012 R$</t>
  </si>
  <si>
    <t>01/08/2012 R$</t>
  </si>
  <si>
    <t>01/09/2012 R$</t>
  </si>
  <si>
    <t>01/10/2012 R$</t>
  </si>
  <si>
    <t>01/11/2012 R$</t>
  </si>
  <si>
    <t>01/12/2012 R$</t>
  </si>
  <si>
    <t>01/01/2013 R$</t>
  </si>
  <si>
    <t>01/02/2013 R$</t>
  </si>
  <si>
    <t>01/03/2013 R$</t>
  </si>
  <si>
    <t>01/04/2013 R$</t>
  </si>
  <si>
    <t>01/05/2013 R$</t>
  </si>
  <si>
    <t>01/06/2013 R$</t>
  </si>
  <si>
    <t>01/07/2013 R$</t>
  </si>
  <si>
    <t>01/08/2013 R$</t>
  </si>
  <si>
    <t>01/09/2013 R$</t>
  </si>
  <si>
    <t>01/10/2013 R$</t>
  </si>
  <si>
    <t>01/11/2013 R$</t>
  </si>
  <si>
    <t>01/12/2013 R$</t>
  </si>
  <si>
    <t>01/01/2014 R$</t>
  </si>
  <si>
    <t>01/02/2014 R$</t>
  </si>
  <si>
    <t>01/03/2014 R$</t>
  </si>
  <si>
    <t>01/04/2014 R$</t>
  </si>
  <si>
    <t>01/05/2014 R$</t>
  </si>
  <si>
    <t>01/06/2014 R$</t>
  </si>
  <si>
    <t>01/07/2014 R$</t>
  </si>
  <si>
    <t>01/08/2014 R$</t>
  </si>
  <si>
    <t>01/09/2014 R$</t>
  </si>
  <si>
    <t>01/10/2014 R$</t>
  </si>
  <si>
    <t>01/11/2014 R$</t>
  </si>
  <si>
    <t>01/12/2014 R$</t>
  </si>
  <si>
    <t>01/01/2015 R$</t>
  </si>
  <si>
    <t>01/02/2015 R$</t>
  </si>
  <si>
    <t>01/03/2015 R$</t>
  </si>
  <si>
    <t>01/04/2015 R$</t>
  </si>
  <si>
    <t>01/05/2015 R$</t>
  </si>
  <si>
    <t>01/06/2015 R$</t>
  </si>
  <si>
    <t>01/07/2015 R$</t>
  </si>
  <si>
    <t>01/08/2015 R$</t>
  </si>
  <si>
    <t>01/09/2015 R$</t>
  </si>
  <si>
    <t>01/10/2015 R$</t>
  </si>
  <si>
    <t>01/11/2015 R$</t>
  </si>
  <si>
    <t>01/12/2015 R$</t>
  </si>
  <si>
    <t>01/01/2016 R$</t>
  </si>
  <si>
    <t>01/02/2016 R$</t>
  </si>
  <si>
    <t>01/03/2016 R$</t>
  </si>
  <si>
    <t>01/04/2016 R$</t>
  </si>
  <si>
    <t>01/05/2016 R$</t>
  </si>
  <si>
    <t>01/06/2016 R$</t>
  </si>
  <si>
    <t>01/07/2016 R$</t>
  </si>
  <si>
    <t>01/08/2016 R$</t>
  </si>
  <si>
    <t>01/09/2016 R$</t>
  </si>
  <si>
    <t>01/10/2016 R$</t>
  </si>
  <si>
    <t>01/11/2016 R$</t>
  </si>
  <si>
    <t>01/12/2016 R$</t>
  </si>
  <si>
    <t>01/01/2017 R$</t>
  </si>
  <si>
    <t>01/02/2017 R$</t>
  </si>
  <si>
    <t>01/03/2017 R$</t>
  </si>
  <si>
    <t>01/04/2017 R$</t>
  </si>
  <si>
    <t>01/05/2017 R$</t>
  </si>
  <si>
    <t>01/06/2017 R$</t>
  </si>
  <si>
    <t>01/07/2017 R$</t>
  </si>
  <si>
    <t>01/08/2017 R$</t>
  </si>
  <si>
    <t>01/09/2017 R$</t>
  </si>
  <si>
    <t>01/10/2017 R$</t>
  </si>
  <si>
    <t>01/11/2017 R$</t>
  </si>
  <si>
    <t>01/12/2017 R$</t>
  </si>
  <si>
    <t>01/01/2018 R$</t>
  </si>
  <si>
    <t>01/02/2018 R$</t>
  </si>
  <si>
    <t>01/03/2018 R$</t>
  </si>
  <si>
    <t>01/04/2018 R$</t>
  </si>
  <si>
    <t>01/05/2018 R$</t>
  </si>
  <si>
    <t>01/06/2018 R$</t>
  </si>
  <si>
    <t>01/07/2018 R$</t>
  </si>
  <si>
    <t>01/08/2018 R$</t>
  </si>
  <si>
    <t>01/09/2018 R$</t>
  </si>
  <si>
    <t>01/10/2018 R$</t>
  </si>
  <si>
    <t>01/11/2018 R$</t>
  </si>
  <si>
    <t>01/12/2018 R$</t>
  </si>
  <si>
    <t>01/01/2019 R$</t>
  </si>
  <si>
    <t>01/02/2019 R$</t>
  </si>
  <si>
    <t>01/03/2019 R$</t>
  </si>
  <si>
    <t>01/04/2019 R$</t>
  </si>
  <si>
    <t>01/05/2019 R$</t>
  </si>
  <si>
    <t>01/06/2019 R$</t>
  </si>
  <si>
    <t>01/07/2019 R$</t>
  </si>
  <si>
    <t>01/08/2019 R$</t>
  </si>
  <si>
    <t>01/09/2019 R$</t>
  </si>
  <si>
    <t>01/10/2019 R$</t>
  </si>
  <si>
    <t>01/11/2019 R$</t>
  </si>
  <si>
    <t>01/12/2019 R$</t>
  </si>
  <si>
    <t>01/01/2020 R$</t>
  </si>
  <si>
    <t>01/02/2020 R$</t>
  </si>
  <si>
    <t>01/03/2020 R$</t>
  </si>
  <si>
    <t>01/04/2020 R$</t>
  </si>
  <si>
    <t>01/05/2020 R$</t>
  </si>
  <si>
    <t>01/06/2020 R$</t>
  </si>
  <si>
    <t>01/07/2020 R$</t>
  </si>
  <si>
    <t>01/08/2020 R$</t>
  </si>
  <si>
    <t>01/09/2020 R$</t>
  </si>
  <si>
    <t>01/10/2020 R$</t>
  </si>
  <si>
    <t>01/11/2020 R$</t>
  </si>
  <si>
    <t>01/12/2020 R$</t>
  </si>
  <si>
    <t>01/01/2021 R$</t>
  </si>
  <si>
    <t>01/02/2021 R$</t>
  </si>
  <si>
    <t>01/03/2021 R$</t>
  </si>
  <si>
    <t>01/04/2021 R$</t>
  </si>
  <si>
    <t>01/05/2021 R$</t>
  </si>
  <si>
    <t>01/06/2021 R$</t>
  </si>
  <si>
    <t>01/07/2021 R$</t>
  </si>
  <si>
    <t>01/08/2021 R$</t>
  </si>
  <si>
    <t>01/09/2021 R$</t>
  </si>
  <si>
    <t>01/10/2021 R$</t>
  </si>
  <si>
    <t>01/11/2021 R$</t>
  </si>
  <si>
    <t>01/12/2021 R$</t>
  </si>
  <si>
    <t>01/01/2022 R$</t>
  </si>
  <si>
    <t>01/02/2022 R$</t>
  </si>
  <si>
    <t>01/03/2022 R$</t>
  </si>
  <si>
    <t>01/04/2022 R$</t>
  </si>
  <si>
    <t>01/05/2022 R$</t>
  </si>
  <si>
    <t>01/06/2022 R$</t>
  </si>
  <si>
    <t>01/07/2022 R$</t>
  </si>
  <si>
    <t>01/08/2022 R$</t>
  </si>
  <si>
    <t>01/09/2022 R$</t>
  </si>
  <si>
    <t>01/10/2022 R$</t>
  </si>
  <si>
    <t>01/11/2022 R$</t>
  </si>
  <si>
    <t>01/12/2022 R$</t>
  </si>
  <si>
    <t>01/01/2023 R$</t>
  </si>
  <si>
    <t>01/02/2023 R$</t>
  </si>
  <si>
    <t>01/03/2023 R$</t>
  </si>
  <si>
    <t>01/04/2023 R$</t>
  </si>
  <si>
    <t>01/05/2023 R$</t>
  </si>
  <si>
    <t>01/06/2023 R$</t>
  </si>
  <si>
    <t>ATENÇÃO: SOMENTE PARA SIMPLES ANALÍSE DE EXECUÇÃO</t>
  </si>
  <si>
    <t>BENEFÍCIO VALOR MÍNIMO (C/ 13º)</t>
  </si>
  <si>
    <t>01/07/2023 R$</t>
  </si>
  <si>
    <t>01/08/2023 R$</t>
  </si>
  <si>
    <t>01/09/2023 R$</t>
  </si>
  <si>
    <t>01/10/2023 R$</t>
  </si>
  <si>
    <t>01/11/2023 R$</t>
  </si>
  <si>
    <t>01/12/2023 R$</t>
  </si>
  <si>
    <t>01/01/2024 R$</t>
  </si>
  <si>
    <t>01/01/2010 R$</t>
  </si>
  <si>
    <t>01/02/2010 R$</t>
  </si>
  <si>
    <t>01/03/2010 R$</t>
  </si>
  <si>
    <t>01/04/2010 R$</t>
  </si>
  <si>
    <t>01/05/2010 R$</t>
  </si>
  <si>
    <t>01/06/2010 R$</t>
  </si>
  <si>
    <t>01/07/2010 R$</t>
  </si>
  <si>
    <t>01/08/2010 R$</t>
  </si>
  <si>
    <t>01/09/2010 R$</t>
  </si>
  <si>
    <t>01/10/2010 R$</t>
  </si>
  <si>
    <t>01/11/2010 R$</t>
  </si>
  <si>
    <t>01/12/2010 R$</t>
  </si>
  <si>
    <t>Nota: 15 dias no primeiro mês</t>
  </si>
  <si>
    <t>Sem teto</t>
  </si>
  <si>
    <t>01/02/2024 R$</t>
  </si>
  <si>
    <t xml:space="preserve">  SOMA EXERCÍCIO ATUAL/TOTAL:</t>
  </si>
  <si>
    <t>ORTN/OTN/BTN até 02/91 + INPC até 12/92 + IRSM até 02/94 + URV até 06/94 + IPCR até 06/95 + INPC até 04/96 + IGPDI até 09/2006 + IPCA-E + Selic após 12/021</t>
  </si>
  <si>
    <t>01/03/2024 R$</t>
  </si>
  <si>
    <t>01/04/2024 R$</t>
  </si>
  <si>
    <t>01/05/2024 R$</t>
  </si>
  <si>
    <t>Soma 100%</t>
  </si>
  <si>
    <t>01/06/2024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</si>
</sst>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_(* #,##0.00_);_(* \(#,##0.00\);_(* &quot;-&quot;??_);_(@_)"/>
    <numFmt numFmtId="165" formatCode="mm/yyyy"/>
    <numFmt numFmtId="166" formatCode="0.000000000"/>
    <numFmt numFmtId="167" formatCode="_(* #,##0.0000000_);_(* \(#,##0.0000000\);_(* &quot;-&quot;??_);_(@_)"/>
    <numFmt numFmtId="168" formatCode="_(* #,##0.000000_);_(* \(#,##0.000000\);_(* &quot;-&quot;??_);_(@_)"/>
    <numFmt numFmtId="169" formatCode="_(* #,##0.00000_);_(* \(#,##0.00000\);_(* &quot;-&quot;??_);_(@_)"/>
    <numFmt numFmtId="170" formatCode="0.000000"/>
    <numFmt numFmtId="171" formatCode="0.0000%"/>
    <numFmt numFmtId="172" formatCode="0.00000%"/>
  </numFmts>
  <fonts count="61">
    <font>
      <sz val="10"/>
      <name val="Arial"/>
    </font>
    <font>
      <sz val="10"/>
      <name val="Arial"/>
      <family val="2"/>
    </font>
    <font>
      <b/>
      <sz val="8"/>
      <name val="Arial"/>
      <family val="2"/>
    </font>
    <font>
      <sz val="9"/>
      <name val="Arial"/>
      <family val="2"/>
    </font>
    <font>
      <b/>
      <sz val="9"/>
      <name val="Arial"/>
      <family val="2"/>
    </font>
    <font>
      <b/>
      <sz val="9"/>
      <color indexed="8"/>
      <name val="Arial"/>
      <family val="2"/>
    </font>
    <font>
      <b/>
      <sz val="9"/>
      <color indexed="10"/>
      <name val="Arial"/>
      <family val="2"/>
    </font>
    <font>
      <b/>
      <sz val="10"/>
      <name val="Arial"/>
      <family val="2"/>
    </font>
    <font>
      <b/>
      <u/>
      <sz val="9"/>
      <name val="Arial"/>
      <family val="2"/>
    </font>
    <font>
      <sz val="8"/>
      <color indexed="8"/>
      <name val="Arial Narrow"/>
      <family val="2"/>
    </font>
    <font>
      <sz val="8"/>
      <color indexed="8"/>
      <name val="Arial"/>
      <family val="2"/>
    </font>
    <font>
      <b/>
      <sz val="8"/>
      <color indexed="10"/>
      <name val="Arial"/>
      <family val="2"/>
    </font>
    <font>
      <sz val="10"/>
      <name val="Aparajita"/>
      <family val="2"/>
    </font>
    <font>
      <sz val="10"/>
      <color indexed="8"/>
      <name val="Arial"/>
      <family val="2"/>
    </font>
    <font>
      <b/>
      <sz val="8"/>
      <name val="Courier New"/>
      <family val="3"/>
    </font>
    <font>
      <b/>
      <sz val="7.5"/>
      <name val="Catriel"/>
    </font>
    <font>
      <sz val="6"/>
      <name val="Eras Light ITC"/>
      <family val="2"/>
    </font>
    <font>
      <b/>
      <sz val="6"/>
      <name val="Eras Light ITC"/>
      <family val="2"/>
    </font>
    <font>
      <b/>
      <sz val="6"/>
      <color indexed="10"/>
      <name val="Eras Light ITC"/>
      <family val="2"/>
    </font>
    <font>
      <sz val="9"/>
      <color indexed="10"/>
      <name val="Arial"/>
      <family val="2"/>
    </font>
    <font>
      <sz val="6"/>
      <color indexed="10"/>
      <name val="Eras Light ITC"/>
      <family val="2"/>
    </font>
    <font>
      <sz val="9"/>
      <color indexed="8"/>
      <name val="Arial"/>
      <family val="2"/>
    </font>
    <font>
      <sz val="10"/>
      <name val="Arial"/>
      <family val="2"/>
    </font>
    <font>
      <b/>
      <sz val="6"/>
      <color indexed="8"/>
      <name val="Eras Light ITC"/>
      <family val="2"/>
    </font>
    <font>
      <sz val="6"/>
      <color indexed="8"/>
      <name val="Catriel"/>
    </font>
    <font>
      <sz val="6"/>
      <name val="Catriel"/>
    </font>
    <font>
      <sz val="7"/>
      <name val="Catriel"/>
    </font>
    <font>
      <b/>
      <sz val="6"/>
      <name val="Catriel"/>
    </font>
    <font>
      <b/>
      <u/>
      <sz val="9"/>
      <color indexed="10"/>
      <name val="Arial"/>
      <family val="2"/>
    </font>
    <font>
      <b/>
      <sz val="7"/>
      <name val="Catriel"/>
    </font>
    <font>
      <sz val="8"/>
      <color rgb="FF000000"/>
      <name val="Arial Narrow"/>
      <family val="2"/>
    </font>
    <font>
      <sz val="9"/>
      <color rgb="FF000000"/>
      <name val="Arial"/>
      <family val="2"/>
    </font>
    <font>
      <sz val="6"/>
      <color rgb="FF000000"/>
      <name val="Catriel"/>
    </font>
    <font>
      <strike/>
      <sz val="6"/>
      <color theme="1" tint="0.499984740745262"/>
      <name val="Catriel"/>
    </font>
    <font>
      <sz val="10"/>
      <color rgb="FFC00000"/>
      <name val="Aparajita"/>
      <family val="2"/>
    </font>
    <font>
      <b/>
      <sz val="9"/>
      <color rgb="FFFF0000"/>
      <name val="Arial"/>
      <family val="2"/>
    </font>
    <font>
      <b/>
      <sz val="10"/>
      <color rgb="FFFF0000"/>
      <name val="Arial"/>
      <family val="2"/>
    </font>
    <font>
      <b/>
      <sz val="9"/>
      <color rgb="FFC00000"/>
      <name val="Arial"/>
      <family val="2"/>
    </font>
    <font>
      <b/>
      <sz val="8"/>
      <color theme="1"/>
      <name val="Courier New"/>
      <family val="3"/>
    </font>
    <font>
      <sz val="6"/>
      <color theme="1"/>
      <name val="Catriel"/>
    </font>
    <font>
      <b/>
      <sz val="7"/>
      <name val="Courier New"/>
      <family val="3"/>
    </font>
    <font>
      <b/>
      <sz val="11"/>
      <color rgb="FFFF0000"/>
      <name val="Arial"/>
      <family val="2"/>
    </font>
    <font>
      <b/>
      <sz val="6"/>
      <color indexed="8"/>
      <name val="Catriel"/>
    </font>
    <font>
      <b/>
      <sz val="6"/>
      <color rgb="FFFF0000"/>
      <name val="Catriel"/>
    </font>
    <font>
      <b/>
      <sz val="6"/>
      <color theme="3" tint="0.59999389629810485"/>
      <name val="Catriel"/>
    </font>
    <font>
      <b/>
      <sz val="6"/>
      <name val="Courier New"/>
      <family val="3"/>
    </font>
    <font>
      <b/>
      <sz val="7.5"/>
      <color rgb="FFFF0000"/>
      <name val="Catriel"/>
    </font>
    <font>
      <strike/>
      <sz val="6"/>
      <name val="Catriel"/>
    </font>
    <font>
      <strike/>
      <sz val="6"/>
      <color theme="1"/>
      <name val="Catriel"/>
    </font>
    <font>
      <sz val="9"/>
      <color rgb="FFFF0000"/>
      <name val="Arial"/>
      <family val="2"/>
    </font>
    <font>
      <b/>
      <sz val="7.5"/>
      <color theme="3" tint="0.39997558519241921"/>
      <name val="Catriel"/>
    </font>
    <font>
      <b/>
      <sz val="7.5"/>
      <color rgb="FF00B0F0"/>
      <name val="Catriel"/>
    </font>
    <font>
      <sz val="8"/>
      <name val="Arial"/>
      <family val="2"/>
    </font>
    <font>
      <sz val="8"/>
      <name val="Arial Narrow"/>
      <family val="2"/>
    </font>
    <font>
      <b/>
      <sz val="8"/>
      <color rgb="FFFF0000"/>
      <name val="Arial"/>
      <family val="2"/>
    </font>
    <font>
      <b/>
      <sz val="7"/>
      <color rgb="FFFF0000"/>
      <name val="Catriel"/>
    </font>
    <font>
      <sz val="6"/>
      <color rgb="FF000000"/>
      <name val="Calibri"/>
      <family val="2"/>
      <scheme val="minor"/>
    </font>
    <font>
      <sz val="6"/>
      <color indexed="8"/>
      <name val="Calibri"/>
      <family val="2"/>
      <scheme val="minor"/>
    </font>
    <font>
      <b/>
      <sz val="10"/>
      <color theme="0"/>
      <name val="Arial"/>
      <family val="2"/>
    </font>
    <font>
      <sz val="9"/>
      <name val="Catriel"/>
    </font>
    <font>
      <sz val="10"/>
      <name val="Catriel"/>
    </font>
  </fonts>
  <fills count="12">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8F8F8"/>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0000"/>
        <bgColor indexed="64"/>
      </patternFill>
    </fill>
  </fills>
  <borders count="6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style="medium">
        <color rgb="FFCCCCCC"/>
      </left>
      <right style="medium">
        <color rgb="FFCCCCCC"/>
      </right>
      <top/>
      <bottom/>
      <diagonal/>
    </border>
    <border>
      <left/>
      <right/>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diagonal/>
    </border>
  </borders>
  <cellStyleXfs count="5">
    <xf numFmtId="0" fontId="0" fillId="0" borderId="0"/>
    <xf numFmtId="44" fontId="2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94">
    <xf numFmtId="0" fontId="0" fillId="0" borderId="0" xfId="0"/>
    <xf numFmtId="0" fontId="3" fillId="0" borderId="0" xfId="0" applyFont="1"/>
    <xf numFmtId="0" fontId="3" fillId="0" borderId="0" xfId="0" applyFont="1" applyAlignment="1">
      <alignment horizontal="center"/>
    </xf>
    <xf numFmtId="0" fontId="2"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xf>
    <xf numFmtId="0" fontId="6" fillId="0" borderId="0" xfId="0" applyFont="1"/>
    <xf numFmtId="0" fontId="5" fillId="0" borderId="0" xfId="0" applyFont="1"/>
    <xf numFmtId="0" fontId="9" fillId="0" borderId="0" xfId="0" applyFont="1"/>
    <xf numFmtId="0" fontId="10" fillId="0" borderId="0" xfId="0" applyFont="1"/>
    <xf numFmtId="10" fontId="10" fillId="0" borderId="0" xfId="0" applyNumberFormat="1" applyFont="1"/>
    <xf numFmtId="166" fontId="10" fillId="0" borderId="0" xfId="0" applyNumberFormat="1" applyFont="1"/>
    <xf numFmtId="164" fontId="10" fillId="0" borderId="0" xfId="4" applyFont="1"/>
    <xf numFmtId="164" fontId="10" fillId="0" borderId="0" xfId="0" applyNumberFormat="1" applyFont="1"/>
    <xf numFmtId="4" fontId="9" fillId="0" borderId="0" xfId="0" applyNumberFormat="1" applyFont="1"/>
    <xf numFmtId="10" fontId="9" fillId="0" borderId="0" xfId="0" applyNumberFormat="1" applyFont="1"/>
    <xf numFmtId="0" fontId="30" fillId="0" borderId="0" xfId="0" applyFont="1"/>
    <xf numFmtId="10" fontId="30" fillId="0" borderId="0" xfId="0" applyNumberFormat="1" applyFont="1"/>
    <xf numFmtId="4" fontId="30" fillId="0" borderId="0" xfId="0" applyNumberFormat="1" applyFont="1"/>
    <xf numFmtId="0" fontId="3" fillId="3" borderId="0" xfId="0" applyFont="1" applyFill="1"/>
    <xf numFmtId="0" fontId="1" fillId="0" borderId="0" xfId="0" applyFont="1"/>
    <xf numFmtId="0" fontId="12" fillId="0" borderId="0" xfId="0" applyFont="1"/>
    <xf numFmtId="164" fontId="12" fillId="0" borderId="0" xfId="4" applyFont="1" applyFill="1" applyBorder="1"/>
    <xf numFmtId="0" fontId="13" fillId="0" borderId="0" xfId="0" applyFont="1"/>
    <xf numFmtId="0" fontId="31" fillId="0" borderId="0" xfId="0" applyFont="1" applyAlignment="1">
      <alignment vertical="center"/>
    </xf>
    <xf numFmtId="0" fontId="31" fillId="0" borderId="0" xfId="0" applyFont="1"/>
    <xf numFmtId="0" fontId="0" fillId="4" borderId="0" xfId="0" applyFill="1"/>
    <xf numFmtId="0" fontId="16" fillId="0" borderId="0" xfId="0" applyFont="1"/>
    <xf numFmtId="4" fontId="18" fillId="0" borderId="0" xfId="0" applyNumberFormat="1" applyFont="1"/>
    <xf numFmtId="0" fontId="21" fillId="0" borderId="0" xfId="0" applyFont="1"/>
    <xf numFmtId="9" fontId="14" fillId="0" borderId="1" xfId="0" applyNumberFormat="1" applyFont="1" applyBorder="1" applyAlignment="1">
      <alignment horizontal="center" vertical="center" wrapText="1"/>
    </xf>
    <xf numFmtId="9" fontId="14" fillId="0" borderId="4" xfId="0" applyNumberFormat="1" applyFont="1" applyBorder="1" applyAlignment="1">
      <alignment horizontal="center" vertical="center" wrapText="1"/>
    </xf>
    <xf numFmtId="0" fontId="30" fillId="4" borderId="0" xfId="0" applyFont="1" applyFill="1"/>
    <xf numFmtId="10" fontId="30" fillId="4" borderId="0" xfId="0" applyNumberFormat="1" applyFont="1" applyFill="1"/>
    <xf numFmtId="4" fontId="20" fillId="0" borderId="0" xfId="0" applyNumberFormat="1" applyFont="1" applyAlignment="1">
      <alignment horizontal="center" vertical="center"/>
    </xf>
    <xf numFmtId="4" fontId="18" fillId="0" borderId="0" xfId="0" applyNumberFormat="1" applyFont="1" applyAlignment="1">
      <alignment vertical="center"/>
    </xf>
    <xf numFmtId="4" fontId="18" fillId="0" borderId="0" xfId="0" applyNumberFormat="1" applyFont="1" applyAlignment="1">
      <alignment horizontal="center" vertical="center"/>
    </xf>
    <xf numFmtId="0" fontId="17" fillId="0" borderId="0" xfId="0" applyFont="1"/>
    <xf numFmtId="4" fontId="20" fillId="0" borderId="0" xfId="0" applyNumberFormat="1" applyFont="1"/>
    <xf numFmtId="0" fontId="3" fillId="5" borderId="0" xfId="0" applyFont="1" applyFill="1"/>
    <xf numFmtId="165" fontId="24" fillId="0" borderId="5" xfId="0" applyNumberFormat="1" applyFont="1" applyBorder="1" applyAlignment="1">
      <alignment horizontal="center"/>
    </xf>
    <xf numFmtId="164" fontId="24" fillId="0" borderId="6" xfId="4" applyFont="1" applyFill="1" applyBorder="1" applyProtection="1"/>
    <xf numFmtId="10" fontId="32" fillId="0" borderId="7" xfId="0" applyNumberFormat="1" applyFont="1" applyBorder="1"/>
    <xf numFmtId="164" fontId="25" fillId="2" borderId="8" xfId="4" applyFont="1" applyFill="1" applyBorder="1"/>
    <xf numFmtId="164" fontId="25" fillId="2" borderId="9" xfId="4" applyFont="1" applyFill="1" applyBorder="1"/>
    <xf numFmtId="164" fontId="25" fillId="2" borderId="5" xfId="4" applyFont="1" applyFill="1" applyBorder="1"/>
    <xf numFmtId="164" fontId="25" fillId="2" borderId="10" xfId="4" applyFont="1" applyFill="1" applyBorder="1"/>
    <xf numFmtId="164" fontId="25" fillId="2" borderId="11" xfId="4" applyFont="1" applyFill="1" applyBorder="1"/>
    <xf numFmtId="164" fontId="25" fillId="2" borderId="12" xfId="4" applyFont="1" applyFill="1" applyBorder="1"/>
    <xf numFmtId="164" fontId="25" fillId="2" borderId="13" xfId="4" applyFont="1" applyFill="1" applyBorder="1"/>
    <xf numFmtId="165" fontId="24" fillId="4" borderId="5" xfId="0" applyNumberFormat="1" applyFont="1" applyFill="1" applyBorder="1" applyAlignment="1">
      <alignment horizontal="center"/>
    </xf>
    <xf numFmtId="164" fontId="24" fillId="4" borderId="14" xfId="4" applyFont="1" applyFill="1" applyBorder="1" applyProtection="1"/>
    <xf numFmtId="4" fontId="24" fillId="4" borderId="11" xfId="0" applyNumberFormat="1" applyFont="1" applyFill="1" applyBorder="1"/>
    <xf numFmtId="10" fontId="32" fillId="4" borderId="14" xfId="0" applyNumberFormat="1" applyFont="1" applyFill="1" applyBorder="1"/>
    <xf numFmtId="4" fontId="24" fillId="4" borderId="14" xfId="0" applyNumberFormat="1" applyFont="1" applyFill="1" applyBorder="1"/>
    <xf numFmtId="164" fontId="24" fillId="4" borderId="11" xfId="4" applyFont="1" applyFill="1" applyBorder="1" applyProtection="1"/>
    <xf numFmtId="164" fontId="33" fillId="4" borderId="15" xfId="4" applyFont="1" applyFill="1" applyBorder="1"/>
    <xf numFmtId="164" fontId="25" fillId="4" borderId="8" xfId="4" applyFont="1" applyFill="1" applyBorder="1"/>
    <xf numFmtId="164" fontId="25" fillId="4" borderId="5" xfId="4" applyFont="1" applyFill="1" applyBorder="1"/>
    <xf numFmtId="164" fontId="25" fillId="4" borderId="10" xfId="4" applyFont="1" applyFill="1" applyBorder="1"/>
    <xf numFmtId="164" fontId="25" fillId="4" borderId="11" xfId="4" applyFont="1" applyFill="1" applyBorder="1"/>
    <xf numFmtId="164" fontId="24" fillId="0" borderId="14" xfId="4" applyFont="1" applyFill="1" applyBorder="1" applyProtection="1"/>
    <xf numFmtId="4" fontId="24" fillId="0" borderId="11" xfId="0" applyNumberFormat="1" applyFont="1" applyBorder="1"/>
    <xf numFmtId="4" fontId="24" fillId="0" borderId="14" xfId="0" applyNumberFormat="1" applyFont="1" applyBorder="1"/>
    <xf numFmtId="164" fontId="24" fillId="0" borderId="11" xfId="4" applyFont="1" applyFill="1" applyBorder="1" applyProtection="1"/>
    <xf numFmtId="164" fontId="33" fillId="2" borderId="15" xfId="4" applyFont="1" applyFill="1" applyBorder="1"/>
    <xf numFmtId="164" fontId="25" fillId="3" borderId="8" xfId="4" applyFont="1" applyFill="1" applyBorder="1"/>
    <xf numFmtId="164" fontId="25" fillId="4" borderId="9" xfId="4" applyFont="1" applyFill="1" applyBorder="1" applyAlignment="1">
      <alignment horizontal="center"/>
    </xf>
    <xf numFmtId="165" fontId="24" fillId="0" borderId="16" xfId="0" applyNumberFormat="1" applyFont="1" applyBorder="1" applyAlignment="1">
      <alignment horizontal="center"/>
    </xf>
    <xf numFmtId="164" fontId="24" fillId="0" borderId="17" xfId="4" applyFont="1" applyFill="1" applyBorder="1" applyProtection="1"/>
    <xf numFmtId="10" fontId="24" fillId="0" borderId="17" xfId="3" applyNumberFormat="1" applyFont="1" applyFill="1" applyBorder="1" applyProtection="1"/>
    <xf numFmtId="4" fontId="24" fillId="0" borderId="17" xfId="0" applyNumberFormat="1" applyFont="1" applyBorder="1"/>
    <xf numFmtId="164" fontId="24" fillId="0" borderId="18" xfId="4" applyFont="1" applyFill="1" applyBorder="1" applyProtection="1"/>
    <xf numFmtId="164" fontId="25" fillId="0" borderId="19" xfId="4" applyFont="1" applyFill="1" applyBorder="1"/>
    <xf numFmtId="164" fontId="25" fillId="0" borderId="17" xfId="4" applyFont="1" applyFill="1" applyBorder="1"/>
    <xf numFmtId="164" fontId="25" fillId="0" borderId="18" xfId="4" applyFont="1" applyFill="1" applyBorder="1"/>
    <xf numFmtId="164" fontId="25" fillId="0" borderId="16" xfId="4" applyFont="1" applyFill="1" applyBorder="1"/>
    <xf numFmtId="164" fontId="25" fillId="0" borderId="20" xfId="4" applyFont="1" applyFill="1" applyBorder="1"/>
    <xf numFmtId="4" fontId="24" fillId="0" borderId="6" xfId="0" applyNumberFormat="1" applyFont="1" applyBorder="1"/>
    <xf numFmtId="10" fontId="32" fillId="0" borderId="6" xfId="0" applyNumberFormat="1" applyFont="1" applyBorder="1"/>
    <xf numFmtId="164" fontId="24" fillId="0" borderId="21" xfId="4" applyFont="1" applyFill="1" applyBorder="1" applyProtection="1"/>
    <xf numFmtId="164" fontId="33" fillId="2" borderId="22" xfId="4" applyFont="1" applyFill="1" applyBorder="1"/>
    <xf numFmtId="10" fontId="32" fillId="0" borderId="14" xfId="0" applyNumberFormat="1" applyFont="1" applyBorder="1"/>
    <xf numFmtId="164" fontId="33" fillId="3" borderId="15" xfId="4" applyFont="1" applyFill="1" applyBorder="1"/>
    <xf numFmtId="164" fontId="27" fillId="4" borderId="23" xfId="4" applyFont="1" applyFill="1" applyBorder="1"/>
    <xf numFmtId="164" fontId="25" fillId="4" borderId="19" xfId="4" applyFont="1" applyFill="1" applyBorder="1"/>
    <xf numFmtId="164" fontId="25" fillId="4" borderId="17" xfId="4" applyFont="1" applyFill="1" applyBorder="1"/>
    <xf numFmtId="167" fontId="32" fillId="0" borderId="7" xfId="4" applyNumberFormat="1" applyFont="1" applyBorder="1"/>
    <xf numFmtId="164" fontId="34" fillId="0" borderId="0" xfId="4" applyFont="1" applyFill="1" applyBorder="1" applyProtection="1"/>
    <xf numFmtId="164" fontId="34" fillId="0" borderId="0" xfId="4" applyFont="1" applyFill="1" applyBorder="1"/>
    <xf numFmtId="164" fontId="25" fillId="3" borderId="6" xfId="4" applyFont="1" applyFill="1" applyBorder="1"/>
    <xf numFmtId="164" fontId="25" fillId="4" borderId="14" xfId="4" applyFont="1" applyFill="1" applyBorder="1"/>
    <xf numFmtId="164" fontId="25" fillId="4" borderId="14" xfId="4" applyFont="1" applyFill="1" applyBorder="1" applyAlignment="1">
      <alignment horizontal="center"/>
    </xf>
    <xf numFmtId="164" fontId="25" fillId="3" borderId="14" xfId="4" applyFont="1" applyFill="1" applyBorder="1"/>
    <xf numFmtId="164" fontId="25" fillId="4" borderId="15" xfId="4" applyFont="1" applyFill="1" applyBorder="1"/>
    <xf numFmtId="164" fontId="25" fillId="2" borderId="15" xfId="4" applyFont="1" applyFill="1" applyBorder="1"/>
    <xf numFmtId="164" fontId="25" fillId="2" borderId="22" xfId="4" applyFont="1" applyFill="1" applyBorder="1"/>
    <xf numFmtId="0" fontId="11" fillId="4" borderId="0" xfId="0" applyFont="1" applyFill="1"/>
    <xf numFmtId="0" fontId="3" fillId="4" borderId="0" xfId="0" applyFont="1" applyFill="1"/>
    <xf numFmtId="17" fontId="19" fillId="4" borderId="0" xfId="0" applyNumberFormat="1" applyFont="1" applyFill="1"/>
    <xf numFmtId="0" fontId="4" fillId="5" borderId="0" xfId="0" applyFont="1" applyFill="1"/>
    <xf numFmtId="0" fontId="8" fillId="5" borderId="0" xfId="0" applyFont="1" applyFill="1"/>
    <xf numFmtId="0" fontId="36" fillId="3" borderId="0" xfId="0" applyFont="1" applyFill="1"/>
    <xf numFmtId="0" fontId="26" fillId="0" borderId="23" xfId="0" applyFont="1" applyBorder="1"/>
    <xf numFmtId="0" fontId="26" fillId="0" borderId="15" xfId="0" applyFont="1" applyBorder="1" applyAlignment="1">
      <alignment horizontal="center"/>
    </xf>
    <xf numFmtId="0" fontId="26" fillId="4" borderId="15" xfId="0" applyFont="1" applyFill="1" applyBorder="1" applyAlignment="1">
      <alignment horizontal="center"/>
    </xf>
    <xf numFmtId="165" fontId="24" fillId="4" borderId="14" xfId="0" applyNumberFormat="1" applyFont="1" applyFill="1" applyBorder="1" applyAlignment="1">
      <alignment horizontal="center"/>
    </xf>
    <xf numFmtId="164" fontId="25" fillId="4" borderId="18" xfId="4" applyFont="1" applyFill="1" applyBorder="1"/>
    <xf numFmtId="164" fontId="25" fillId="2" borderId="14" xfId="4" applyFont="1" applyFill="1" applyBorder="1"/>
    <xf numFmtId="164" fontId="25" fillId="2" borderId="6" xfId="4" applyFont="1" applyFill="1" applyBorder="1"/>
    <xf numFmtId="0" fontId="26" fillId="4" borderId="26" xfId="0" applyFont="1" applyFill="1" applyBorder="1" applyAlignment="1">
      <alignment horizontal="center"/>
    </xf>
    <xf numFmtId="164" fontId="25" fillId="4" borderId="23" xfId="4" applyFont="1" applyFill="1" applyBorder="1"/>
    <xf numFmtId="164" fontId="25" fillId="2" borderId="21" xfId="4" applyFont="1" applyFill="1" applyBorder="1" applyAlignment="1">
      <alignment horizontal="center"/>
    </xf>
    <xf numFmtId="164" fontId="25" fillId="4" borderId="11" xfId="4" applyFont="1" applyFill="1" applyBorder="1" applyAlignment="1">
      <alignment horizontal="center"/>
    </xf>
    <xf numFmtId="164" fontId="25" fillId="3" borderId="28" xfId="4" applyFont="1" applyFill="1" applyBorder="1"/>
    <xf numFmtId="164" fontId="25" fillId="2" borderId="11" xfId="4" applyFont="1" applyFill="1" applyBorder="1" applyAlignment="1">
      <alignment horizontal="center"/>
    </xf>
    <xf numFmtId="164" fontId="25" fillId="3" borderId="10" xfId="4" applyFont="1" applyFill="1" applyBorder="1"/>
    <xf numFmtId="0" fontId="4" fillId="0" borderId="0" xfId="0" applyFont="1"/>
    <xf numFmtId="164" fontId="25" fillId="0" borderId="23" xfId="4" applyFont="1" applyFill="1" applyBorder="1"/>
    <xf numFmtId="164" fontId="25" fillId="3" borderId="5" xfId="4" applyFont="1" applyFill="1" applyBorder="1"/>
    <xf numFmtId="164" fontId="24" fillId="0" borderId="30" xfId="4" applyFont="1" applyFill="1" applyBorder="1" applyProtection="1"/>
    <xf numFmtId="164" fontId="25" fillId="4" borderId="31" xfId="4" applyFont="1" applyFill="1" applyBorder="1"/>
    <xf numFmtId="164" fontId="25" fillId="2" borderId="22" xfId="4" applyFont="1" applyFill="1" applyBorder="1" applyAlignment="1">
      <alignment horizontal="center"/>
    </xf>
    <xf numFmtId="164" fontId="25" fillId="4" borderId="15" xfId="4" applyFont="1" applyFill="1" applyBorder="1" applyAlignment="1">
      <alignment horizontal="center"/>
    </xf>
    <xf numFmtId="164" fontId="25" fillId="2" borderId="15" xfId="4" applyFont="1" applyFill="1" applyBorder="1" applyAlignment="1">
      <alignment horizontal="center"/>
    </xf>
    <xf numFmtId="4" fontId="24" fillId="0" borderId="30" xfId="0" applyNumberFormat="1" applyFont="1" applyBorder="1"/>
    <xf numFmtId="9" fontId="14" fillId="0" borderId="24" xfId="0" applyNumberFormat="1" applyFont="1" applyBorder="1"/>
    <xf numFmtId="9" fontId="14" fillId="0" borderId="33" xfId="0" applyNumberFormat="1" applyFont="1" applyBorder="1"/>
    <xf numFmtId="9" fontId="14" fillId="0" borderId="4" xfId="0" applyNumberFormat="1" applyFont="1" applyBorder="1"/>
    <xf numFmtId="9" fontId="14" fillId="5" borderId="24" xfId="0" applyNumberFormat="1" applyFont="1" applyFill="1" applyBorder="1"/>
    <xf numFmtId="9" fontId="14" fillId="5" borderId="33" xfId="0" applyNumberFormat="1" applyFont="1" applyFill="1" applyBorder="1"/>
    <xf numFmtId="9" fontId="14" fillId="5" borderId="4" xfId="0" applyNumberFormat="1" applyFont="1" applyFill="1" applyBorder="1"/>
    <xf numFmtId="9" fontId="14" fillId="4" borderId="24" xfId="0" applyNumberFormat="1" applyFont="1" applyFill="1" applyBorder="1"/>
    <xf numFmtId="9" fontId="14" fillId="4" borderId="4" xfId="0" applyNumberFormat="1" applyFont="1" applyFill="1" applyBorder="1"/>
    <xf numFmtId="0" fontId="17" fillId="0" borderId="0" xfId="0" applyFont="1" applyAlignment="1">
      <alignment vertical="center"/>
    </xf>
    <xf numFmtId="0" fontId="4" fillId="0" borderId="0" xfId="0" applyFont="1" applyAlignment="1">
      <alignment vertical="center"/>
    </xf>
    <xf numFmtId="165" fontId="24" fillId="0" borderId="12" xfId="0" applyNumberFormat="1" applyFont="1" applyBorder="1" applyAlignment="1">
      <alignment horizontal="center"/>
    </xf>
    <xf numFmtId="4" fontId="24" fillId="0" borderId="21" xfId="0" applyNumberFormat="1" applyFont="1" applyBorder="1"/>
    <xf numFmtId="164" fontId="25" fillId="2" borderId="28" xfId="4" applyFont="1" applyFill="1" applyBorder="1"/>
    <xf numFmtId="164" fontId="25" fillId="2" borderId="21" xfId="4" applyFont="1" applyFill="1" applyBorder="1"/>
    <xf numFmtId="9" fontId="45" fillId="0" borderId="2" xfId="0" applyNumberFormat="1" applyFont="1" applyBorder="1" applyAlignment="1">
      <alignment horizontal="center" vertical="center" wrapText="1"/>
    </xf>
    <xf numFmtId="164" fontId="24" fillId="4" borderId="27" xfId="4" applyFont="1" applyFill="1" applyBorder="1" applyProtection="1"/>
    <xf numFmtId="164" fontId="24" fillId="0" borderId="27" xfId="4" applyFont="1" applyFill="1" applyBorder="1" applyProtection="1"/>
    <xf numFmtId="0" fontId="26" fillId="4" borderId="14" xfId="0" applyFont="1" applyFill="1" applyBorder="1" applyAlignment="1">
      <alignment horizontal="center"/>
    </xf>
    <xf numFmtId="164" fontId="25" fillId="3" borderId="9" xfId="4" applyFont="1" applyFill="1" applyBorder="1" applyAlignment="1">
      <alignment horizontal="center"/>
    </xf>
    <xf numFmtId="164" fontId="25" fillId="3" borderId="11" xfId="4" applyFont="1" applyFill="1" applyBorder="1"/>
    <xf numFmtId="164" fontId="43" fillId="5" borderId="11" xfId="4" applyFont="1" applyFill="1" applyBorder="1" applyProtection="1"/>
    <xf numFmtId="44" fontId="23" fillId="0" borderId="0" xfId="1" applyFont="1" applyBorder="1" applyAlignment="1">
      <alignment horizontal="center" vertical="center"/>
    </xf>
    <xf numFmtId="4" fontId="18" fillId="0" borderId="0" xfId="0" applyNumberFormat="1" applyFont="1" applyAlignment="1">
      <alignment horizontal="center"/>
    </xf>
    <xf numFmtId="165" fontId="23" fillId="0" borderId="0" xfId="0" applyNumberFormat="1" applyFont="1" applyAlignment="1">
      <alignment horizontal="center" vertical="center"/>
    </xf>
    <xf numFmtId="164" fontId="25" fillId="2" borderId="36" xfId="4" applyFont="1" applyFill="1" applyBorder="1"/>
    <xf numFmtId="164" fontId="25" fillId="3" borderId="7" xfId="4" applyFont="1" applyFill="1" applyBorder="1"/>
    <xf numFmtId="9" fontId="14" fillId="0" borderId="2" xfId="0" applyNumberFormat="1" applyFont="1" applyBorder="1" applyAlignment="1">
      <alignment horizontal="center" vertical="center" wrapText="1"/>
    </xf>
    <xf numFmtId="9" fontId="14" fillId="0" borderId="37" xfId="0" applyNumberFormat="1" applyFont="1" applyBorder="1" applyAlignment="1">
      <alignment horizontal="center" vertical="center" wrapText="1"/>
    </xf>
    <xf numFmtId="4" fontId="24" fillId="0" borderId="7" xfId="0" applyNumberFormat="1" applyFont="1" applyBorder="1"/>
    <xf numFmtId="164" fontId="24" fillId="0" borderId="7" xfId="4" applyFont="1" applyFill="1" applyBorder="1" applyProtection="1"/>
    <xf numFmtId="164" fontId="25" fillId="2" borderId="7" xfId="4" applyFont="1" applyFill="1" applyBorder="1"/>
    <xf numFmtId="9" fontId="38" fillId="6" borderId="3" xfId="0" applyNumberFormat="1" applyFont="1" applyFill="1" applyBorder="1" applyAlignment="1">
      <alignment horizontal="center" vertical="center" wrapText="1"/>
    </xf>
    <xf numFmtId="0" fontId="26" fillId="4" borderId="22" xfId="0" applyFont="1" applyFill="1" applyBorder="1" applyAlignment="1">
      <alignment horizontal="center"/>
    </xf>
    <xf numFmtId="168" fontId="32" fillId="4" borderId="14" xfId="4" applyNumberFormat="1" applyFont="1" applyFill="1" applyBorder="1"/>
    <xf numFmtId="168" fontId="32" fillId="0" borderId="14" xfId="4" applyNumberFormat="1" applyFont="1" applyBorder="1"/>
    <xf numFmtId="0" fontId="26" fillId="4" borderId="23" xfId="0" applyFont="1" applyFill="1" applyBorder="1" applyAlignment="1">
      <alignment horizontal="center"/>
    </xf>
    <xf numFmtId="164" fontId="24" fillId="4" borderId="17" xfId="4" applyFont="1" applyFill="1" applyBorder="1" applyProtection="1"/>
    <xf numFmtId="4" fontId="24" fillId="4" borderId="17" xfId="0" applyNumberFormat="1" applyFont="1" applyFill="1" applyBorder="1"/>
    <xf numFmtId="164" fontId="25" fillId="4" borderId="17" xfId="4" applyFont="1" applyFill="1" applyBorder="1" applyAlignment="1">
      <alignment horizontal="center"/>
    </xf>
    <xf numFmtId="164" fontId="25" fillId="4" borderId="20" xfId="4" applyFont="1" applyFill="1" applyBorder="1"/>
    <xf numFmtId="0" fontId="26" fillId="0" borderId="22" xfId="0" applyFont="1" applyBorder="1" applyAlignment="1">
      <alignment horizontal="center"/>
    </xf>
    <xf numFmtId="168" fontId="24" fillId="0" borderId="30" xfId="4" applyNumberFormat="1" applyFont="1" applyFill="1" applyBorder="1" applyProtection="1"/>
    <xf numFmtId="168" fontId="24" fillId="0" borderId="17" xfId="0" applyNumberFormat="1" applyFont="1" applyBorder="1"/>
    <xf numFmtId="0" fontId="26" fillId="0" borderId="0" xfId="0" applyFont="1"/>
    <xf numFmtId="4" fontId="24" fillId="4" borderId="27" xfId="0" applyNumberFormat="1" applyFont="1" applyFill="1" applyBorder="1"/>
    <xf numFmtId="0" fontId="26" fillId="0" borderId="24" xfId="0" applyFont="1" applyBorder="1"/>
    <xf numFmtId="0" fontId="17" fillId="0" borderId="33" xfId="0" applyFont="1" applyBorder="1" applyAlignment="1">
      <alignment vertical="center"/>
    </xf>
    <xf numFmtId="168" fontId="17" fillId="0" borderId="33" xfId="0" applyNumberFormat="1" applyFont="1" applyBorder="1" applyAlignment="1">
      <alignment vertical="center"/>
    </xf>
    <xf numFmtId="0" fontId="4" fillId="0" borderId="33" xfId="0" applyFont="1" applyBorder="1" applyAlignment="1">
      <alignment vertical="center"/>
    </xf>
    <xf numFmtId="164" fontId="25" fillId="4" borderId="16" xfId="4" applyFont="1" applyFill="1" applyBorder="1"/>
    <xf numFmtId="168" fontId="32" fillId="4" borderId="7" xfId="4" applyNumberFormat="1" applyFont="1" applyFill="1" applyBorder="1"/>
    <xf numFmtId="0" fontId="26" fillId="4" borderId="38" xfId="0" applyFont="1" applyFill="1" applyBorder="1" applyAlignment="1">
      <alignment horizontal="center"/>
    </xf>
    <xf numFmtId="0" fontId="36" fillId="4" borderId="0" xfId="0" applyFont="1" applyFill="1"/>
    <xf numFmtId="14" fontId="37" fillId="0" borderId="3" xfId="0" applyNumberFormat="1" applyFont="1" applyBorder="1"/>
    <xf numFmtId="165" fontId="36" fillId="3" borderId="0" xfId="0" applyNumberFormat="1" applyFont="1" applyFill="1"/>
    <xf numFmtId="164" fontId="43" fillId="5" borderId="21" xfId="4" applyFont="1" applyFill="1" applyBorder="1" applyProtection="1"/>
    <xf numFmtId="4" fontId="24" fillId="4" borderId="18" xfId="0" applyNumberFormat="1" applyFont="1" applyFill="1" applyBorder="1"/>
    <xf numFmtId="164" fontId="43" fillId="5" borderId="18" xfId="4" applyFont="1" applyFill="1" applyBorder="1" applyProtection="1"/>
    <xf numFmtId="164" fontId="25" fillId="4" borderId="31" xfId="4" applyFont="1" applyFill="1" applyBorder="1" applyAlignment="1">
      <alignment horizontal="center"/>
    </xf>
    <xf numFmtId="4" fontId="24" fillId="4" borderId="21" xfId="0" applyNumberFormat="1" applyFont="1" applyFill="1" applyBorder="1"/>
    <xf numFmtId="4" fontId="24" fillId="4" borderId="6" xfId="0" applyNumberFormat="1" applyFont="1" applyFill="1" applyBorder="1"/>
    <xf numFmtId="0" fontId="26" fillId="4" borderId="5" xfId="0" applyFont="1" applyFill="1" applyBorder="1" applyAlignment="1">
      <alignment horizontal="center"/>
    </xf>
    <xf numFmtId="0" fontId="26" fillId="4" borderId="16" xfId="0" applyFont="1" applyFill="1" applyBorder="1" applyAlignment="1">
      <alignment horizontal="center"/>
    </xf>
    <xf numFmtId="164" fontId="24" fillId="4" borderId="18" xfId="4" applyFont="1" applyFill="1" applyBorder="1" applyProtection="1"/>
    <xf numFmtId="0" fontId="26" fillId="4" borderId="12" xfId="0" applyFont="1" applyFill="1" applyBorder="1" applyAlignment="1">
      <alignment horizontal="center"/>
    </xf>
    <xf numFmtId="9" fontId="14" fillId="6" borderId="1" xfId="0" applyNumberFormat="1" applyFont="1" applyFill="1" applyBorder="1" applyAlignment="1">
      <alignment horizontal="center" vertical="center" wrapText="1"/>
    </xf>
    <xf numFmtId="169" fontId="32" fillId="0" borderId="14" xfId="4" applyNumberFormat="1" applyFont="1" applyBorder="1"/>
    <xf numFmtId="169" fontId="32" fillId="0" borderId="6" xfId="4" applyNumberFormat="1" applyFont="1" applyBorder="1"/>
    <xf numFmtId="169" fontId="17" fillId="0" borderId="0" xfId="0" applyNumberFormat="1" applyFont="1" applyAlignment="1">
      <alignment vertical="center"/>
    </xf>
    <xf numFmtId="169" fontId="32" fillId="0" borderId="7" xfId="4" applyNumberFormat="1" applyFont="1" applyBorder="1"/>
    <xf numFmtId="169" fontId="24" fillId="0" borderId="30" xfId="4" applyNumberFormat="1" applyFont="1" applyFill="1" applyBorder="1" applyProtection="1"/>
    <xf numFmtId="0" fontId="4" fillId="0" borderId="0" xfId="0" applyFont="1" applyAlignment="1">
      <alignment horizontal="right"/>
    </xf>
    <xf numFmtId="17" fontId="4" fillId="0" borderId="0" xfId="0" applyNumberFormat="1" applyFont="1"/>
    <xf numFmtId="164" fontId="25" fillId="4" borderId="5" xfId="4" applyFont="1" applyFill="1" applyBorder="1" applyAlignment="1">
      <alignment horizontal="center"/>
    </xf>
    <xf numFmtId="0" fontId="35" fillId="7" borderId="0" xfId="0" applyFont="1" applyFill="1"/>
    <xf numFmtId="0" fontId="49" fillId="7" borderId="0" xfId="0" applyFont="1" applyFill="1"/>
    <xf numFmtId="164" fontId="25" fillId="4" borderId="27" xfId="4" applyFont="1" applyFill="1" applyBorder="1"/>
    <xf numFmtId="164" fontId="25" fillId="4" borderId="35" xfId="4" applyFont="1" applyFill="1" applyBorder="1"/>
    <xf numFmtId="4" fontId="24" fillId="4" borderId="7" xfId="0" applyNumberFormat="1" applyFont="1" applyFill="1" applyBorder="1"/>
    <xf numFmtId="165" fontId="41" fillId="3" borderId="0" xfId="0" applyNumberFormat="1" applyFont="1" applyFill="1" applyAlignment="1">
      <alignment horizontal="center"/>
    </xf>
    <xf numFmtId="4" fontId="24" fillId="0" borderId="40" xfId="0" applyNumberFormat="1" applyFont="1" applyBorder="1"/>
    <xf numFmtId="164" fontId="25" fillId="4" borderId="26" xfId="4" applyFont="1" applyFill="1" applyBorder="1"/>
    <xf numFmtId="9" fontId="14" fillId="5" borderId="4" xfId="0" quotePrefix="1" applyNumberFormat="1" applyFont="1" applyFill="1" applyBorder="1"/>
    <xf numFmtId="0" fontId="52" fillId="5" borderId="0" xfId="0" applyFont="1" applyFill="1" applyAlignment="1">
      <alignment horizontal="center"/>
    </xf>
    <xf numFmtId="17" fontId="36" fillId="5" borderId="0" xfId="0" applyNumberFormat="1" applyFont="1" applyFill="1"/>
    <xf numFmtId="0" fontId="53" fillId="0" borderId="0" xfId="0" applyFont="1" applyAlignment="1">
      <alignment horizontal="center"/>
    </xf>
    <xf numFmtId="0" fontId="53" fillId="4" borderId="42" xfId="0" applyFont="1" applyFill="1" applyBorder="1" applyAlignment="1">
      <alignment horizontal="center"/>
    </xf>
    <xf numFmtId="17" fontId="30" fillId="8" borderId="43" xfId="0" applyNumberFormat="1" applyFont="1" applyFill="1" applyBorder="1" applyAlignment="1">
      <alignment horizontal="center" vertical="center" wrapText="1"/>
    </xf>
    <xf numFmtId="164" fontId="30" fillId="9" borderId="43" xfId="4" applyFont="1" applyFill="1" applyBorder="1" applyAlignment="1">
      <alignment horizontal="center" vertical="center" wrapText="1"/>
    </xf>
    <xf numFmtId="0" fontId="30" fillId="8" borderId="43" xfId="0" applyFont="1" applyFill="1" applyBorder="1" applyAlignment="1">
      <alignment horizontal="center" vertical="center" wrapText="1"/>
    </xf>
    <xf numFmtId="170" fontId="30" fillId="8" borderId="43" xfId="0" applyNumberFormat="1" applyFont="1" applyFill="1" applyBorder="1" applyAlignment="1">
      <alignment horizontal="center" vertical="center" wrapText="1"/>
    </xf>
    <xf numFmtId="0" fontId="26" fillId="4" borderId="41" xfId="0" applyFont="1" applyFill="1" applyBorder="1" applyAlignment="1">
      <alignment horizontal="center"/>
    </xf>
    <xf numFmtId="164" fontId="24" fillId="0" borderId="40" xfId="4" applyFont="1" applyFill="1" applyBorder="1" applyProtection="1"/>
    <xf numFmtId="4" fontId="24" fillId="4" borderId="31" xfId="0" applyNumberFormat="1" applyFont="1" applyFill="1" applyBorder="1"/>
    <xf numFmtId="4" fontId="24" fillId="4" borderId="19" xfId="0" applyNumberFormat="1" applyFont="1" applyFill="1" applyBorder="1"/>
    <xf numFmtId="164" fontId="32" fillId="3" borderId="14" xfId="4" applyFont="1" applyFill="1" applyBorder="1"/>
    <xf numFmtId="165" fontId="25" fillId="3" borderId="14" xfId="0" applyNumberFormat="1" applyFont="1" applyFill="1" applyBorder="1" applyAlignment="1">
      <alignment horizontal="center"/>
    </xf>
    <xf numFmtId="0" fontId="25" fillId="3" borderId="14" xfId="0" applyFont="1" applyFill="1" applyBorder="1" applyAlignment="1">
      <alignment horizontal="center"/>
    </xf>
    <xf numFmtId="164" fontId="32" fillId="0" borderId="14" xfId="4" applyFont="1" applyBorder="1"/>
    <xf numFmtId="164" fontId="32" fillId="3" borderId="7" xfId="4" applyFont="1" applyFill="1" applyBorder="1"/>
    <xf numFmtId="165" fontId="25" fillId="3" borderId="7" xfId="0" applyNumberFormat="1" applyFont="1" applyFill="1" applyBorder="1" applyAlignment="1">
      <alignment horizontal="center"/>
    </xf>
    <xf numFmtId="9" fontId="27" fillId="0" borderId="1" xfId="0" applyNumberFormat="1" applyFont="1" applyBorder="1" applyAlignment="1">
      <alignment horizontal="center" vertical="center" wrapText="1"/>
    </xf>
    <xf numFmtId="165" fontId="27" fillId="0" borderId="1" xfId="0" applyNumberFormat="1" applyFont="1" applyBorder="1" applyAlignment="1">
      <alignment horizontal="center" vertical="center" wrapText="1"/>
    </xf>
    <xf numFmtId="165" fontId="27" fillId="5" borderId="1" xfId="0" applyNumberFormat="1" applyFont="1" applyFill="1" applyBorder="1" applyAlignment="1">
      <alignment horizontal="center" vertical="center" wrapText="1"/>
    </xf>
    <xf numFmtId="17" fontId="0" fillId="0" borderId="0" xfId="0" applyNumberFormat="1"/>
    <xf numFmtId="165" fontId="55" fillId="0" borderId="0" xfId="0" applyNumberFormat="1" applyFont="1"/>
    <xf numFmtId="0" fontId="55" fillId="0" borderId="0" xfId="0" applyFont="1"/>
    <xf numFmtId="164" fontId="32" fillId="4" borderId="7" xfId="4" applyFont="1" applyFill="1" applyBorder="1"/>
    <xf numFmtId="164" fontId="56" fillId="3" borderId="7" xfId="4" applyFont="1" applyFill="1" applyBorder="1"/>
    <xf numFmtId="164" fontId="57" fillId="0" borderId="14" xfId="4" applyFont="1" applyFill="1" applyBorder="1" applyProtection="1"/>
    <xf numFmtId="164" fontId="56" fillId="3" borderId="14" xfId="4" applyFont="1" applyFill="1" applyBorder="1"/>
    <xf numFmtId="0" fontId="26" fillId="3" borderId="14" xfId="0" applyFont="1" applyFill="1" applyBorder="1" applyAlignment="1">
      <alignment horizontal="center"/>
    </xf>
    <xf numFmtId="0" fontId="25" fillId="4" borderId="14" xfId="0" applyFont="1" applyFill="1" applyBorder="1" applyAlignment="1">
      <alignment horizontal="center"/>
    </xf>
    <xf numFmtId="164" fontId="32" fillId="4" borderId="14" xfId="4" applyFont="1" applyFill="1" applyBorder="1"/>
    <xf numFmtId="164" fontId="25" fillId="4" borderId="34" xfId="4" applyFont="1" applyFill="1" applyBorder="1"/>
    <xf numFmtId="167" fontId="32" fillId="0" borderId="6" xfId="4" applyNumberFormat="1" applyFont="1" applyBorder="1"/>
    <xf numFmtId="167" fontId="32" fillId="0" borderId="39" xfId="4" applyNumberFormat="1" applyFont="1" applyBorder="1"/>
    <xf numFmtId="0" fontId="30" fillId="0" borderId="0" xfId="0" applyFont="1" applyAlignment="1">
      <alignment vertical="center"/>
    </xf>
    <xf numFmtId="9" fontId="40" fillId="5" borderId="24" xfId="0" applyNumberFormat="1" applyFont="1" applyFill="1" applyBorder="1" applyAlignment="1">
      <alignment horizontal="center"/>
    </xf>
    <xf numFmtId="9" fontId="40" fillId="0" borderId="24" xfId="0" applyNumberFormat="1" applyFont="1" applyBorder="1" applyAlignment="1">
      <alignment horizontal="center"/>
    </xf>
    <xf numFmtId="165" fontId="24" fillId="0" borderId="41" xfId="0" applyNumberFormat="1" applyFont="1" applyBorder="1" applyAlignment="1">
      <alignment horizontal="center"/>
    </xf>
    <xf numFmtId="165" fontId="24" fillId="0" borderId="44" xfId="0" applyNumberFormat="1" applyFont="1" applyBorder="1" applyAlignment="1">
      <alignment horizontal="center"/>
    </xf>
    <xf numFmtId="4" fontId="24" fillId="4" borderId="45" xfId="0" applyNumberFormat="1" applyFont="1" applyFill="1" applyBorder="1"/>
    <xf numFmtId="164" fontId="24" fillId="4" borderId="47" xfId="4" applyFont="1" applyFill="1" applyBorder="1" applyProtection="1"/>
    <xf numFmtId="164" fontId="25" fillId="4" borderId="27" xfId="4" applyFont="1" applyFill="1" applyBorder="1" applyAlignment="1">
      <alignment horizontal="center"/>
    </xf>
    <xf numFmtId="0" fontId="36" fillId="10" borderId="0" xfId="0" applyFont="1" applyFill="1"/>
    <xf numFmtId="0" fontId="3" fillId="10" borderId="0" xfId="0" applyFont="1" applyFill="1"/>
    <xf numFmtId="9" fontId="40" fillId="0" borderId="4" xfId="0" applyNumberFormat="1" applyFont="1" applyBorder="1"/>
    <xf numFmtId="9" fontId="45" fillId="0" borderId="33" xfId="0" applyNumberFormat="1" applyFont="1" applyBorder="1"/>
    <xf numFmtId="9" fontId="40" fillId="5" borderId="4" xfId="0" applyNumberFormat="1" applyFont="1" applyFill="1" applyBorder="1"/>
    <xf numFmtId="9" fontId="45" fillId="5" borderId="33" xfId="0" applyNumberFormat="1" applyFont="1" applyFill="1" applyBorder="1"/>
    <xf numFmtId="172" fontId="30" fillId="0" borderId="0" xfId="0" applyNumberFormat="1" applyFont="1" applyAlignment="1">
      <alignment vertical="center"/>
    </xf>
    <xf numFmtId="9" fontId="40" fillId="0" borderId="25" xfId="0" applyNumberFormat="1" applyFont="1" applyBorder="1" applyAlignment="1">
      <alignment horizontal="center" vertical="center" wrapText="1"/>
    </xf>
    <xf numFmtId="9" fontId="40" fillId="0" borderId="50" xfId="0" applyNumberFormat="1" applyFont="1" applyBorder="1" applyAlignment="1">
      <alignment horizontal="center" vertical="center" wrapText="1"/>
    </xf>
    <xf numFmtId="9" fontId="40" fillId="6" borderId="0" xfId="0" applyNumberFormat="1" applyFont="1" applyFill="1" applyAlignment="1">
      <alignment horizontal="center" vertical="center" wrapText="1"/>
    </xf>
    <xf numFmtId="9" fontId="40" fillId="0" borderId="32" xfId="0" applyNumberFormat="1" applyFont="1" applyBorder="1" applyAlignment="1">
      <alignment horizontal="center" vertical="center" wrapText="1"/>
    </xf>
    <xf numFmtId="9" fontId="40" fillId="0" borderId="29" xfId="0" applyNumberFormat="1" applyFont="1" applyBorder="1" applyAlignment="1">
      <alignment horizontal="center" vertical="center" wrapText="1"/>
    </xf>
    <xf numFmtId="9" fontId="40" fillId="0" borderId="51" xfId="0" applyNumberFormat="1" applyFont="1" applyBorder="1" applyAlignment="1">
      <alignment horizontal="center" vertical="center" wrapText="1"/>
    </xf>
    <xf numFmtId="10" fontId="32" fillId="0" borderId="46" xfId="0" applyNumberFormat="1" applyFont="1" applyBorder="1"/>
    <xf numFmtId="4" fontId="24" fillId="4" borderId="40" xfId="0" applyNumberFormat="1" applyFont="1" applyFill="1" applyBorder="1"/>
    <xf numFmtId="164" fontId="24" fillId="0" borderId="13" xfId="4" applyFont="1" applyFill="1" applyBorder="1" applyProtection="1"/>
    <xf numFmtId="164" fontId="24" fillId="4" borderId="10" xfId="4" applyFont="1" applyFill="1" applyBorder="1" applyProtection="1"/>
    <xf numFmtId="164" fontId="24" fillId="0" borderId="10" xfId="4" applyFont="1" applyFill="1" applyBorder="1" applyProtection="1"/>
    <xf numFmtId="164" fontId="24" fillId="0" borderId="20" xfId="4" applyFont="1" applyFill="1" applyBorder="1" applyProtection="1"/>
    <xf numFmtId="168" fontId="32" fillId="4" borderId="6" xfId="4" applyNumberFormat="1" applyFont="1" applyFill="1" applyBorder="1"/>
    <xf numFmtId="164" fontId="24" fillId="0" borderId="39" xfId="4" applyFont="1" applyFill="1" applyBorder="1" applyProtection="1"/>
    <xf numFmtId="168" fontId="32" fillId="4" borderId="17" xfId="4" applyNumberFormat="1" applyFont="1" applyFill="1" applyBorder="1"/>
    <xf numFmtId="164" fontId="24" fillId="0" borderId="46" xfId="4" applyFont="1" applyFill="1" applyBorder="1" applyProtection="1"/>
    <xf numFmtId="168" fontId="32" fillId="4" borderId="27" xfId="4" applyNumberFormat="1" applyFont="1" applyFill="1" applyBorder="1"/>
    <xf numFmtId="164" fontId="24" fillId="4" borderId="6" xfId="4" applyFont="1" applyFill="1" applyBorder="1" applyProtection="1"/>
    <xf numFmtId="164" fontId="48" fillId="2" borderId="21" xfId="4" applyFont="1" applyFill="1" applyBorder="1"/>
    <xf numFmtId="164" fontId="48" fillId="4" borderId="11" xfId="4" applyFont="1" applyFill="1" applyBorder="1"/>
    <xf numFmtId="164" fontId="48" fillId="2" borderId="11" xfId="4" applyFont="1" applyFill="1" applyBorder="1"/>
    <xf numFmtId="164" fontId="48" fillId="4" borderId="47" xfId="4" applyFont="1" applyFill="1" applyBorder="1"/>
    <xf numFmtId="164" fontId="48" fillId="4" borderId="18" xfId="4" applyFont="1" applyFill="1" applyBorder="1"/>
    <xf numFmtId="164" fontId="48" fillId="2" borderId="40" xfId="4" applyFont="1" applyFill="1" applyBorder="1"/>
    <xf numFmtId="164" fontId="25" fillId="4" borderId="48" xfId="4" applyFont="1" applyFill="1" applyBorder="1"/>
    <xf numFmtId="164" fontId="25" fillId="2" borderId="49" xfId="4" applyFont="1" applyFill="1" applyBorder="1"/>
    <xf numFmtId="164" fontId="25" fillId="4" borderId="10" xfId="4" applyFont="1" applyFill="1" applyBorder="1" applyAlignment="1">
      <alignment horizontal="center"/>
    </xf>
    <xf numFmtId="164" fontId="25" fillId="4" borderId="44" xfId="4" applyFont="1" applyFill="1" applyBorder="1"/>
    <xf numFmtId="164" fontId="25" fillId="4" borderId="35" xfId="4" applyFont="1" applyFill="1" applyBorder="1" applyAlignment="1">
      <alignment horizontal="center"/>
    </xf>
    <xf numFmtId="164" fontId="25" fillId="4" borderId="20" xfId="4" applyFont="1" applyFill="1" applyBorder="1" applyAlignment="1">
      <alignment horizontal="center"/>
    </xf>
    <xf numFmtId="164" fontId="25" fillId="2" borderId="41" xfId="4" applyFont="1" applyFill="1" applyBorder="1"/>
    <xf numFmtId="164" fontId="25" fillId="4" borderId="47" xfId="4" applyFont="1" applyFill="1" applyBorder="1"/>
    <xf numFmtId="164" fontId="25" fillId="2" borderId="40" xfId="4" applyFont="1" applyFill="1" applyBorder="1"/>
    <xf numFmtId="164" fontId="25" fillId="3" borderId="12" xfId="4" applyFont="1" applyFill="1" applyBorder="1"/>
    <xf numFmtId="164" fontId="25" fillId="3" borderId="41" xfId="4" applyFont="1" applyFill="1" applyBorder="1"/>
    <xf numFmtId="164" fontId="39" fillId="2" borderId="13" xfId="4" applyFont="1" applyFill="1" applyBorder="1"/>
    <xf numFmtId="164" fontId="39" fillId="4" borderId="10" xfId="4" applyFont="1" applyFill="1" applyBorder="1" applyAlignment="1">
      <alignment horizontal="center"/>
    </xf>
    <xf numFmtId="164" fontId="39" fillId="2" borderId="10" xfId="4" applyFont="1" applyFill="1" applyBorder="1"/>
    <xf numFmtId="164" fontId="39" fillId="4" borderId="20" xfId="4" applyFont="1" applyFill="1" applyBorder="1" applyAlignment="1">
      <alignment horizontal="center"/>
    </xf>
    <xf numFmtId="164" fontId="25" fillId="4" borderId="22" xfId="4" applyFont="1" applyFill="1" applyBorder="1" applyAlignment="1">
      <alignment horizontal="center"/>
    </xf>
    <xf numFmtId="4" fontId="24" fillId="4" borderId="13" xfId="0" applyNumberFormat="1" applyFont="1" applyFill="1" applyBorder="1"/>
    <xf numFmtId="4" fontId="24" fillId="4" borderId="10" xfId="0" applyNumberFormat="1" applyFont="1" applyFill="1" applyBorder="1"/>
    <xf numFmtId="165" fontId="24" fillId="4" borderId="16" xfId="0" applyNumberFormat="1" applyFont="1" applyFill="1" applyBorder="1" applyAlignment="1">
      <alignment horizontal="center"/>
    </xf>
    <xf numFmtId="9" fontId="54" fillId="9" borderId="0" xfId="0" applyNumberFormat="1" applyFont="1" applyFill="1" applyAlignment="1">
      <alignment horizontal="center"/>
    </xf>
    <xf numFmtId="171" fontId="30" fillId="8" borderId="43" xfId="3" applyNumberFormat="1" applyFont="1" applyFill="1" applyBorder="1" applyAlignment="1">
      <alignment vertical="center" wrapText="1"/>
    </xf>
    <xf numFmtId="164" fontId="30" fillId="9" borderId="52" xfId="4" applyFont="1" applyFill="1" applyBorder="1" applyAlignment="1">
      <alignment horizontal="center" vertical="center" wrapText="1"/>
    </xf>
    <xf numFmtId="10" fontId="32" fillId="0" borderId="17" xfId="0" applyNumberFormat="1" applyFont="1" applyBorder="1"/>
    <xf numFmtId="0" fontId="26" fillId="4" borderId="44" xfId="0" applyFont="1" applyFill="1" applyBorder="1" applyAlignment="1">
      <alignment horizontal="center"/>
    </xf>
    <xf numFmtId="169" fontId="32" fillId="0" borderId="46" xfId="4" applyNumberFormat="1" applyFont="1" applyBorder="1"/>
    <xf numFmtId="10" fontId="32" fillId="0" borderId="27" xfId="0" applyNumberFormat="1" applyFont="1" applyBorder="1"/>
    <xf numFmtId="165" fontId="24" fillId="4" borderId="41" xfId="0" applyNumberFormat="1" applyFont="1" applyFill="1" applyBorder="1" applyAlignment="1">
      <alignment horizontal="center"/>
    </xf>
    <xf numFmtId="165" fontId="24" fillId="4" borderId="12" xfId="0" applyNumberFormat="1" applyFont="1" applyFill="1" applyBorder="1" applyAlignment="1">
      <alignment horizontal="center"/>
    </xf>
    <xf numFmtId="164" fontId="47" fillId="2" borderId="13" xfId="4" applyFont="1" applyFill="1" applyBorder="1"/>
    <xf numFmtId="164" fontId="47" fillId="4" borderId="10" xfId="4" applyFont="1" applyFill="1" applyBorder="1"/>
    <xf numFmtId="164" fontId="47" fillId="2" borderId="10" xfId="4" applyFont="1" applyFill="1" applyBorder="1"/>
    <xf numFmtId="164" fontId="47" fillId="4" borderId="20" xfId="4" applyFont="1" applyFill="1" applyBorder="1"/>
    <xf numFmtId="164" fontId="39" fillId="4" borderId="35" xfId="4" applyFont="1" applyFill="1" applyBorder="1" applyAlignment="1">
      <alignment horizontal="center"/>
    </xf>
    <xf numFmtId="164" fontId="39" fillId="2" borderId="36" xfId="4" applyFont="1" applyFill="1" applyBorder="1"/>
    <xf numFmtId="164" fontId="43" fillId="5" borderId="40" xfId="4" applyFont="1" applyFill="1" applyBorder="1" applyProtection="1"/>
    <xf numFmtId="164" fontId="25" fillId="2" borderId="38" xfId="4" applyFont="1" applyFill="1" applyBorder="1"/>
    <xf numFmtId="164" fontId="25" fillId="2" borderId="53" xfId="4" applyFont="1" applyFill="1" applyBorder="1"/>
    <xf numFmtId="164" fontId="25" fillId="3" borderId="49" xfId="4" applyFont="1" applyFill="1" applyBorder="1"/>
    <xf numFmtId="164" fontId="25" fillId="2" borderId="54" xfId="4" applyFont="1" applyFill="1" applyBorder="1"/>
    <xf numFmtId="4" fontId="24" fillId="4" borderId="47" xfId="0" applyNumberFormat="1" applyFont="1" applyFill="1" applyBorder="1"/>
    <xf numFmtId="164" fontId="43" fillId="5" borderId="47" xfId="4" applyFont="1" applyFill="1" applyBorder="1" applyProtection="1"/>
    <xf numFmtId="164" fontId="25" fillId="4" borderId="45" xfId="4" applyFont="1" applyFill="1" applyBorder="1" applyAlignment="1">
      <alignment horizontal="center"/>
    </xf>
    <xf numFmtId="164" fontId="25" fillId="3" borderId="54" xfId="4" applyFont="1" applyFill="1" applyBorder="1" applyAlignment="1">
      <alignment horizontal="center"/>
    </xf>
    <xf numFmtId="164" fontId="25" fillId="3" borderId="13" xfId="4" applyFont="1" applyFill="1" applyBorder="1"/>
    <xf numFmtId="164" fontId="25" fillId="3" borderId="21" xfId="4" applyFont="1" applyFill="1" applyBorder="1"/>
    <xf numFmtId="0" fontId="26" fillId="4" borderId="55" xfId="0" applyFont="1" applyFill="1" applyBorder="1" applyAlignment="1">
      <alignment horizontal="center"/>
    </xf>
    <xf numFmtId="164" fontId="42" fillId="4" borderId="56" xfId="4" applyFont="1" applyFill="1" applyBorder="1" applyProtection="1"/>
    <xf numFmtId="167" fontId="32" fillId="0" borderId="14" xfId="4" applyNumberFormat="1" applyFont="1" applyBorder="1"/>
    <xf numFmtId="0" fontId="26" fillId="4" borderId="57" xfId="0" applyFont="1" applyFill="1" applyBorder="1" applyAlignment="1">
      <alignment horizontal="center"/>
    </xf>
    <xf numFmtId="164" fontId="43" fillId="5" borderId="58" xfId="4" applyFont="1" applyFill="1" applyBorder="1" applyProtection="1"/>
    <xf numFmtId="164" fontId="43" fillId="5" borderId="56" xfId="4" applyFont="1" applyFill="1" applyBorder="1" applyProtection="1"/>
    <xf numFmtId="165" fontId="24" fillId="0" borderId="14" xfId="0" applyNumberFormat="1" applyFont="1" applyBorder="1" applyAlignment="1">
      <alignment horizontal="center"/>
    </xf>
    <xf numFmtId="165" fontId="24" fillId="0" borderId="6" xfId="0" applyNumberFormat="1" applyFont="1" applyBorder="1" applyAlignment="1">
      <alignment horizontal="center"/>
    </xf>
    <xf numFmtId="169" fontId="32" fillId="0" borderId="17" xfId="4" applyNumberFormat="1" applyFont="1" applyBorder="1"/>
    <xf numFmtId="4" fontId="30" fillId="0" borderId="0" xfId="0" applyNumberFormat="1" applyFont="1" applyAlignment="1">
      <alignment vertical="center"/>
    </xf>
    <xf numFmtId="10" fontId="30" fillId="0" borderId="0" xfId="0" applyNumberFormat="1" applyFont="1" applyAlignment="1">
      <alignment vertical="center"/>
    </xf>
    <xf numFmtId="165" fontId="24" fillId="0" borderId="28" xfId="0" applyNumberFormat="1" applyFont="1" applyBorder="1" applyAlignment="1">
      <alignment horizontal="center"/>
    </xf>
    <xf numFmtId="165" fontId="24" fillId="4" borderId="8" xfId="0" applyNumberFormat="1" applyFont="1" applyFill="1" applyBorder="1" applyAlignment="1">
      <alignment horizontal="center"/>
    </xf>
    <xf numFmtId="165" fontId="24" fillId="0" borderId="8" xfId="0" applyNumberFormat="1" applyFont="1" applyBorder="1" applyAlignment="1">
      <alignment horizontal="center"/>
    </xf>
    <xf numFmtId="165" fontId="24" fillId="4" borderId="19" xfId="0" applyNumberFormat="1" applyFont="1" applyFill="1" applyBorder="1" applyAlignment="1">
      <alignment horizontal="center"/>
    </xf>
    <xf numFmtId="165" fontId="24" fillId="4" borderId="48" xfId="0" applyNumberFormat="1" applyFont="1" applyFill="1" applyBorder="1" applyAlignment="1">
      <alignment horizontal="center"/>
    </xf>
    <xf numFmtId="169" fontId="32" fillId="0" borderId="27" xfId="4" applyNumberFormat="1" applyFont="1" applyBorder="1"/>
    <xf numFmtId="165" fontId="24" fillId="4" borderId="27" xfId="0" applyNumberFormat="1" applyFont="1" applyFill="1" applyBorder="1" applyAlignment="1">
      <alignment horizontal="center"/>
    </xf>
    <xf numFmtId="164" fontId="48" fillId="2" borderId="59" xfId="4" applyFont="1" applyFill="1" applyBorder="1"/>
    <xf numFmtId="164" fontId="48" fillId="4" borderId="55" xfId="4" applyFont="1" applyFill="1" applyBorder="1"/>
    <xf numFmtId="164" fontId="48" fillId="2" borderId="55" xfId="4" applyFont="1" applyFill="1" applyBorder="1"/>
    <xf numFmtId="164" fontId="48" fillId="4" borderId="57" xfId="4" applyFont="1" applyFill="1" applyBorder="1"/>
    <xf numFmtId="164" fontId="48" fillId="4" borderId="60" xfId="4" applyFont="1" applyFill="1" applyBorder="1"/>
    <xf numFmtId="0" fontId="26" fillId="4" borderId="59" xfId="0" applyFont="1" applyFill="1" applyBorder="1" applyAlignment="1">
      <alignment horizontal="center"/>
    </xf>
    <xf numFmtId="165" fontId="24" fillId="0" borderId="49" xfId="0" applyNumberFormat="1" applyFont="1" applyBorder="1" applyAlignment="1">
      <alignment horizontal="center"/>
    </xf>
    <xf numFmtId="164" fontId="48" fillId="4" borderId="9" xfId="4" applyFont="1" applyFill="1" applyBorder="1"/>
    <xf numFmtId="164" fontId="48" fillId="2" borderId="9" xfId="4" applyFont="1" applyFill="1" applyBorder="1"/>
    <xf numFmtId="164" fontId="48" fillId="4" borderId="45" xfId="4" applyFont="1" applyFill="1" applyBorder="1"/>
    <xf numFmtId="164" fontId="24" fillId="4" borderId="20" xfId="4" applyFont="1" applyFill="1" applyBorder="1" applyProtection="1"/>
    <xf numFmtId="0" fontId="26" fillId="4" borderId="60" xfId="0" applyFont="1" applyFill="1" applyBorder="1" applyAlignment="1">
      <alignment horizontal="center"/>
    </xf>
    <xf numFmtId="164" fontId="48" fillId="2" borderId="53" xfId="4" applyFont="1" applyFill="1" applyBorder="1"/>
    <xf numFmtId="164" fontId="48" fillId="2" borderId="58" xfId="4" applyFont="1" applyFill="1" applyBorder="1"/>
    <xf numFmtId="164" fontId="48" fillId="4" borderId="56" xfId="4" applyFont="1" applyFill="1" applyBorder="1"/>
    <xf numFmtId="164" fontId="48" fillId="2" borderId="56" xfId="4" applyFont="1" applyFill="1" applyBorder="1"/>
    <xf numFmtId="164" fontId="48" fillId="4" borderId="61" xfId="4" applyFont="1" applyFill="1" applyBorder="1"/>
    <xf numFmtId="164" fontId="24" fillId="0" borderId="36" xfId="4" applyFont="1" applyFill="1" applyBorder="1" applyProtection="1"/>
    <xf numFmtId="9" fontId="40" fillId="6" borderId="0" xfId="0" applyNumberFormat="1" applyFont="1" applyFill="1" applyBorder="1" applyAlignment="1">
      <alignment horizontal="center" vertical="center" wrapText="1"/>
    </xf>
    <xf numFmtId="9" fontId="40" fillId="0" borderId="32" xfId="0" applyNumberFormat="1" applyFont="1" applyBorder="1" applyAlignment="1">
      <alignment horizontal="left" vertical="center" wrapText="1"/>
    </xf>
    <xf numFmtId="9" fontId="40" fillId="0" borderId="51" xfId="0" applyNumberFormat="1" applyFont="1" applyBorder="1" applyAlignment="1">
      <alignment horizontal="left" vertical="center" wrapText="1"/>
    </xf>
    <xf numFmtId="0" fontId="30" fillId="4" borderId="0" xfId="0" applyFont="1" applyFill="1" applyBorder="1"/>
    <xf numFmtId="17" fontId="36" fillId="4" borderId="0" xfId="0" applyNumberFormat="1" applyFont="1" applyFill="1" applyAlignment="1">
      <alignment horizontal="center" vertical="center"/>
    </xf>
    <xf numFmtId="164" fontId="24" fillId="4" borderId="35" xfId="4" applyFont="1" applyFill="1" applyBorder="1" applyProtection="1"/>
    <xf numFmtId="164" fontId="47" fillId="4" borderId="35" xfId="4" applyFont="1" applyFill="1" applyBorder="1"/>
    <xf numFmtId="164" fontId="47" fillId="2" borderId="36" xfId="4" applyFont="1" applyFill="1" applyBorder="1"/>
    <xf numFmtId="10" fontId="32" fillId="0" borderId="30" xfId="0" applyNumberFormat="1" applyFont="1" applyBorder="1"/>
    <xf numFmtId="164" fontId="43" fillId="5" borderId="13" xfId="4" applyFont="1" applyFill="1" applyBorder="1" applyProtection="1"/>
    <xf numFmtId="164" fontId="43" fillId="5" borderId="10" xfId="4" applyFont="1" applyFill="1" applyBorder="1" applyProtection="1"/>
    <xf numFmtId="164" fontId="43" fillId="5" borderId="20" xfId="4" applyFont="1" applyFill="1" applyBorder="1" applyProtection="1"/>
    <xf numFmtId="9" fontId="14" fillId="0" borderId="34" xfId="0" applyNumberFormat="1" applyFont="1" applyBorder="1" applyAlignment="1">
      <alignment horizontal="center" vertical="center" wrapText="1"/>
    </xf>
    <xf numFmtId="169" fontId="17" fillId="0" borderId="33" xfId="0" applyNumberFormat="1" applyFont="1" applyBorder="1" applyAlignment="1">
      <alignment vertical="center"/>
    </xf>
    <xf numFmtId="0" fontId="3" fillId="0" borderId="33" xfId="0" applyFont="1" applyBorder="1"/>
    <xf numFmtId="9" fontId="40" fillId="5" borderId="0" xfId="0" applyNumberFormat="1" applyFont="1" applyFill="1" applyBorder="1" applyAlignment="1">
      <alignment horizontal="center"/>
    </xf>
    <xf numFmtId="9" fontId="40" fillId="0" borderId="0" xfId="0" applyNumberFormat="1" applyFont="1" applyBorder="1" applyAlignment="1">
      <alignment horizontal="center" vertical="center" wrapText="1"/>
    </xf>
    <xf numFmtId="164" fontId="25" fillId="2" borderId="0" xfId="4" applyFont="1" applyFill="1" applyBorder="1"/>
    <xf numFmtId="164" fontId="25" fillId="4" borderId="0" xfId="4" applyFont="1" applyFill="1" applyBorder="1"/>
    <xf numFmtId="164" fontId="25" fillId="0" borderId="0" xfId="4" applyFont="1" applyFill="1" applyBorder="1"/>
    <xf numFmtId="165" fontId="24" fillId="4" borderId="44" xfId="0" applyNumberFormat="1" applyFont="1" applyFill="1" applyBorder="1" applyAlignment="1">
      <alignment horizontal="center"/>
    </xf>
    <xf numFmtId="164" fontId="48" fillId="4" borderId="63" xfId="4" applyFont="1" applyFill="1" applyBorder="1"/>
    <xf numFmtId="164" fontId="25" fillId="2" borderId="64" xfId="4" applyFont="1" applyFill="1" applyBorder="1"/>
    <xf numFmtId="169" fontId="32" fillId="0" borderId="30" xfId="4" applyNumberFormat="1" applyFont="1" applyBorder="1"/>
    <xf numFmtId="0" fontId="26" fillId="4" borderId="29" xfId="0" applyFont="1" applyFill="1" applyBorder="1" applyAlignment="1">
      <alignment horizontal="center"/>
    </xf>
    <xf numFmtId="0" fontId="26" fillId="4" borderId="32" xfId="0" applyFont="1" applyFill="1" applyBorder="1" applyAlignment="1">
      <alignment horizontal="center"/>
    </xf>
    <xf numFmtId="0" fontId="17" fillId="0" borderId="62" xfId="0" applyFont="1" applyBorder="1" applyAlignment="1">
      <alignment vertical="center"/>
    </xf>
    <xf numFmtId="0" fontId="4" fillId="0" borderId="62" xfId="0" applyFont="1" applyBorder="1" applyAlignment="1">
      <alignment vertical="center"/>
    </xf>
    <xf numFmtId="164" fontId="42" fillId="3" borderId="13" xfId="4" applyFont="1" applyFill="1" applyBorder="1" applyProtection="1"/>
    <xf numFmtId="164" fontId="42" fillId="4" borderId="10" xfId="4" applyFont="1" applyFill="1" applyBorder="1" applyProtection="1"/>
    <xf numFmtId="164" fontId="44" fillId="4" borderId="10" xfId="4" applyFont="1" applyFill="1" applyBorder="1" applyProtection="1"/>
    <xf numFmtId="164" fontId="43" fillId="5" borderId="36" xfId="4" applyFont="1" applyFill="1" applyBorder="1" applyProtection="1"/>
    <xf numFmtId="4" fontId="24" fillId="4" borderId="28" xfId="0" applyNumberFormat="1" applyFont="1" applyFill="1" applyBorder="1"/>
    <xf numFmtId="4" fontId="24" fillId="4" borderId="8" xfId="0" applyNumberFormat="1" applyFont="1" applyFill="1" applyBorder="1"/>
    <xf numFmtId="10" fontId="32" fillId="0" borderId="29" xfId="0" applyNumberFormat="1" applyFont="1" applyBorder="1"/>
    <xf numFmtId="10" fontId="32" fillId="0" borderId="26" xfId="0" applyNumberFormat="1" applyFont="1" applyBorder="1"/>
    <xf numFmtId="10" fontId="32" fillId="0" borderId="23" xfId="0" applyNumberFormat="1" applyFont="1" applyBorder="1"/>
    <xf numFmtId="164" fontId="24" fillId="4" borderId="36" xfId="4" applyFont="1" applyFill="1" applyBorder="1" applyProtection="1"/>
    <xf numFmtId="164" fontId="48" fillId="2" borderId="65" xfId="4" applyFont="1" applyFill="1" applyBorder="1"/>
    <xf numFmtId="43" fontId="3" fillId="0" borderId="0" xfId="0" applyNumberFormat="1" applyFont="1"/>
    <xf numFmtId="0" fontId="59" fillId="0" borderId="0" xfId="0" applyFont="1"/>
    <xf numFmtId="0" fontId="60" fillId="0" borderId="0" xfId="0" applyFont="1"/>
    <xf numFmtId="0" fontId="25" fillId="0" borderId="0" xfId="0" applyFont="1"/>
    <xf numFmtId="165" fontId="23" fillId="0" borderId="0" xfId="0" applyNumberFormat="1" applyFont="1" applyBorder="1" applyAlignment="1">
      <alignment horizontal="center" vertical="center"/>
    </xf>
    <xf numFmtId="0" fontId="17" fillId="0" borderId="0" xfId="0" applyFont="1" applyBorder="1" applyAlignment="1">
      <alignment vertical="center"/>
    </xf>
    <xf numFmtId="168" fontId="17" fillId="0" borderId="0" xfId="0" applyNumberFormat="1" applyFont="1" applyBorder="1" applyAlignment="1">
      <alignment vertical="center"/>
    </xf>
    <xf numFmtId="0" fontId="4" fillId="0" borderId="0" xfId="0" applyFont="1" applyBorder="1" applyAlignment="1">
      <alignment vertical="center"/>
    </xf>
    <xf numFmtId="0" fontId="26" fillId="0" borderId="0" xfId="0" applyFont="1" applyBorder="1"/>
    <xf numFmtId="0" fontId="3" fillId="0" borderId="0" xfId="0" applyFont="1" applyBorder="1"/>
    <xf numFmtId="0" fontId="26" fillId="4" borderId="14" xfId="0" quotePrefix="1" applyFont="1" applyFill="1" applyBorder="1" applyAlignment="1">
      <alignment horizontal="center"/>
    </xf>
    <xf numFmtId="164" fontId="48" fillId="2" borderId="22" xfId="4" applyFont="1" applyFill="1" applyBorder="1"/>
    <xf numFmtId="164" fontId="48" fillId="4" borderId="15" xfId="4" applyFont="1" applyFill="1" applyBorder="1"/>
    <xf numFmtId="164" fontId="48" fillId="2" borderId="15" xfId="4" applyFont="1" applyFill="1" applyBorder="1"/>
    <xf numFmtId="164" fontId="48" fillId="4" borderId="23" xfId="4" applyFont="1" applyFill="1" applyBorder="1"/>
    <xf numFmtId="171" fontId="30" fillId="8" borderId="52" xfId="3" applyNumberFormat="1" applyFont="1" applyFill="1" applyBorder="1" applyAlignment="1">
      <alignment vertical="center" wrapText="1"/>
    </xf>
    <xf numFmtId="164" fontId="25" fillId="2" borderId="66" xfId="4" applyFont="1" applyFill="1" applyBorder="1"/>
    <xf numFmtId="164" fontId="25" fillId="2" borderId="67" xfId="4" applyFont="1" applyFill="1" applyBorder="1"/>
    <xf numFmtId="165" fontId="41" fillId="3" borderId="0" xfId="0" applyNumberFormat="1" applyFont="1" applyFill="1" applyAlignment="1">
      <alignment horizontal="center"/>
    </xf>
    <xf numFmtId="14" fontId="37" fillId="0" borderId="3" xfId="0" applyNumberFormat="1" applyFont="1" applyBorder="1" applyAlignment="1">
      <alignment horizontal="center"/>
    </xf>
    <xf numFmtId="165" fontId="29" fillId="5" borderId="29" xfId="0" applyNumberFormat="1" applyFont="1" applyFill="1" applyBorder="1" applyAlignment="1">
      <alignment horizontal="center" vertical="center" textRotation="90" wrapText="1"/>
    </xf>
    <xf numFmtId="165" fontId="29" fillId="5" borderId="32" xfId="0" applyNumberFormat="1" applyFont="1" applyFill="1" applyBorder="1" applyAlignment="1">
      <alignment horizontal="center" vertical="center" textRotation="90" wrapText="1"/>
    </xf>
    <xf numFmtId="165" fontId="29" fillId="0" borderId="29" xfId="0" applyNumberFormat="1" applyFont="1" applyBorder="1" applyAlignment="1">
      <alignment horizontal="center" vertical="center" wrapText="1"/>
    </xf>
    <xf numFmtId="165" fontId="29" fillId="0" borderId="32" xfId="0" applyNumberFormat="1" applyFont="1" applyBorder="1" applyAlignment="1">
      <alignment horizontal="center" vertical="center" wrapText="1"/>
    </xf>
    <xf numFmtId="4" fontId="29" fillId="0" borderId="29" xfId="0" applyNumberFormat="1" applyFont="1" applyBorder="1" applyAlignment="1">
      <alignment horizontal="center" vertical="center" wrapText="1"/>
    </xf>
    <xf numFmtId="4" fontId="29" fillId="0" borderId="32" xfId="0" applyNumberFormat="1" applyFont="1" applyBorder="1" applyAlignment="1">
      <alignment horizontal="center" vertical="center" wrapText="1"/>
    </xf>
    <xf numFmtId="0" fontId="29" fillId="0" borderId="29" xfId="0" applyFont="1" applyBorder="1" applyAlignment="1">
      <alignment horizontal="center" vertical="center" wrapText="1"/>
    </xf>
    <xf numFmtId="0" fontId="29" fillId="0" borderId="32"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32" xfId="0" applyFont="1" applyBorder="1" applyAlignment="1">
      <alignment horizontal="center" vertical="center" wrapText="1"/>
    </xf>
    <xf numFmtId="4" fontId="15" fillId="0" borderId="29" xfId="0" applyNumberFormat="1" applyFont="1" applyBorder="1" applyAlignment="1">
      <alignment horizontal="center" vertical="center" wrapText="1"/>
    </xf>
    <xf numFmtId="4" fontId="15" fillId="0" borderId="32" xfId="0" applyNumberFormat="1" applyFont="1" applyBorder="1" applyAlignment="1">
      <alignment horizontal="center" vertical="center" wrapText="1"/>
    </xf>
    <xf numFmtId="9" fontId="40" fillId="5" borderId="24" xfId="0" applyNumberFormat="1" applyFont="1" applyFill="1" applyBorder="1" applyAlignment="1">
      <alignment horizontal="center"/>
    </xf>
    <xf numFmtId="9" fontId="40" fillId="5" borderId="33" xfId="0" applyNumberFormat="1" applyFont="1" applyFill="1" applyBorder="1" applyAlignment="1">
      <alignment horizontal="center"/>
    </xf>
    <xf numFmtId="9" fontId="40" fillId="5" borderId="4" xfId="0" applyNumberFormat="1" applyFont="1" applyFill="1" applyBorder="1" applyAlignment="1">
      <alignment horizontal="center"/>
    </xf>
    <xf numFmtId="165" fontId="23" fillId="0" borderId="33" xfId="0" applyNumberFormat="1" applyFont="1" applyBorder="1" applyAlignment="1">
      <alignment horizontal="center" vertical="center"/>
    </xf>
    <xf numFmtId="44" fontId="23" fillId="0" borderId="33" xfId="1" applyFont="1" applyBorder="1" applyAlignment="1">
      <alignment horizontal="left" vertical="center"/>
    </xf>
    <xf numFmtId="44" fontId="23" fillId="0" borderId="4" xfId="1" applyFont="1" applyBorder="1" applyAlignment="1">
      <alignment horizontal="left" vertical="center"/>
    </xf>
    <xf numFmtId="165" fontId="23" fillId="0" borderId="0" xfId="0" applyNumberFormat="1" applyFont="1" applyAlignment="1">
      <alignment horizontal="center"/>
    </xf>
    <xf numFmtId="44" fontId="23" fillId="0" borderId="0" xfId="1" applyFont="1" applyAlignment="1">
      <alignment horizontal="center"/>
    </xf>
    <xf numFmtId="9" fontId="40" fillId="0" borderId="29" xfId="0" applyNumberFormat="1" applyFont="1" applyBorder="1" applyAlignment="1">
      <alignment horizontal="center" vertical="justify" wrapText="1"/>
    </xf>
    <xf numFmtId="9" fontId="40" fillId="0" borderId="32" xfId="0" applyNumberFormat="1" applyFont="1" applyBorder="1" applyAlignment="1">
      <alignment horizontal="center" vertical="justify" wrapText="1"/>
    </xf>
    <xf numFmtId="9" fontId="14" fillId="6" borderId="24" xfId="0" quotePrefix="1" applyNumberFormat="1" applyFont="1" applyFill="1" applyBorder="1" applyAlignment="1">
      <alignment horizontal="center"/>
    </xf>
    <xf numFmtId="0" fontId="14" fillId="6" borderId="33" xfId="0" quotePrefix="1" applyFont="1" applyFill="1" applyBorder="1" applyAlignment="1">
      <alignment horizontal="center"/>
    </xf>
    <xf numFmtId="0" fontId="14" fillId="6" borderId="4" xfId="0" quotePrefix="1" applyFont="1" applyFill="1" applyBorder="1" applyAlignment="1">
      <alignment horizontal="center"/>
    </xf>
    <xf numFmtId="9" fontId="40" fillId="0" borderId="24" xfId="0" applyNumberFormat="1" applyFont="1" applyBorder="1" applyAlignment="1">
      <alignment horizontal="center"/>
    </xf>
    <xf numFmtId="9" fontId="40" fillId="0" borderId="33" xfId="0" applyNumberFormat="1" applyFont="1" applyBorder="1" applyAlignment="1">
      <alignment horizontal="center"/>
    </xf>
    <xf numFmtId="9" fontId="40" fillId="0" borderId="4" xfId="0" applyNumberFormat="1" applyFont="1" applyBorder="1" applyAlignment="1">
      <alignment horizontal="center"/>
    </xf>
    <xf numFmtId="9" fontId="14" fillId="6" borderId="33" xfId="0" quotePrefix="1" applyNumberFormat="1" applyFont="1" applyFill="1" applyBorder="1" applyAlignment="1">
      <alignment horizontal="center"/>
    </xf>
    <xf numFmtId="44" fontId="23" fillId="0" borderId="33" xfId="1" applyFont="1" applyBorder="1" applyAlignment="1">
      <alignment horizontal="center" vertical="center"/>
    </xf>
    <xf numFmtId="44" fontId="23" fillId="0" borderId="4" xfId="1" applyFont="1" applyBorder="1" applyAlignment="1">
      <alignment horizontal="center" vertical="center"/>
    </xf>
    <xf numFmtId="0" fontId="36" fillId="3" borderId="0" xfId="0" applyFont="1" applyFill="1" applyAlignment="1">
      <alignment horizontal="center"/>
    </xf>
    <xf numFmtId="165" fontId="27" fillId="5" borderId="29" xfId="0" applyNumberFormat="1" applyFont="1" applyFill="1" applyBorder="1" applyAlignment="1">
      <alignment horizontal="center" vertical="center" textRotation="90" wrapText="1"/>
    </xf>
    <xf numFmtId="165" fontId="27" fillId="5" borderId="34" xfId="0" applyNumberFormat="1" applyFont="1" applyFill="1" applyBorder="1" applyAlignment="1">
      <alignment horizontal="center" vertical="center" textRotation="90" wrapText="1"/>
    </xf>
    <xf numFmtId="165" fontId="15" fillId="0" borderId="25" xfId="0" applyNumberFormat="1" applyFont="1" applyBorder="1" applyAlignment="1">
      <alignment horizontal="center" vertical="center" wrapText="1"/>
    </xf>
    <xf numFmtId="165" fontId="15" fillId="0" borderId="2" xfId="0" applyNumberFormat="1" applyFont="1" applyBorder="1" applyAlignment="1">
      <alignment horizontal="center" vertical="center" wrapText="1"/>
    </xf>
    <xf numFmtId="4" fontId="15" fillId="0" borderId="34" xfId="0" applyNumberFormat="1" applyFont="1" applyBorder="1" applyAlignment="1">
      <alignment horizontal="center" vertical="center" wrapText="1"/>
    </xf>
    <xf numFmtId="0" fontId="15" fillId="0" borderId="34" xfId="0" applyFont="1" applyBorder="1" applyAlignment="1">
      <alignment horizontal="center" vertical="center" wrapText="1"/>
    </xf>
    <xf numFmtId="9" fontId="14" fillId="5" borderId="24" xfId="0" applyNumberFormat="1" applyFont="1" applyFill="1" applyBorder="1" applyAlignment="1">
      <alignment horizontal="center"/>
    </xf>
    <xf numFmtId="9" fontId="14" fillId="5" borderId="33" xfId="0" applyNumberFormat="1" applyFont="1" applyFill="1" applyBorder="1" applyAlignment="1">
      <alignment horizontal="center"/>
    </xf>
    <xf numFmtId="9" fontId="14" fillId="5" borderId="4" xfId="0" applyNumberFormat="1" applyFont="1" applyFill="1" applyBorder="1" applyAlignment="1">
      <alignment horizontal="center"/>
    </xf>
    <xf numFmtId="9" fontId="14" fillId="0" borderId="29" xfId="0" applyNumberFormat="1" applyFont="1" applyBorder="1" applyAlignment="1">
      <alignment horizontal="center" vertical="center" wrapText="1"/>
    </xf>
    <xf numFmtId="9" fontId="14" fillId="0" borderId="34" xfId="0" applyNumberFormat="1" applyFont="1" applyBorder="1" applyAlignment="1">
      <alignment horizontal="center" vertical="center" wrapText="1"/>
    </xf>
    <xf numFmtId="9" fontId="14" fillId="0" borderId="24" xfId="0" applyNumberFormat="1" applyFont="1" applyBorder="1" applyAlignment="1">
      <alignment horizontal="center"/>
    </xf>
    <xf numFmtId="9" fontId="14" fillId="0" borderId="33" xfId="0" applyNumberFormat="1" applyFont="1" applyBorder="1" applyAlignment="1">
      <alignment horizontal="center"/>
    </xf>
    <xf numFmtId="9" fontId="14" fillId="0" borderId="4" xfId="0" applyNumberFormat="1" applyFont="1" applyBorder="1" applyAlignment="1">
      <alignment horizontal="center"/>
    </xf>
    <xf numFmtId="9" fontId="14" fillId="5" borderId="24" xfId="0" quotePrefix="1" applyNumberFormat="1" applyFont="1" applyFill="1" applyBorder="1" applyAlignment="1">
      <alignment horizontal="center"/>
    </xf>
    <xf numFmtId="9" fontId="14" fillId="5" borderId="33" xfId="0" quotePrefix="1" applyNumberFormat="1" applyFont="1" applyFill="1" applyBorder="1" applyAlignment="1">
      <alignment horizontal="center"/>
    </xf>
    <xf numFmtId="165" fontId="23" fillId="0" borderId="62" xfId="0" applyNumberFormat="1" applyFont="1" applyBorder="1" applyAlignment="1">
      <alignment horizontal="center" vertical="center"/>
    </xf>
    <xf numFmtId="165" fontId="23" fillId="0" borderId="25" xfId="0" applyNumberFormat="1" applyFont="1" applyBorder="1" applyAlignment="1">
      <alignment horizontal="center" vertical="center"/>
    </xf>
    <xf numFmtId="44" fontId="23" fillId="0" borderId="0" xfId="2" applyFont="1" applyBorder="1" applyAlignment="1">
      <alignment horizontal="center" vertical="center"/>
    </xf>
    <xf numFmtId="165" fontId="29" fillId="5" borderId="34" xfId="0" applyNumberFormat="1" applyFont="1" applyFill="1" applyBorder="1" applyAlignment="1">
      <alignment horizontal="center" vertical="center" textRotation="90" wrapText="1"/>
    </xf>
    <xf numFmtId="165" fontId="15" fillId="0" borderId="29" xfId="0" applyNumberFormat="1" applyFont="1" applyBorder="1" applyAlignment="1">
      <alignment horizontal="center" vertical="center" wrapText="1"/>
    </xf>
    <xf numFmtId="165" fontId="15" fillId="0" borderId="34" xfId="0" applyNumberFormat="1" applyFont="1" applyBorder="1" applyAlignment="1">
      <alignment horizontal="center" vertical="center" wrapText="1"/>
    </xf>
    <xf numFmtId="4" fontId="46" fillId="5" borderId="29" xfId="0" applyNumberFormat="1" applyFont="1" applyFill="1" applyBorder="1" applyAlignment="1">
      <alignment horizontal="center" vertical="center" wrapText="1"/>
    </xf>
    <xf numFmtId="4" fontId="46" fillId="5" borderId="34" xfId="0" applyNumberFormat="1" applyFont="1" applyFill="1" applyBorder="1" applyAlignment="1">
      <alignment horizontal="center" vertical="center" wrapText="1"/>
    </xf>
    <xf numFmtId="9" fontId="14" fillId="0" borderId="29" xfId="0" applyNumberFormat="1" applyFont="1" applyBorder="1" applyAlignment="1">
      <alignment horizontal="center" vertical="justify" wrapText="1"/>
    </xf>
    <xf numFmtId="9" fontId="14" fillId="0" borderId="34" xfId="0" applyNumberFormat="1" applyFont="1" applyBorder="1" applyAlignment="1">
      <alignment horizontal="center" vertical="justify" wrapText="1"/>
    </xf>
    <xf numFmtId="9" fontId="14" fillId="5" borderId="29" xfId="0" applyNumberFormat="1" applyFont="1" applyFill="1" applyBorder="1" applyAlignment="1">
      <alignment horizontal="center" vertical="center"/>
    </xf>
    <xf numFmtId="9" fontId="14" fillId="5" borderId="34" xfId="0" applyNumberFormat="1" applyFont="1" applyFill="1" applyBorder="1" applyAlignment="1">
      <alignment horizontal="center" vertical="center"/>
    </xf>
    <xf numFmtId="9" fontId="14" fillId="0" borderId="29" xfId="0" applyNumberFormat="1" applyFont="1" applyBorder="1" applyAlignment="1">
      <alignment horizontal="center" vertical="center"/>
    </xf>
    <xf numFmtId="9" fontId="14" fillId="0" borderId="34" xfId="0" applyNumberFormat="1" applyFont="1" applyBorder="1" applyAlignment="1">
      <alignment horizontal="center" vertical="center"/>
    </xf>
    <xf numFmtId="9" fontId="14" fillId="4" borderId="29" xfId="0" applyNumberFormat="1" applyFont="1" applyFill="1" applyBorder="1" applyAlignment="1">
      <alignment horizontal="center" vertical="center"/>
    </xf>
    <xf numFmtId="9" fontId="14" fillId="4" borderId="34" xfId="0" applyNumberFormat="1" applyFont="1" applyFill="1" applyBorder="1" applyAlignment="1">
      <alignment horizontal="center" vertical="center"/>
    </xf>
    <xf numFmtId="9" fontId="14" fillId="6" borderId="29" xfId="0" quotePrefix="1" applyNumberFormat="1" applyFont="1" applyFill="1" applyBorder="1" applyAlignment="1">
      <alignment horizontal="center" vertical="center"/>
    </xf>
    <xf numFmtId="9" fontId="14" fillId="6" borderId="34" xfId="0" quotePrefix="1" applyNumberFormat="1" applyFont="1" applyFill="1" applyBorder="1" applyAlignment="1">
      <alignment horizontal="center" vertical="center"/>
    </xf>
    <xf numFmtId="9" fontId="14" fillId="0" borderId="25" xfId="0" applyNumberFormat="1" applyFont="1" applyBorder="1" applyAlignment="1">
      <alignment horizontal="center" vertical="center"/>
    </xf>
    <xf numFmtId="9" fontId="14" fillId="0" borderId="2" xfId="0" applyNumberFormat="1" applyFont="1" applyBorder="1" applyAlignment="1">
      <alignment horizontal="center" vertical="center"/>
    </xf>
    <xf numFmtId="0" fontId="58" fillId="11" borderId="0" xfId="0" applyFont="1" applyFill="1" applyAlignment="1">
      <alignment horizontal="center"/>
    </xf>
    <xf numFmtId="0" fontId="36" fillId="5" borderId="0" xfId="0" applyFont="1" applyFill="1" applyAlignment="1">
      <alignment horizontal="center"/>
    </xf>
    <xf numFmtId="0" fontId="36" fillId="4" borderId="0" xfId="0" applyFont="1" applyFill="1" applyAlignment="1">
      <alignment horizontal="left" vertical="center"/>
    </xf>
    <xf numFmtId="0" fontId="36" fillId="4" borderId="0" xfId="0" applyFont="1" applyFill="1" applyAlignment="1">
      <alignment horizontal="center" vertical="center"/>
    </xf>
  </cellXfs>
  <cellStyles count="5">
    <cellStyle name="Moeda" xfId="1" builtinId="4"/>
    <cellStyle name="Moeda 2" xfId="2" xr:uid="{00000000-0005-0000-0000-000001000000}"/>
    <cellStyle name="Normal" xfId="0" builtinId="0"/>
    <cellStyle name="Porcentagem" xfId="3" builtinId="5"/>
    <cellStyle name="Vírgula" xfId="4" builtinId="3"/>
  </cellStyles>
  <dxfs count="1149">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s>
  <tableStyles count="1" defaultTableStyle="TableStyleMedium9" defaultPivotStyle="PivotStyleLight16">
    <tableStyle name="Invisible" pivot="0" table="0" count="0" xr9:uid="{00000000-0011-0000-FFFF-FFFF00000000}"/>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0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000-000007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000-000009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000-00000A000000}"/>
            </a:ext>
          </a:extLst>
        </xdr:cNvPr>
        <xdr:cNvSpPr/>
      </xdr:nvSpPr>
      <xdr:spPr bwMode="auto">
        <a:xfrm>
          <a:off x="689523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000-00000B000000}"/>
            </a:ext>
          </a:extLst>
        </xdr:cNvPr>
        <xdr:cNvSpPr/>
      </xdr:nvSpPr>
      <xdr:spPr bwMode="auto">
        <a:xfrm>
          <a:off x="820968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000-00000C000000}"/>
            </a:ext>
          </a:extLst>
        </xdr:cNvPr>
        <xdr:cNvSpPr/>
      </xdr:nvSpPr>
      <xdr:spPr bwMode="auto">
        <a:xfrm>
          <a:off x="94765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000-00000D000000}"/>
            </a:ext>
          </a:extLst>
        </xdr:cNvPr>
        <xdr:cNvSpPr/>
      </xdr:nvSpPr>
      <xdr:spPr bwMode="auto">
        <a:xfrm>
          <a:off x="1028440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100-000002000000}"/>
            </a:ext>
          </a:extLst>
        </xdr:cNvPr>
        <xdr:cNvSpPr>
          <a:spLocks noChangeArrowheads="1"/>
        </xdr:cNvSpPr>
      </xdr:nvSpPr>
      <xdr:spPr bwMode="auto">
        <a:xfrm>
          <a:off x="249555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9555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285751</xdr:colOff>
      <xdr:row>9</xdr:row>
      <xdr:rowOff>104773</xdr:rowOff>
    </xdr:from>
    <xdr:to>
      <xdr:col>14</xdr:col>
      <xdr:colOff>432956</xdr:colOff>
      <xdr:row>9</xdr:row>
      <xdr:rowOff>276225</xdr:rowOff>
    </xdr:to>
    <xdr:sp macro="" textlink="">
      <xdr:nvSpPr>
        <xdr:cNvPr id="4" name="Seta para baixo 6">
          <a:extLst>
            <a:ext uri="{FF2B5EF4-FFF2-40B4-BE49-F238E27FC236}">
              <a16:creationId xmlns:a16="http://schemas.microsoft.com/office/drawing/2014/main" id="{00000000-0008-0000-0100-000004000000}"/>
            </a:ext>
          </a:extLst>
        </xdr:cNvPr>
        <xdr:cNvSpPr/>
      </xdr:nvSpPr>
      <xdr:spPr bwMode="auto">
        <a:xfrm>
          <a:off x="5368637" y="1369000"/>
          <a:ext cx="147205" cy="17145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100-000005000000}"/>
            </a:ext>
          </a:extLst>
        </xdr:cNvPr>
        <xdr:cNvSpPr/>
      </xdr:nvSpPr>
      <xdr:spPr bwMode="auto">
        <a:xfrm>
          <a:off x="40394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277089</xdr:colOff>
      <xdr:row>9</xdr:row>
      <xdr:rowOff>113433</xdr:rowOff>
    </xdr:from>
    <xdr:to>
      <xdr:col>17</xdr:col>
      <xdr:colOff>424294</xdr:colOff>
      <xdr:row>9</xdr:row>
      <xdr:rowOff>284884</xdr:rowOff>
    </xdr:to>
    <xdr:sp macro="" textlink="">
      <xdr:nvSpPr>
        <xdr:cNvPr id="6" name="Seta para baixo 6">
          <a:extLst>
            <a:ext uri="{FF2B5EF4-FFF2-40B4-BE49-F238E27FC236}">
              <a16:creationId xmlns:a16="http://schemas.microsoft.com/office/drawing/2014/main" id="{00000000-0008-0000-0100-000006000000}"/>
            </a:ext>
          </a:extLst>
        </xdr:cNvPr>
        <xdr:cNvSpPr/>
      </xdr:nvSpPr>
      <xdr:spPr bwMode="auto">
        <a:xfrm>
          <a:off x="6632862" y="137766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100-000007000000}"/>
            </a:ext>
          </a:extLst>
        </xdr:cNvPr>
        <xdr:cNvSpPr/>
      </xdr:nvSpPr>
      <xdr:spPr bwMode="auto">
        <a:xfrm>
          <a:off x="78382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277089</xdr:colOff>
      <xdr:row>9</xdr:row>
      <xdr:rowOff>96113</xdr:rowOff>
    </xdr:from>
    <xdr:to>
      <xdr:col>20</xdr:col>
      <xdr:colOff>424294</xdr:colOff>
      <xdr:row>9</xdr:row>
      <xdr:rowOff>267564</xdr:rowOff>
    </xdr:to>
    <xdr:sp macro="" textlink="">
      <xdr:nvSpPr>
        <xdr:cNvPr id="10" name="Seta para baixo 6">
          <a:extLst>
            <a:ext uri="{FF2B5EF4-FFF2-40B4-BE49-F238E27FC236}">
              <a16:creationId xmlns:a16="http://schemas.microsoft.com/office/drawing/2014/main" id="{00000000-0008-0000-0100-00000A000000}"/>
            </a:ext>
          </a:extLst>
        </xdr:cNvPr>
        <xdr:cNvSpPr/>
      </xdr:nvSpPr>
      <xdr:spPr bwMode="auto">
        <a:xfrm>
          <a:off x="7931725" y="136034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277089</xdr:colOff>
      <xdr:row>9</xdr:row>
      <xdr:rowOff>104772</xdr:rowOff>
    </xdr:from>
    <xdr:to>
      <xdr:col>23</xdr:col>
      <xdr:colOff>424294</xdr:colOff>
      <xdr:row>9</xdr:row>
      <xdr:rowOff>276223</xdr:rowOff>
    </xdr:to>
    <xdr:sp macro="" textlink="">
      <xdr:nvSpPr>
        <xdr:cNvPr id="12" name="Seta para baixo 6">
          <a:extLst>
            <a:ext uri="{FF2B5EF4-FFF2-40B4-BE49-F238E27FC236}">
              <a16:creationId xmlns:a16="http://schemas.microsoft.com/office/drawing/2014/main" id="{00000000-0008-0000-0100-00000C000000}"/>
            </a:ext>
          </a:extLst>
        </xdr:cNvPr>
        <xdr:cNvSpPr/>
      </xdr:nvSpPr>
      <xdr:spPr bwMode="auto">
        <a:xfrm>
          <a:off x="9204612" y="1368999"/>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9</xdr:row>
      <xdr:rowOff>130750</xdr:rowOff>
    </xdr:from>
    <xdr:to>
      <xdr:col>27</xdr:col>
      <xdr:colOff>8657</xdr:colOff>
      <xdr:row>9</xdr:row>
      <xdr:rowOff>302201</xdr:rowOff>
    </xdr:to>
    <xdr:sp macro="" textlink="">
      <xdr:nvSpPr>
        <xdr:cNvPr id="15" name="Seta para baixo 6">
          <a:extLst>
            <a:ext uri="{FF2B5EF4-FFF2-40B4-BE49-F238E27FC236}">
              <a16:creationId xmlns:a16="http://schemas.microsoft.com/office/drawing/2014/main" id="{00000000-0008-0000-0100-00000F000000}"/>
            </a:ext>
          </a:extLst>
        </xdr:cNvPr>
        <xdr:cNvSpPr/>
      </xdr:nvSpPr>
      <xdr:spPr bwMode="auto">
        <a:xfrm>
          <a:off x="10217725" y="1394977"/>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0</xdr:row>
      <xdr:rowOff>0</xdr:rowOff>
    </xdr:from>
    <xdr:to>
      <xdr:col>8</xdr:col>
      <xdr:colOff>419100</xdr:colOff>
      <xdr:row>1</xdr:row>
      <xdr:rowOff>142875</xdr:rowOff>
    </xdr:to>
    <xdr:sp macro="" textlink="">
      <xdr:nvSpPr>
        <xdr:cNvPr id="2" name="Object 1" hidden="1">
          <a:extLst>
            <a:ext uri="{FF2B5EF4-FFF2-40B4-BE49-F238E27FC236}">
              <a16:creationId xmlns:a16="http://schemas.microsoft.com/office/drawing/2014/main" id="{00000000-0008-0000-0200-000002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sp macro="" textlink="">
      <xdr:nvSpPr>
        <xdr:cNvPr id="3" name="Object 2" hidden="1">
          <a:extLst>
            <a:ext uri="{FF2B5EF4-FFF2-40B4-BE49-F238E27FC236}">
              <a16:creationId xmlns:a16="http://schemas.microsoft.com/office/drawing/2014/main" id="{00000000-0008-0000-0200-000003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pic>
      <xdr:nvPicPr>
        <xdr:cNvPr id="4" name="Picture 1">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05100" y="0"/>
          <a:ext cx="342900" cy="304800"/>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147204</xdr:colOff>
      <xdr:row>7</xdr:row>
      <xdr:rowOff>164524</xdr:rowOff>
    </xdr:from>
    <xdr:to>
      <xdr:col>14</xdr:col>
      <xdr:colOff>294409</xdr:colOff>
      <xdr:row>9</xdr:row>
      <xdr:rowOff>1</xdr:rowOff>
    </xdr:to>
    <xdr:sp macro="" textlink="">
      <xdr:nvSpPr>
        <xdr:cNvPr id="5" name="Seta para baixo 4">
          <a:extLst>
            <a:ext uri="{FF2B5EF4-FFF2-40B4-BE49-F238E27FC236}">
              <a16:creationId xmlns:a16="http://schemas.microsoft.com/office/drawing/2014/main" id="{00000000-0008-0000-0200-000005000000}"/>
            </a:ext>
          </a:extLst>
        </xdr:cNvPr>
        <xdr:cNvSpPr/>
      </xdr:nvSpPr>
      <xdr:spPr bwMode="auto">
        <a:xfrm>
          <a:off x="5424054" y="1117024"/>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294408</xdr:colOff>
      <xdr:row>7</xdr:row>
      <xdr:rowOff>164523</xdr:rowOff>
    </xdr:from>
    <xdr:to>
      <xdr:col>11</xdr:col>
      <xdr:colOff>432953</xdr:colOff>
      <xdr:row>8</xdr:row>
      <xdr:rowOff>147204</xdr:rowOff>
    </xdr:to>
    <xdr:sp macro="" textlink="">
      <xdr:nvSpPr>
        <xdr:cNvPr id="6" name="Seta para baixo 5">
          <a:extLst>
            <a:ext uri="{FF2B5EF4-FFF2-40B4-BE49-F238E27FC236}">
              <a16:creationId xmlns:a16="http://schemas.microsoft.com/office/drawing/2014/main" id="{00000000-0008-0000-0200-00000A000000}"/>
            </a:ext>
          </a:extLst>
        </xdr:cNvPr>
        <xdr:cNvSpPr/>
      </xdr:nvSpPr>
      <xdr:spPr bwMode="auto">
        <a:xfrm>
          <a:off x="4294908" y="1117023"/>
          <a:ext cx="138545" cy="201756"/>
        </a:xfrm>
        <a:prstGeom prst="downArrow">
          <a:avLst>
            <a:gd name="adj1" fmla="val 50000"/>
            <a:gd name="adj2" fmla="val 53030"/>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7</xdr:row>
      <xdr:rowOff>164523</xdr:rowOff>
    </xdr:from>
    <xdr:to>
      <xdr:col>17</xdr:col>
      <xdr:colOff>346362</xdr:colOff>
      <xdr:row>9</xdr:row>
      <xdr:rowOff>0</xdr:rowOff>
    </xdr:to>
    <xdr:sp macro="" textlink="">
      <xdr:nvSpPr>
        <xdr:cNvPr id="7" name="Seta para baixo 4">
          <a:extLst>
            <a:ext uri="{FF2B5EF4-FFF2-40B4-BE49-F238E27FC236}">
              <a16:creationId xmlns:a16="http://schemas.microsoft.com/office/drawing/2014/main" id="{00000000-0008-0000-0200-00000C000000}"/>
            </a:ext>
          </a:extLst>
        </xdr:cNvPr>
        <xdr:cNvSpPr/>
      </xdr:nvSpPr>
      <xdr:spPr bwMode="auto">
        <a:xfrm>
          <a:off x="6761882"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7</xdr:row>
      <xdr:rowOff>164522</xdr:rowOff>
    </xdr:from>
    <xdr:to>
      <xdr:col>20</xdr:col>
      <xdr:colOff>363682</xdr:colOff>
      <xdr:row>8</xdr:row>
      <xdr:rowOff>164522</xdr:rowOff>
    </xdr:to>
    <xdr:sp macro="" textlink="">
      <xdr:nvSpPr>
        <xdr:cNvPr id="8" name="Seta para baixo 4">
          <a:extLst>
            <a:ext uri="{FF2B5EF4-FFF2-40B4-BE49-F238E27FC236}">
              <a16:creationId xmlns:a16="http://schemas.microsoft.com/office/drawing/2014/main" id="{00000000-0008-0000-0200-00000D000000}"/>
            </a:ext>
          </a:extLst>
        </xdr:cNvPr>
        <xdr:cNvSpPr/>
      </xdr:nvSpPr>
      <xdr:spPr bwMode="auto">
        <a:xfrm>
          <a:off x="8084127" y="1117022"/>
          <a:ext cx="147205" cy="21907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199158</xdr:colOff>
      <xdr:row>7</xdr:row>
      <xdr:rowOff>164523</xdr:rowOff>
    </xdr:from>
    <xdr:to>
      <xdr:col>23</xdr:col>
      <xdr:colOff>346363</xdr:colOff>
      <xdr:row>9</xdr:row>
      <xdr:rowOff>0</xdr:rowOff>
    </xdr:to>
    <xdr:sp macro="" textlink="">
      <xdr:nvSpPr>
        <xdr:cNvPr id="9" name="Seta para baixo 4">
          <a:extLst>
            <a:ext uri="{FF2B5EF4-FFF2-40B4-BE49-F238E27FC236}">
              <a16:creationId xmlns:a16="http://schemas.microsoft.com/office/drawing/2014/main" id="{00000000-0008-0000-0200-00000E000000}"/>
            </a:ext>
          </a:extLst>
        </xdr:cNvPr>
        <xdr:cNvSpPr/>
      </xdr:nvSpPr>
      <xdr:spPr bwMode="auto">
        <a:xfrm>
          <a:off x="9314583"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216477</xdr:colOff>
      <xdr:row>7</xdr:row>
      <xdr:rowOff>164523</xdr:rowOff>
    </xdr:from>
    <xdr:to>
      <xdr:col>26</xdr:col>
      <xdr:colOff>363682</xdr:colOff>
      <xdr:row>9</xdr:row>
      <xdr:rowOff>0</xdr:rowOff>
    </xdr:to>
    <xdr:sp macro="" textlink="">
      <xdr:nvSpPr>
        <xdr:cNvPr id="10" name="Seta para baixo 4">
          <a:extLst>
            <a:ext uri="{FF2B5EF4-FFF2-40B4-BE49-F238E27FC236}">
              <a16:creationId xmlns:a16="http://schemas.microsoft.com/office/drawing/2014/main" id="{00000000-0008-0000-0200-00000F000000}"/>
            </a:ext>
          </a:extLst>
        </xdr:cNvPr>
        <xdr:cNvSpPr/>
      </xdr:nvSpPr>
      <xdr:spPr bwMode="auto">
        <a:xfrm>
          <a:off x="10579677"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66675</xdr:colOff>
      <xdr:row>0</xdr:row>
      <xdr:rowOff>28575</xdr:rowOff>
    </xdr:from>
    <xdr:to>
      <xdr:col>8</xdr:col>
      <xdr:colOff>409575</xdr:colOff>
      <xdr:row>2</xdr:row>
      <xdr:rowOff>152400</xdr:rowOff>
    </xdr:to>
    <xdr:sp macro="" textlink="">
      <xdr:nvSpPr>
        <xdr:cNvPr id="2" name="Object 1" hidden="1">
          <a:extLst>
            <a:ext uri="{FF2B5EF4-FFF2-40B4-BE49-F238E27FC236}">
              <a16:creationId xmlns:a16="http://schemas.microsoft.com/office/drawing/2014/main" id="{00000000-0008-0000-0300-000002000000}"/>
            </a:ext>
          </a:extLst>
        </xdr:cNvPr>
        <xdr:cNvSpPr>
          <a:spLocks noChangeArrowheads="1"/>
        </xdr:cNvSpPr>
      </xdr:nvSpPr>
      <xdr:spPr bwMode="auto">
        <a:xfrm>
          <a:off x="3009900" y="1905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47625</xdr:colOff>
      <xdr:row>0</xdr:row>
      <xdr:rowOff>47625</xdr:rowOff>
    </xdr:from>
    <xdr:to>
      <xdr:col>8</xdr:col>
      <xdr:colOff>361950</xdr:colOff>
      <xdr:row>2</xdr:row>
      <xdr:rowOff>133350</xdr:rowOff>
    </xdr:to>
    <xdr:pic>
      <xdr:nvPicPr>
        <xdr:cNvPr id="3" name="Picture 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0850" y="19050"/>
          <a:ext cx="314325" cy="276225"/>
        </a:xfrm>
        <a:prstGeom prst="rect">
          <a:avLst/>
        </a:prstGeom>
        <a:blipFill dpi="0" rotWithShape="0">
          <a:blip xmlns:r="http://schemas.openxmlformats.org/officeDocument/2006/relationships"/>
          <a:srcRect/>
          <a:stretch>
            <a:fillRect/>
          </a:stretch>
        </a:blipFill>
        <a:ln w="9525">
          <a:solidFill>
            <a:srgbClr val="000000"/>
          </a:solidFill>
          <a:miter lim="800000"/>
          <a:headEnd/>
          <a:tailEnd/>
        </a:ln>
      </xdr:spPr>
    </xdr:pic>
    <xdr:clientData/>
  </xdr:twoCellAnchor>
  <xdr:twoCellAnchor>
    <xdr:from>
      <xdr:col>14</xdr:col>
      <xdr:colOff>233796</xdr:colOff>
      <xdr:row>8</xdr:row>
      <xdr:rowOff>164523</xdr:rowOff>
    </xdr:from>
    <xdr:to>
      <xdr:col>14</xdr:col>
      <xdr:colOff>372341</xdr:colOff>
      <xdr:row>9</xdr:row>
      <xdr:rowOff>147205</xdr:rowOff>
    </xdr:to>
    <xdr:sp macro="" textlink="">
      <xdr:nvSpPr>
        <xdr:cNvPr id="4" name="Seta para baixo 6">
          <a:extLst>
            <a:ext uri="{FF2B5EF4-FFF2-40B4-BE49-F238E27FC236}">
              <a16:creationId xmlns:a16="http://schemas.microsoft.com/office/drawing/2014/main" id="{00000000-0008-0000-0300-000004000000}"/>
            </a:ext>
          </a:extLst>
        </xdr:cNvPr>
        <xdr:cNvSpPr/>
      </xdr:nvSpPr>
      <xdr:spPr bwMode="auto">
        <a:xfrm>
          <a:off x="5377296" y="1107498"/>
          <a:ext cx="138545" cy="15413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8</xdr:row>
      <xdr:rowOff>155865</xdr:rowOff>
    </xdr:from>
    <xdr:to>
      <xdr:col>20</xdr:col>
      <xdr:colOff>355018</xdr:colOff>
      <xdr:row>10</xdr:row>
      <xdr:rowOff>0</xdr:rowOff>
    </xdr:to>
    <xdr:sp macro="" textlink="">
      <xdr:nvSpPr>
        <xdr:cNvPr id="5" name="Seta para baixo 6">
          <a:extLst>
            <a:ext uri="{FF2B5EF4-FFF2-40B4-BE49-F238E27FC236}">
              <a16:creationId xmlns:a16="http://schemas.microsoft.com/office/drawing/2014/main" id="{00000000-0008-0000-0300-000005000000}"/>
            </a:ext>
          </a:extLst>
        </xdr:cNvPr>
        <xdr:cNvSpPr/>
      </xdr:nvSpPr>
      <xdr:spPr bwMode="auto">
        <a:xfrm>
          <a:off x="7560252" y="1098840"/>
          <a:ext cx="138541" cy="16798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216477</xdr:colOff>
      <xdr:row>8</xdr:row>
      <xdr:rowOff>155863</xdr:rowOff>
    </xdr:from>
    <xdr:to>
      <xdr:col>17</xdr:col>
      <xdr:colOff>355018</xdr:colOff>
      <xdr:row>9</xdr:row>
      <xdr:rowOff>155861</xdr:rowOff>
    </xdr:to>
    <xdr:sp macro="" textlink="">
      <xdr:nvSpPr>
        <xdr:cNvPr id="6" name="Seta para baixo 6">
          <a:extLst>
            <a:ext uri="{FF2B5EF4-FFF2-40B4-BE49-F238E27FC236}">
              <a16:creationId xmlns:a16="http://schemas.microsoft.com/office/drawing/2014/main" id="{00000000-0008-0000-0300-000006000000}"/>
            </a:ext>
          </a:extLst>
        </xdr:cNvPr>
        <xdr:cNvSpPr/>
      </xdr:nvSpPr>
      <xdr:spPr bwMode="auto">
        <a:xfrm>
          <a:off x="6464877"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216475</xdr:colOff>
      <xdr:row>8</xdr:row>
      <xdr:rowOff>155863</xdr:rowOff>
    </xdr:from>
    <xdr:to>
      <xdr:col>23</xdr:col>
      <xdr:colOff>355016</xdr:colOff>
      <xdr:row>9</xdr:row>
      <xdr:rowOff>155861</xdr:rowOff>
    </xdr:to>
    <xdr:sp macro="" textlink="">
      <xdr:nvSpPr>
        <xdr:cNvPr id="7" name="Seta para baixo 6">
          <a:extLst>
            <a:ext uri="{FF2B5EF4-FFF2-40B4-BE49-F238E27FC236}">
              <a16:creationId xmlns:a16="http://schemas.microsoft.com/office/drawing/2014/main" id="{00000000-0008-0000-0300-000007000000}"/>
            </a:ext>
          </a:extLst>
        </xdr:cNvPr>
        <xdr:cNvSpPr/>
      </xdr:nvSpPr>
      <xdr:spPr bwMode="auto">
        <a:xfrm>
          <a:off x="8674675"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8</xdr:row>
      <xdr:rowOff>155863</xdr:rowOff>
    </xdr:from>
    <xdr:to>
      <xdr:col>26</xdr:col>
      <xdr:colOff>380993</xdr:colOff>
      <xdr:row>9</xdr:row>
      <xdr:rowOff>155861</xdr:rowOff>
    </xdr:to>
    <xdr:sp macro="" textlink="">
      <xdr:nvSpPr>
        <xdr:cNvPr id="8" name="Seta para baixo 6">
          <a:extLst>
            <a:ext uri="{FF2B5EF4-FFF2-40B4-BE49-F238E27FC236}">
              <a16:creationId xmlns:a16="http://schemas.microsoft.com/office/drawing/2014/main" id="{00000000-0008-0000-0300-000008000000}"/>
            </a:ext>
          </a:extLst>
        </xdr:cNvPr>
        <xdr:cNvSpPr/>
      </xdr:nvSpPr>
      <xdr:spPr bwMode="auto">
        <a:xfrm>
          <a:off x="9805552"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28575</xdr:rowOff>
    </xdr:from>
    <xdr:to>
      <xdr:col>9</xdr:col>
      <xdr:colOff>0</xdr:colOff>
      <xdr:row>2</xdr:row>
      <xdr:rowOff>152400</xdr:rowOff>
    </xdr:to>
    <xdr:sp macro="" textlink="">
      <xdr:nvSpPr>
        <xdr:cNvPr id="2" name="Object 1" hidden="1">
          <a:extLst>
            <a:ext uri="{FF2B5EF4-FFF2-40B4-BE49-F238E27FC236}">
              <a16:creationId xmlns:a16="http://schemas.microsoft.com/office/drawing/2014/main" id="{00000000-0008-0000-0400-000002000000}"/>
            </a:ext>
          </a:extLst>
        </xdr:cNvPr>
        <xdr:cNvSpPr>
          <a:spLocks noChangeArrowheads="1"/>
        </xdr:cNvSpPr>
      </xdr:nvSpPr>
      <xdr:spPr bwMode="auto">
        <a:xfrm>
          <a:off x="3181350" y="19050"/>
          <a:ext cx="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9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900-000004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900-000005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900-000006000000}"/>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900-000007000000}"/>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900-000008000000}"/>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900-000009000000}"/>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C10ABA7-FA6D-452D-AA3B-4E8AE3CACA56}"/>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9D0B306B-5833-45BE-B49A-ED3ECDB7320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1001DDF-CD74-4D3E-869D-8EF0D1EEEBE9}"/>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870569E1-8599-4492-80D3-781FC0FEBC3B}"/>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11CC5B42-988E-4A54-8DF3-2800F46D5EDD}"/>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CAE5D5E2-FCB8-439C-B5A5-1300B626F40F}"/>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9409966A-EEA1-4A50-A566-EB0B5331DE78}"/>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7594F005-D472-4CE7-AF0F-FDA16AE17917}"/>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L201"/>
  <sheetViews>
    <sheetView tabSelected="1"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6" width="4.7109375" style="1" customWidth="1"/>
    <col min="7" max="7" width="4.5703125" style="1" customWidth="1"/>
    <col min="8" max="8" width="5.85546875" style="1" customWidth="1"/>
    <col min="9" max="9" width="7.5703125" style="1" customWidth="1"/>
    <col min="10" max="10" width="7.425781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6" width="6.42578125" style="1" customWidth="1"/>
    <col min="17"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8" width="3.7109375" style="1" customWidth="1"/>
    <col min="31" max="31" width="10" bestFit="1" customWidth="1"/>
    <col min="34" max="34" width="10.85546875" customWidth="1"/>
    <col min="35" max="35" width="9.85546875" customWidth="1"/>
    <col min="38" max="38"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178"/>
      <c r="N7" s="98"/>
      <c r="O7" s="98"/>
      <c r="T7" s="102" t="s">
        <v>4</v>
      </c>
      <c r="U7" s="19"/>
      <c r="V7" s="19"/>
      <c r="W7" s="420">
        <f>'base(indices)'!I2</f>
        <v>45474</v>
      </c>
      <c r="X7" s="420"/>
    </row>
    <row r="8" spans="1:28" ht="13.5" thickBot="1">
      <c r="B8" s="6" t="s">
        <v>5</v>
      </c>
      <c r="C8" s="6"/>
      <c r="F8" s="5"/>
      <c r="G8" s="5"/>
      <c r="I8" s="421">
        <f>W7</f>
        <v>45474</v>
      </c>
      <c r="J8" s="421"/>
      <c r="K8" s="179"/>
      <c r="L8" s="97"/>
      <c r="M8" s="98"/>
      <c r="N8" s="99"/>
      <c r="O8" s="98"/>
    </row>
    <row r="9" spans="1:28" ht="12.75" customHeight="1" thickBot="1">
      <c r="A9" s="422" t="s">
        <v>6</v>
      </c>
      <c r="B9" s="424" t="s">
        <v>7</v>
      </c>
      <c r="C9" s="426" t="s">
        <v>8</v>
      </c>
      <c r="D9" s="428" t="s">
        <v>9</v>
      </c>
      <c r="E9" s="428" t="s">
        <v>10</v>
      </c>
      <c r="F9" s="430" t="s">
        <v>11</v>
      </c>
      <c r="G9" s="430" t="s">
        <v>12</v>
      </c>
      <c r="H9" s="432" t="s">
        <v>13</v>
      </c>
      <c r="I9" s="442" t="s">
        <v>14</v>
      </c>
      <c r="J9" s="444" t="s">
        <v>15</v>
      </c>
      <c r="K9" s="445"/>
      <c r="L9" s="446"/>
      <c r="M9" s="447">
        <v>0.95</v>
      </c>
      <c r="N9" s="448"/>
      <c r="O9" s="449"/>
      <c r="P9" s="434">
        <v>0.9</v>
      </c>
      <c r="Q9" s="435"/>
      <c r="R9" s="436"/>
      <c r="S9" s="447">
        <v>0.8</v>
      </c>
      <c r="T9" s="448"/>
      <c r="U9" s="449"/>
      <c r="V9" s="434">
        <v>0.7</v>
      </c>
      <c r="W9" s="435"/>
      <c r="X9" s="436"/>
      <c r="Y9" s="434">
        <v>0.6</v>
      </c>
      <c r="Z9" s="435"/>
      <c r="AA9" s="436"/>
      <c r="AB9" s="378"/>
    </row>
    <row r="10" spans="1:28" ht="15.75" customHeight="1" thickBot="1">
      <c r="A10" s="423"/>
      <c r="B10" s="425"/>
      <c r="C10" s="427"/>
      <c r="D10" s="429"/>
      <c r="E10" s="429"/>
      <c r="F10" s="431"/>
      <c r="G10" s="431"/>
      <c r="H10" s="433"/>
      <c r="I10" s="443"/>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c r="AB10" s="379"/>
    </row>
    <row r="11" spans="1:28" ht="12.75" customHeight="1">
      <c r="A11" s="190">
        <v>168</v>
      </c>
      <c r="B11" s="136">
        <v>40179</v>
      </c>
      <c r="C11" s="120">
        <f>VLOOKUP(B11,'base(indices)'!$A$4:$C$183,3,FALSE)</f>
        <v>510</v>
      </c>
      <c r="D11" s="193">
        <f>'base(indices)'!G4</f>
        <v>2.0114918099999999</v>
      </c>
      <c r="E11" s="78">
        <f>C11*D11</f>
        <v>1025.8608230999998</v>
      </c>
      <c r="F11" s="79">
        <f>'base(indices)'!$I$147</f>
        <v>0.29920000000000002</v>
      </c>
      <c r="G11" s="78">
        <f t="shared" ref="G11:G74" si="0">E11*F11</f>
        <v>306.93755827151995</v>
      </c>
      <c r="H11" s="266">
        <f t="shared" ref="H11:H74" si="1">E11+G11</f>
        <v>1332.7983813715198</v>
      </c>
      <c r="I11" s="413">
        <f>I179</f>
        <v>264533.07392837765</v>
      </c>
      <c r="J11" s="48">
        <f>IF((I11-H$21+(H$21))+K11-(H11/2)&gt;$I$197,$I$197-K11,(I11-H$21+(H$21)-(H11/2)))</f>
        <v>76000.758974384822</v>
      </c>
      <c r="K11" s="109">
        <f t="shared" ref="K11:K42" si="2">I$196</f>
        <v>8719.2410256151761</v>
      </c>
      <c r="L11" s="49">
        <f t="shared" ref="L11:L70" si="3">J11+K11</f>
        <v>84720</v>
      </c>
      <c r="M11" s="138">
        <f t="shared" ref="M11:M74" si="4">J11*M$9</f>
        <v>72200.721025665582</v>
      </c>
      <c r="N11" s="109">
        <f t="shared" ref="N11:N74" si="5">K11*M$9</f>
        <v>8283.2789743344165</v>
      </c>
      <c r="O11" s="139">
        <f t="shared" ref="O11:O70" si="6">M11+N11</f>
        <v>80484</v>
      </c>
      <c r="P11" s="291">
        <f t="shared" ref="P11:P73" si="7">J11*$P$9</f>
        <v>68400.683076946341</v>
      </c>
      <c r="Q11" s="109">
        <f t="shared" ref="Q11:Q74" si="8">K11*P$9</f>
        <v>7847.3169230536587</v>
      </c>
      <c r="R11" s="49">
        <f t="shared" ref="R11:R70" si="9">P11+Q11</f>
        <v>76248</v>
      </c>
      <c r="S11" s="138">
        <f t="shared" ref="S11:S74" si="10">J11*S$9</f>
        <v>60800.607179507861</v>
      </c>
      <c r="T11" s="109">
        <f t="shared" ref="T11:T74" si="11">K11*S$9</f>
        <v>6975.3928204921413</v>
      </c>
      <c r="U11" s="139">
        <f t="shared" ref="U11:U70" si="12">S11+T11</f>
        <v>67776</v>
      </c>
      <c r="V11" s="48">
        <f t="shared" ref="V11:V74" si="13">J11*V$9</f>
        <v>53200.531282069373</v>
      </c>
      <c r="W11" s="109">
        <f t="shared" ref="W11:W74" si="14">K11*V$9</f>
        <v>6103.4687179306229</v>
      </c>
      <c r="X11" s="49">
        <f t="shared" ref="X11:X70" si="15">V11+W11</f>
        <v>59303.999999999993</v>
      </c>
      <c r="Y11" s="138">
        <f t="shared" ref="Y11:Y74" si="16">J11*Y$9</f>
        <v>45600.455384630892</v>
      </c>
      <c r="Z11" s="109">
        <f t="shared" ref="Z11:Z74" si="17">K11*Y$9</f>
        <v>5231.5446153691055</v>
      </c>
      <c r="AA11" s="49">
        <f t="shared" ref="AA11:AA70" si="18">Y11+Z11</f>
        <v>50832</v>
      </c>
      <c r="AB11" s="380"/>
    </row>
    <row r="12" spans="1:28" ht="12.75" customHeight="1">
      <c r="A12" s="187">
        <v>167</v>
      </c>
      <c r="B12" s="50">
        <v>40210</v>
      </c>
      <c r="C12" s="61">
        <f>VLOOKUP(B12,'base(indices)'!$A$4:$C$183,3,FALSE)</f>
        <v>510</v>
      </c>
      <c r="D12" s="192">
        <f>'base(indices)'!G5</f>
        <v>2.0010861599999998</v>
      </c>
      <c r="E12" s="54">
        <f t="shared" ref="E12:E22" si="19">C12*D12</f>
        <v>1020.5539415999999</v>
      </c>
      <c r="F12" s="82">
        <f>'base(indices)'!$I$147</f>
        <v>0.29920000000000002</v>
      </c>
      <c r="G12" s="54">
        <f t="shared" si="0"/>
        <v>305.34973932672</v>
      </c>
      <c r="H12" s="267">
        <f t="shared" si="1"/>
        <v>1325.90368092672</v>
      </c>
      <c r="I12" s="414">
        <f>I11-H11</f>
        <v>263200.27554700611</v>
      </c>
      <c r="J12" s="58">
        <f>IF((I12-H$21+(H$21/12*11))+K12-(H12/2)&gt;$I$197,$I$197-K12,(I12-H$21+(H$21/12*11)-(H12/2)))</f>
        <v>76000.758974384822</v>
      </c>
      <c r="K12" s="91">
        <f t="shared" si="2"/>
        <v>8719.2410256151761</v>
      </c>
      <c r="L12" s="284">
        <f t="shared" si="3"/>
        <v>84720</v>
      </c>
      <c r="M12" s="57">
        <f t="shared" si="4"/>
        <v>72200.721025665582</v>
      </c>
      <c r="N12" s="91">
        <f t="shared" si="5"/>
        <v>8283.2789743344165</v>
      </c>
      <c r="O12" s="60">
        <f t="shared" si="6"/>
        <v>80484</v>
      </c>
      <c r="P12" s="58">
        <f t="shared" si="7"/>
        <v>68400.683076946341</v>
      </c>
      <c r="Q12" s="91">
        <f t="shared" si="8"/>
        <v>7847.3169230536587</v>
      </c>
      <c r="R12" s="59">
        <f t="shared" si="9"/>
        <v>76248</v>
      </c>
      <c r="S12" s="57">
        <f t="shared" si="10"/>
        <v>60800.607179507861</v>
      </c>
      <c r="T12" s="91">
        <f t="shared" si="11"/>
        <v>6975.3928204921413</v>
      </c>
      <c r="U12" s="60">
        <f t="shared" si="12"/>
        <v>67776</v>
      </c>
      <c r="V12" s="58">
        <f t="shared" si="13"/>
        <v>53200.531282069373</v>
      </c>
      <c r="W12" s="91">
        <f t="shared" si="14"/>
        <v>6103.4687179306229</v>
      </c>
      <c r="X12" s="59">
        <f t="shared" si="15"/>
        <v>59303.999999999993</v>
      </c>
      <c r="Y12" s="57">
        <f t="shared" si="16"/>
        <v>45600.455384630892</v>
      </c>
      <c r="Z12" s="91">
        <f t="shared" si="17"/>
        <v>5231.5446153691055</v>
      </c>
      <c r="AA12" s="59">
        <f t="shared" si="18"/>
        <v>50832</v>
      </c>
      <c r="AB12" s="381"/>
    </row>
    <row r="13" spans="1:28" ht="12.75" customHeight="1">
      <c r="A13" s="187">
        <v>166</v>
      </c>
      <c r="B13" s="40">
        <v>40238</v>
      </c>
      <c r="C13" s="61">
        <f>VLOOKUP(B13,'base(indices)'!$A$4:$C$183,3,FALSE)</f>
        <v>510</v>
      </c>
      <c r="D13" s="192">
        <f>'base(indices)'!G6</f>
        <v>1.9824511199999999</v>
      </c>
      <c r="E13" s="63">
        <f t="shared" si="19"/>
        <v>1011.0500711999999</v>
      </c>
      <c r="F13" s="82">
        <f>'base(indices)'!$I$147</f>
        <v>0.29920000000000002</v>
      </c>
      <c r="G13" s="63">
        <f t="shared" si="0"/>
        <v>302.50618130304002</v>
      </c>
      <c r="H13" s="268">
        <f t="shared" si="1"/>
        <v>1313.55625250304</v>
      </c>
      <c r="I13" s="415">
        <f t="shared" ref="I13:I76" si="20">I12-H12</f>
        <v>261874.3718660794</v>
      </c>
      <c r="J13" s="45">
        <f>IF((I13-H$21+(H$21/12*10))+K13-(H13/2)&gt;$I$197,$I$197-K13,(I13-H$21+(H$21/12*10)-(H13/2)))</f>
        <v>76000.758974384822</v>
      </c>
      <c r="K13" s="108">
        <f t="shared" si="2"/>
        <v>8719.2410256151761</v>
      </c>
      <c r="L13" s="46">
        <f t="shared" si="3"/>
        <v>84720</v>
      </c>
      <c r="M13" s="43">
        <f t="shared" si="4"/>
        <v>72200.721025665582</v>
      </c>
      <c r="N13" s="108">
        <f t="shared" si="5"/>
        <v>8283.2789743344165</v>
      </c>
      <c r="O13" s="47">
        <f t="shared" si="6"/>
        <v>80484</v>
      </c>
      <c r="P13" s="119">
        <f t="shared" si="7"/>
        <v>68400.683076946341</v>
      </c>
      <c r="Q13" s="108">
        <f t="shared" si="8"/>
        <v>7847.3169230536587</v>
      </c>
      <c r="R13" s="46">
        <f t="shared" si="9"/>
        <v>76248</v>
      </c>
      <c r="S13" s="43">
        <f t="shared" si="10"/>
        <v>60800.607179507861</v>
      </c>
      <c r="T13" s="108">
        <f t="shared" si="11"/>
        <v>6975.3928204921413</v>
      </c>
      <c r="U13" s="47">
        <f t="shared" si="12"/>
        <v>67776</v>
      </c>
      <c r="V13" s="45">
        <f t="shared" si="13"/>
        <v>53200.531282069373</v>
      </c>
      <c r="W13" s="108">
        <f t="shared" si="14"/>
        <v>6103.4687179306229</v>
      </c>
      <c r="X13" s="46">
        <f t="shared" si="15"/>
        <v>59303.999999999993</v>
      </c>
      <c r="Y13" s="43">
        <f t="shared" si="16"/>
        <v>45600.455384630892</v>
      </c>
      <c r="Z13" s="108">
        <f t="shared" si="17"/>
        <v>5231.5446153691055</v>
      </c>
      <c r="AA13" s="46">
        <f t="shared" si="18"/>
        <v>50832</v>
      </c>
      <c r="AB13" s="380"/>
    </row>
    <row r="14" spans="1:28" ht="12.75" customHeight="1">
      <c r="A14" s="187">
        <v>165</v>
      </c>
      <c r="B14" s="50">
        <v>40269</v>
      </c>
      <c r="C14" s="61">
        <f>VLOOKUP(B14,'base(indices)'!$A$4:$C$183,3,FALSE)</f>
        <v>510</v>
      </c>
      <c r="D14" s="192">
        <f>'base(indices)'!G7</f>
        <v>1.97160728</v>
      </c>
      <c r="E14" s="54">
        <f t="shared" si="19"/>
        <v>1005.5197128</v>
      </c>
      <c r="F14" s="82">
        <f>'base(indices)'!$I$147</f>
        <v>0.29920000000000002</v>
      </c>
      <c r="G14" s="54">
        <f t="shared" si="0"/>
        <v>300.85149806976</v>
      </c>
      <c r="H14" s="267">
        <f t="shared" si="1"/>
        <v>1306.37121086976</v>
      </c>
      <c r="I14" s="414">
        <f t="shared" si="20"/>
        <v>260560.81561357636</v>
      </c>
      <c r="J14" s="58">
        <f>IF((I14-H$21+(H$21/12*9))+K14-(H14/2)&gt;$I$197,$I$197-K14,(I14-H$21+(H$21/12*9)-(H14/2)))</f>
        <v>76000.758974384822</v>
      </c>
      <c r="K14" s="91">
        <f t="shared" si="2"/>
        <v>8719.2410256151761</v>
      </c>
      <c r="L14" s="284">
        <f t="shared" si="3"/>
        <v>84720</v>
      </c>
      <c r="M14" s="57">
        <f t="shared" si="4"/>
        <v>72200.721025665582</v>
      </c>
      <c r="N14" s="91">
        <f t="shared" si="5"/>
        <v>8283.2789743344165</v>
      </c>
      <c r="O14" s="60">
        <f t="shared" si="6"/>
        <v>80484</v>
      </c>
      <c r="P14" s="58">
        <f t="shared" si="7"/>
        <v>68400.683076946341</v>
      </c>
      <c r="Q14" s="91">
        <f t="shared" si="8"/>
        <v>7847.3169230536587</v>
      </c>
      <c r="R14" s="59">
        <f t="shared" si="9"/>
        <v>76248</v>
      </c>
      <c r="S14" s="57">
        <f t="shared" si="10"/>
        <v>60800.607179507861</v>
      </c>
      <c r="T14" s="91">
        <f t="shared" si="11"/>
        <v>6975.3928204921413</v>
      </c>
      <c r="U14" s="60">
        <f t="shared" si="12"/>
        <v>67776</v>
      </c>
      <c r="V14" s="58">
        <f t="shared" si="13"/>
        <v>53200.531282069373</v>
      </c>
      <c r="W14" s="91">
        <f t="shared" si="14"/>
        <v>6103.4687179306229</v>
      </c>
      <c r="X14" s="59">
        <f t="shared" si="15"/>
        <v>59303.999999999993</v>
      </c>
      <c r="Y14" s="57">
        <f t="shared" si="16"/>
        <v>45600.455384630892</v>
      </c>
      <c r="Z14" s="91">
        <f t="shared" si="17"/>
        <v>5231.5446153691055</v>
      </c>
      <c r="AA14" s="59">
        <f t="shared" si="18"/>
        <v>50832</v>
      </c>
      <c r="AB14" s="381"/>
    </row>
    <row r="15" spans="1:28" ht="12.75" customHeight="1">
      <c r="A15" s="187">
        <v>164</v>
      </c>
      <c r="B15" s="40">
        <v>40299</v>
      </c>
      <c r="C15" s="61">
        <f>VLOOKUP(B15,'base(indices)'!$A$4:$C$183,3,FALSE)</f>
        <v>510</v>
      </c>
      <c r="D15" s="192">
        <f>'base(indices)'!G8</f>
        <v>1.96218878</v>
      </c>
      <c r="E15" s="63">
        <f t="shared" si="19"/>
        <v>1000.7162777999999</v>
      </c>
      <c r="F15" s="82">
        <f>'base(indices)'!$I$147</f>
        <v>0.29920000000000002</v>
      </c>
      <c r="G15" s="63">
        <f t="shared" si="0"/>
        <v>299.41431031776</v>
      </c>
      <c r="H15" s="268">
        <f t="shared" si="1"/>
        <v>1300.13058811776</v>
      </c>
      <c r="I15" s="415">
        <f t="shared" si="20"/>
        <v>259254.44440270661</v>
      </c>
      <c r="J15" s="45">
        <f>IF((I15-H$21+(H$21/12*8))+K15-(H15/2)&gt;$I$197,$I$197-K15,(I15-H$21+(H$21/12*8)-(H15/2)))</f>
        <v>76000.758974384822</v>
      </c>
      <c r="K15" s="108">
        <f t="shared" si="2"/>
        <v>8719.2410256151761</v>
      </c>
      <c r="L15" s="46">
        <f t="shared" si="3"/>
        <v>84720</v>
      </c>
      <c r="M15" s="43">
        <f t="shared" si="4"/>
        <v>72200.721025665582</v>
      </c>
      <c r="N15" s="108">
        <f t="shared" si="5"/>
        <v>8283.2789743344165</v>
      </c>
      <c r="O15" s="47">
        <f t="shared" si="6"/>
        <v>80484</v>
      </c>
      <c r="P15" s="119">
        <f t="shared" si="7"/>
        <v>68400.683076946341</v>
      </c>
      <c r="Q15" s="108">
        <f t="shared" si="8"/>
        <v>7847.3169230536587</v>
      </c>
      <c r="R15" s="46">
        <f t="shared" si="9"/>
        <v>76248</v>
      </c>
      <c r="S15" s="43">
        <f t="shared" si="10"/>
        <v>60800.607179507861</v>
      </c>
      <c r="T15" s="108">
        <f t="shared" si="11"/>
        <v>6975.3928204921413</v>
      </c>
      <c r="U15" s="47">
        <f t="shared" si="12"/>
        <v>67776</v>
      </c>
      <c r="V15" s="45">
        <f t="shared" si="13"/>
        <v>53200.531282069373</v>
      </c>
      <c r="W15" s="108">
        <f t="shared" si="14"/>
        <v>6103.4687179306229</v>
      </c>
      <c r="X15" s="46">
        <f t="shared" si="15"/>
        <v>59303.999999999993</v>
      </c>
      <c r="Y15" s="43">
        <f t="shared" si="16"/>
        <v>45600.455384630892</v>
      </c>
      <c r="Z15" s="108">
        <f t="shared" si="17"/>
        <v>5231.5446153691055</v>
      </c>
      <c r="AA15" s="46">
        <f t="shared" si="18"/>
        <v>50832</v>
      </c>
      <c r="AB15" s="380"/>
    </row>
    <row r="16" spans="1:28" ht="12.75" customHeight="1">
      <c r="A16" s="187">
        <v>163</v>
      </c>
      <c r="B16" s="50">
        <v>40330</v>
      </c>
      <c r="C16" s="61">
        <f>VLOOKUP(B16,'base(indices)'!$A$4:$C$183,3,FALSE)</f>
        <v>510</v>
      </c>
      <c r="D16" s="192">
        <f>'base(indices)'!G9</f>
        <v>1.94990438</v>
      </c>
      <c r="E16" s="54">
        <f t="shared" si="19"/>
        <v>994.45123379999995</v>
      </c>
      <c r="F16" s="82">
        <f>'base(indices)'!$I$147</f>
        <v>0.29920000000000002</v>
      </c>
      <c r="G16" s="54">
        <f t="shared" si="0"/>
        <v>297.53980915296</v>
      </c>
      <c r="H16" s="267">
        <f t="shared" si="1"/>
        <v>1291.99104295296</v>
      </c>
      <c r="I16" s="414">
        <f t="shared" si="20"/>
        <v>257954.31381458885</v>
      </c>
      <c r="J16" s="58">
        <f>IF((I16-H$21+(H$21/12*7))+K16-(H16/2)&gt;$I$197,$I$197-K16,(I16-H$21+(H$21/12*7)-(H16/2)))</f>
        <v>76000.758974384822</v>
      </c>
      <c r="K16" s="91">
        <f t="shared" si="2"/>
        <v>8719.2410256151761</v>
      </c>
      <c r="L16" s="284">
        <f t="shared" si="3"/>
        <v>84720</v>
      </c>
      <c r="M16" s="57">
        <f t="shared" si="4"/>
        <v>72200.721025665582</v>
      </c>
      <c r="N16" s="91">
        <f t="shared" si="5"/>
        <v>8283.2789743344165</v>
      </c>
      <c r="O16" s="60">
        <f t="shared" si="6"/>
        <v>80484</v>
      </c>
      <c r="P16" s="58">
        <f t="shared" si="7"/>
        <v>68400.683076946341</v>
      </c>
      <c r="Q16" s="91">
        <f t="shared" si="8"/>
        <v>7847.3169230536587</v>
      </c>
      <c r="R16" s="59">
        <f t="shared" si="9"/>
        <v>76248</v>
      </c>
      <c r="S16" s="57">
        <f t="shared" si="10"/>
        <v>60800.607179507861</v>
      </c>
      <c r="T16" s="91">
        <f t="shared" si="11"/>
        <v>6975.3928204921413</v>
      </c>
      <c r="U16" s="60">
        <f t="shared" si="12"/>
        <v>67776</v>
      </c>
      <c r="V16" s="58">
        <f t="shared" si="13"/>
        <v>53200.531282069373</v>
      </c>
      <c r="W16" s="91">
        <f t="shared" si="14"/>
        <v>6103.4687179306229</v>
      </c>
      <c r="X16" s="59">
        <f t="shared" si="15"/>
        <v>59303.999999999993</v>
      </c>
      <c r="Y16" s="57">
        <f t="shared" si="16"/>
        <v>45600.455384630892</v>
      </c>
      <c r="Z16" s="91">
        <f t="shared" si="17"/>
        <v>5231.5446153691055</v>
      </c>
      <c r="AA16" s="59">
        <f t="shared" si="18"/>
        <v>50832</v>
      </c>
      <c r="AB16" s="381"/>
    </row>
    <row r="17" spans="1:28" ht="12.75" customHeight="1">
      <c r="A17" s="187">
        <v>162</v>
      </c>
      <c r="B17" s="40">
        <v>40360</v>
      </c>
      <c r="C17" s="61">
        <f>VLOOKUP(B17,'base(indices)'!$A$4:$C$183,3,FALSE)</f>
        <v>510</v>
      </c>
      <c r="D17" s="192">
        <f>'base(indices)'!G10</f>
        <v>1.9462065900000001</v>
      </c>
      <c r="E17" s="63">
        <f t="shared" si="19"/>
        <v>992.56536090000009</v>
      </c>
      <c r="F17" s="82">
        <f>'base(indices)'!$I$147</f>
        <v>0.29920000000000002</v>
      </c>
      <c r="G17" s="63">
        <f t="shared" si="0"/>
        <v>296.97555598128002</v>
      </c>
      <c r="H17" s="268">
        <f t="shared" si="1"/>
        <v>1289.5409168812801</v>
      </c>
      <c r="I17" s="415">
        <f t="shared" si="20"/>
        <v>256662.3227716359</v>
      </c>
      <c r="J17" s="45">
        <f>IF((I17-H$21+(H$21/12*6))+K17-(H17/2)&gt;$I$197,$I$197-K17,(I17-H$21+(H$21/12*6)-(H17/2)))</f>
        <v>76000.758974384822</v>
      </c>
      <c r="K17" s="108">
        <f t="shared" si="2"/>
        <v>8719.2410256151761</v>
      </c>
      <c r="L17" s="46">
        <f t="shared" si="3"/>
        <v>84720</v>
      </c>
      <c r="M17" s="43">
        <f t="shared" si="4"/>
        <v>72200.721025665582</v>
      </c>
      <c r="N17" s="108">
        <f t="shared" si="5"/>
        <v>8283.2789743344165</v>
      </c>
      <c r="O17" s="47">
        <f t="shared" si="6"/>
        <v>80484</v>
      </c>
      <c r="P17" s="119">
        <f t="shared" si="7"/>
        <v>68400.683076946341</v>
      </c>
      <c r="Q17" s="108">
        <f t="shared" si="8"/>
        <v>7847.3169230536587</v>
      </c>
      <c r="R17" s="46">
        <f t="shared" si="9"/>
        <v>76248</v>
      </c>
      <c r="S17" s="43">
        <f t="shared" si="10"/>
        <v>60800.607179507861</v>
      </c>
      <c r="T17" s="108">
        <f t="shared" si="11"/>
        <v>6975.3928204921413</v>
      </c>
      <c r="U17" s="47">
        <f t="shared" si="12"/>
        <v>67776</v>
      </c>
      <c r="V17" s="45">
        <f t="shared" si="13"/>
        <v>53200.531282069373</v>
      </c>
      <c r="W17" s="108">
        <f t="shared" si="14"/>
        <v>6103.4687179306229</v>
      </c>
      <c r="X17" s="46">
        <f t="shared" si="15"/>
        <v>59303.999999999993</v>
      </c>
      <c r="Y17" s="43">
        <f t="shared" si="16"/>
        <v>45600.455384630892</v>
      </c>
      <c r="Z17" s="108">
        <f t="shared" si="17"/>
        <v>5231.5446153691055</v>
      </c>
      <c r="AA17" s="46">
        <f t="shared" si="18"/>
        <v>50832</v>
      </c>
      <c r="AB17" s="380"/>
    </row>
    <row r="18" spans="1:28" ht="12.75" customHeight="1">
      <c r="A18" s="187">
        <v>161</v>
      </c>
      <c r="B18" s="50">
        <v>40391</v>
      </c>
      <c r="C18" s="61">
        <f>VLOOKUP(B18,'base(indices)'!$A$4:$C$183,3,FALSE)</f>
        <v>510</v>
      </c>
      <c r="D18" s="192">
        <f>'base(indices)'!G11</f>
        <v>1.9479597500000001</v>
      </c>
      <c r="E18" s="54">
        <f t="shared" si="19"/>
        <v>993.45947250000006</v>
      </c>
      <c r="F18" s="82">
        <f>'base(indices)'!$I$147</f>
        <v>0.29920000000000002</v>
      </c>
      <c r="G18" s="54">
        <f t="shared" si="0"/>
        <v>297.24307417200004</v>
      </c>
      <c r="H18" s="267">
        <f t="shared" si="1"/>
        <v>1290.7025466720002</v>
      </c>
      <c r="I18" s="414">
        <f t="shared" si="20"/>
        <v>255372.7818547546</v>
      </c>
      <c r="J18" s="58">
        <f>IF((I18-H$21+(H$21/12*5))+K18-(H18/2)&gt;$I$197,$I$197-K18,(I18-H$21+(H$21/12*5)-(H18/2)))</f>
        <v>76000.758974384822</v>
      </c>
      <c r="K18" s="91">
        <f t="shared" si="2"/>
        <v>8719.2410256151761</v>
      </c>
      <c r="L18" s="284">
        <f t="shared" si="3"/>
        <v>84720</v>
      </c>
      <c r="M18" s="57">
        <f t="shared" si="4"/>
        <v>72200.721025665582</v>
      </c>
      <c r="N18" s="91">
        <f t="shared" si="5"/>
        <v>8283.2789743344165</v>
      </c>
      <c r="O18" s="60">
        <f t="shared" si="6"/>
        <v>80484</v>
      </c>
      <c r="P18" s="58">
        <f t="shared" si="7"/>
        <v>68400.683076946341</v>
      </c>
      <c r="Q18" s="91">
        <f t="shared" si="8"/>
        <v>7847.3169230536587</v>
      </c>
      <c r="R18" s="59">
        <f t="shared" si="9"/>
        <v>76248</v>
      </c>
      <c r="S18" s="57">
        <f t="shared" si="10"/>
        <v>60800.607179507861</v>
      </c>
      <c r="T18" s="91">
        <f t="shared" si="11"/>
        <v>6975.3928204921413</v>
      </c>
      <c r="U18" s="60">
        <f t="shared" si="12"/>
        <v>67776</v>
      </c>
      <c r="V18" s="58">
        <f t="shared" si="13"/>
        <v>53200.531282069373</v>
      </c>
      <c r="W18" s="91">
        <f t="shared" si="14"/>
        <v>6103.4687179306229</v>
      </c>
      <c r="X18" s="59">
        <f t="shared" si="15"/>
        <v>59303.999999999993</v>
      </c>
      <c r="Y18" s="57">
        <f t="shared" si="16"/>
        <v>45600.455384630892</v>
      </c>
      <c r="Z18" s="91">
        <f t="shared" si="17"/>
        <v>5231.5446153691055</v>
      </c>
      <c r="AA18" s="59">
        <f t="shared" si="18"/>
        <v>50832</v>
      </c>
      <c r="AB18" s="381"/>
    </row>
    <row r="19" spans="1:28" ht="12.75" customHeight="1">
      <c r="A19" s="187">
        <v>160</v>
      </c>
      <c r="B19" s="40">
        <v>40422</v>
      </c>
      <c r="C19" s="61">
        <f>VLOOKUP(B19,'base(indices)'!$A$4:$C$183,3,FALSE)</f>
        <v>510</v>
      </c>
      <c r="D19" s="192">
        <f>'base(indices)'!G12</f>
        <v>1.9489342199999999</v>
      </c>
      <c r="E19" s="63">
        <f t="shared" si="19"/>
        <v>993.95645219999994</v>
      </c>
      <c r="F19" s="82">
        <f>'base(indices)'!$I$147</f>
        <v>0.29920000000000002</v>
      </c>
      <c r="G19" s="63">
        <f t="shared" si="0"/>
        <v>297.39177049824002</v>
      </c>
      <c r="H19" s="268">
        <f t="shared" si="1"/>
        <v>1291.3482226982401</v>
      </c>
      <c r="I19" s="415">
        <f t="shared" si="20"/>
        <v>254082.07930808261</v>
      </c>
      <c r="J19" s="45">
        <f>IF((I19-H$21+(H$21/12*4))+K19-(H19/2)&gt;$I$197,$I$197-K19,(I19-H$21+(H$21/12*4)-(H19/2)))</f>
        <v>76000.758974384822</v>
      </c>
      <c r="K19" s="108">
        <f t="shared" si="2"/>
        <v>8719.2410256151761</v>
      </c>
      <c r="L19" s="46">
        <f t="shared" si="3"/>
        <v>84720</v>
      </c>
      <c r="M19" s="43">
        <f t="shared" si="4"/>
        <v>72200.721025665582</v>
      </c>
      <c r="N19" s="108">
        <f t="shared" si="5"/>
        <v>8283.2789743344165</v>
      </c>
      <c r="O19" s="47">
        <f t="shared" si="6"/>
        <v>80484</v>
      </c>
      <c r="P19" s="119">
        <f t="shared" si="7"/>
        <v>68400.683076946341</v>
      </c>
      <c r="Q19" s="108">
        <f t="shared" si="8"/>
        <v>7847.3169230536587</v>
      </c>
      <c r="R19" s="46">
        <f t="shared" si="9"/>
        <v>76248</v>
      </c>
      <c r="S19" s="43">
        <f t="shared" si="10"/>
        <v>60800.607179507861</v>
      </c>
      <c r="T19" s="108">
        <f t="shared" si="11"/>
        <v>6975.3928204921413</v>
      </c>
      <c r="U19" s="47">
        <f t="shared" si="12"/>
        <v>67776</v>
      </c>
      <c r="V19" s="45">
        <f t="shared" si="13"/>
        <v>53200.531282069373</v>
      </c>
      <c r="W19" s="108">
        <f t="shared" si="14"/>
        <v>6103.4687179306229</v>
      </c>
      <c r="X19" s="46">
        <f t="shared" si="15"/>
        <v>59303.999999999993</v>
      </c>
      <c r="Y19" s="43">
        <f t="shared" si="16"/>
        <v>45600.455384630892</v>
      </c>
      <c r="Z19" s="108">
        <f t="shared" si="17"/>
        <v>5231.5446153691055</v>
      </c>
      <c r="AA19" s="46">
        <f t="shared" si="18"/>
        <v>50832</v>
      </c>
      <c r="AB19" s="380"/>
    </row>
    <row r="20" spans="1:28" ht="12.75" customHeight="1">
      <c r="A20" s="187">
        <v>159</v>
      </c>
      <c r="B20" s="50">
        <v>40452</v>
      </c>
      <c r="C20" s="61">
        <f>VLOOKUP(B20,'base(indices)'!$A$4:$C$183,3,FALSE)</f>
        <v>510</v>
      </c>
      <c r="D20" s="192">
        <f>'base(indices)'!G13</f>
        <v>1.94291119</v>
      </c>
      <c r="E20" s="54">
        <f t="shared" si="19"/>
        <v>990.88470689999997</v>
      </c>
      <c r="F20" s="82">
        <f>'base(indices)'!$I$147</f>
        <v>0.29920000000000002</v>
      </c>
      <c r="G20" s="54">
        <f t="shared" si="0"/>
        <v>296.47270430448003</v>
      </c>
      <c r="H20" s="267">
        <f t="shared" si="1"/>
        <v>1287.3574112044801</v>
      </c>
      <c r="I20" s="414">
        <f t="shared" si="20"/>
        <v>252790.73108538438</v>
      </c>
      <c r="J20" s="58">
        <f>IF((I20-H$21+(H$21/12*3))+K20-(H20/2)&gt;$I$197,$I$197-K20,(I20-H$21+(H$21/12*3)-(H20/2)))</f>
        <v>76000.758974384822</v>
      </c>
      <c r="K20" s="91">
        <f t="shared" si="2"/>
        <v>8719.2410256151761</v>
      </c>
      <c r="L20" s="284">
        <f t="shared" si="3"/>
        <v>84720</v>
      </c>
      <c r="M20" s="57">
        <f t="shared" si="4"/>
        <v>72200.721025665582</v>
      </c>
      <c r="N20" s="91">
        <f t="shared" si="5"/>
        <v>8283.2789743344165</v>
      </c>
      <c r="O20" s="60">
        <f t="shared" si="6"/>
        <v>80484</v>
      </c>
      <c r="P20" s="58">
        <f t="shared" si="7"/>
        <v>68400.683076946341</v>
      </c>
      <c r="Q20" s="91">
        <f t="shared" si="8"/>
        <v>7847.3169230536587</v>
      </c>
      <c r="R20" s="59">
        <f t="shared" si="9"/>
        <v>76248</v>
      </c>
      <c r="S20" s="57">
        <f t="shared" si="10"/>
        <v>60800.607179507861</v>
      </c>
      <c r="T20" s="91">
        <f t="shared" si="11"/>
        <v>6975.3928204921413</v>
      </c>
      <c r="U20" s="60">
        <f t="shared" si="12"/>
        <v>67776</v>
      </c>
      <c r="V20" s="58">
        <f t="shared" si="13"/>
        <v>53200.531282069373</v>
      </c>
      <c r="W20" s="91">
        <f t="shared" si="14"/>
        <v>6103.4687179306229</v>
      </c>
      <c r="X20" s="59">
        <f t="shared" si="15"/>
        <v>59303.999999999993</v>
      </c>
      <c r="Y20" s="57">
        <f t="shared" si="16"/>
        <v>45600.455384630892</v>
      </c>
      <c r="Z20" s="91">
        <f t="shared" si="17"/>
        <v>5231.5446153691055</v>
      </c>
      <c r="AA20" s="59">
        <f t="shared" si="18"/>
        <v>50832</v>
      </c>
      <c r="AB20" s="381"/>
    </row>
    <row r="21" spans="1:28" ht="12.75" customHeight="1">
      <c r="A21" s="187">
        <v>158</v>
      </c>
      <c r="B21" s="40">
        <v>40483</v>
      </c>
      <c r="C21" s="61">
        <f>VLOOKUP(B21,'base(indices)'!$A$4:$C$183,3,FALSE)</f>
        <v>510</v>
      </c>
      <c r="D21" s="192">
        <f>'base(indices)'!G14</f>
        <v>1.9309393699999999</v>
      </c>
      <c r="E21" s="63">
        <f t="shared" si="19"/>
        <v>984.77907870000001</v>
      </c>
      <c r="F21" s="82">
        <f>'base(indices)'!$I$147</f>
        <v>0.29920000000000002</v>
      </c>
      <c r="G21" s="63">
        <f t="shared" si="0"/>
        <v>294.64590034704003</v>
      </c>
      <c r="H21" s="268">
        <f t="shared" si="1"/>
        <v>1279.4249790470401</v>
      </c>
      <c r="I21" s="415">
        <f t="shared" si="20"/>
        <v>251503.37367417989</v>
      </c>
      <c r="J21" s="45">
        <f>IF((I21-H$21+(H$21/12*2))+K21-(H21/2)&gt;$I$197,$I$197-K21,(I21-H$21+(H$21/12*2)-(H21/2)))</f>
        <v>76000.758974384822</v>
      </c>
      <c r="K21" s="108">
        <f t="shared" si="2"/>
        <v>8719.2410256151761</v>
      </c>
      <c r="L21" s="46">
        <f t="shared" si="3"/>
        <v>84720</v>
      </c>
      <c r="M21" s="43">
        <f t="shared" si="4"/>
        <v>72200.721025665582</v>
      </c>
      <c r="N21" s="108">
        <f t="shared" si="5"/>
        <v>8283.2789743344165</v>
      </c>
      <c r="O21" s="47">
        <f t="shared" si="6"/>
        <v>80484</v>
      </c>
      <c r="P21" s="119">
        <f t="shared" si="7"/>
        <v>68400.683076946341</v>
      </c>
      <c r="Q21" s="108">
        <f t="shared" si="8"/>
        <v>7847.3169230536587</v>
      </c>
      <c r="R21" s="46">
        <f t="shared" si="9"/>
        <v>76248</v>
      </c>
      <c r="S21" s="43">
        <f t="shared" si="10"/>
        <v>60800.607179507861</v>
      </c>
      <c r="T21" s="108">
        <f t="shared" si="11"/>
        <v>6975.3928204921413</v>
      </c>
      <c r="U21" s="47">
        <f t="shared" si="12"/>
        <v>67776</v>
      </c>
      <c r="V21" s="45">
        <f t="shared" si="13"/>
        <v>53200.531282069373</v>
      </c>
      <c r="W21" s="108">
        <f t="shared" si="14"/>
        <v>6103.4687179306229</v>
      </c>
      <c r="X21" s="46">
        <f t="shared" si="15"/>
        <v>59303.999999999993</v>
      </c>
      <c r="Y21" s="43">
        <f t="shared" si="16"/>
        <v>45600.455384630892</v>
      </c>
      <c r="Z21" s="108">
        <f t="shared" si="17"/>
        <v>5231.5446153691055</v>
      </c>
      <c r="AA21" s="46">
        <f t="shared" si="18"/>
        <v>50832</v>
      </c>
      <c r="AB21" s="380"/>
    </row>
    <row r="22" spans="1:28" ht="12.75" customHeight="1" thickBot="1">
      <c r="A22" s="188">
        <v>157</v>
      </c>
      <c r="B22" s="300">
        <v>40513</v>
      </c>
      <c r="C22" s="69">
        <f>C21*2</f>
        <v>1020</v>
      </c>
      <c r="D22" s="335">
        <f>'base(indices)'!G15</f>
        <v>1.91447488</v>
      </c>
      <c r="E22" s="163">
        <f t="shared" si="19"/>
        <v>1952.7643776</v>
      </c>
      <c r="F22" s="304">
        <f>'base(indices)'!$I$147</f>
        <v>0.29920000000000002</v>
      </c>
      <c r="G22" s="163">
        <f t="shared" si="0"/>
        <v>584.26710177792006</v>
      </c>
      <c r="H22" s="355">
        <f t="shared" si="1"/>
        <v>2537.0314793779198</v>
      </c>
      <c r="I22" s="416">
        <f t="shared" si="20"/>
        <v>250223.94869513286</v>
      </c>
      <c r="J22" s="175">
        <f>IF((I22-H$21+(H$21/12*1))+K22-(H22/4)&gt;$I$197,$I$197-K22,(I22-H$21+(H$21/12*1)-(H22/4)))</f>
        <v>76000.758974384822</v>
      </c>
      <c r="K22" s="86">
        <f t="shared" si="2"/>
        <v>8719.2410256151761</v>
      </c>
      <c r="L22" s="287">
        <f t="shared" si="3"/>
        <v>84720</v>
      </c>
      <c r="M22" s="85">
        <f t="shared" si="4"/>
        <v>72200.721025665582</v>
      </c>
      <c r="N22" s="86">
        <f t="shared" si="5"/>
        <v>8283.2789743344165</v>
      </c>
      <c r="O22" s="107">
        <f t="shared" si="6"/>
        <v>80484</v>
      </c>
      <c r="P22" s="175">
        <f t="shared" si="7"/>
        <v>68400.683076946341</v>
      </c>
      <c r="Q22" s="86">
        <f t="shared" si="8"/>
        <v>7847.3169230536587</v>
      </c>
      <c r="R22" s="165">
        <f t="shared" si="9"/>
        <v>76248</v>
      </c>
      <c r="S22" s="85">
        <f t="shared" si="10"/>
        <v>60800.607179507861</v>
      </c>
      <c r="T22" s="86">
        <f t="shared" si="11"/>
        <v>6975.3928204921413</v>
      </c>
      <c r="U22" s="107">
        <f t="shared" si="12"/>
        <v>67776</v>
      </c>
      <c r="V22" s="175">
        <f t="shared" si="13"/>
        <v>53200.531282069373</v>
      </c>
      <c r="W22" s="86">
        <f t="shared" si="14"/>
        <v>6103.4687179306229</v>
      </c>
      <c r="X22" s="165">
        <f t="shared" si="15"/>
        <v>59303.999999999993</v>
      </c>
      <c r="Y22" s="85">
        <f t="shared" si="16"/>
        <v>45600.455384630892</v>
      </c>
      <c r="Z22" s="86">
        <f t="shared" si="17"/>
        <v>5231.5446153691055</v>
      </c>
      <c r="AA22" s="165">
        <f t="shared" si="18"/>
        <v>50832</v>
      </c>
      <c r="AB22" s="381"/>
    </row>
    <row r="23" spans="1:28" ht="12.75" customHeight="1">
      <c r="A23" s="217">
        <v>156</v>
      </c>
      <c r="B23" s="246">
        <v>40544</v>
      </c>
      <c r="C23" s="273">
        <f>VLOOKUP(B23,'base(indices)'!$A$4:$C$183,3,FALSE)</f>
        <v>540</v>
      </c>
      <c r="D23" s="195">
        <f>'base(indices)'!G16</f>
        <v>1.90135553</v>
      </c>
      <c r="E23" s="154">
        <f>C23*D23</f>
        <v>1026.7319861999999</v>
      </c>
      <c r="F23" s="42">
        <f>'base(indices)'!$I$147</f>
        <v>0.29920000000000002</v>
      </c>
      <c r="G23" s="154">
        <f t="shared" si="0"/>
        <v>307.19821027104001</v>
      </c>
      <c r="H23" s="362">
        <f t="shared" si="1"/>
        <v>1333.9301964710398</v>
      </c>
      <c r="I23" s="401">
        <f t="shared" si="20"/>
        <v>247686.91721575495</v>
      </c>
      <c r="J23" s="288">
        <f>IF((I23-H$33+(H$33))+K23-(H23/2)&gt;$I$197,$I$197-K23,(I23-H$33+(H$33)-(H23/2)))</f>
        <v>76000.758974384822</v>
      </c>
      <c r="K23" s="156">
        <f t="shared" si="2"/>
        <v>8719.2410256151761</v>
      </c>
      <c r="L23" s="150">
        <f t="shared" si="3"/>
        <v>84720</v>
      </c>
      <c r="M23" s="283">
        <f t="shared" si="4"/>
        <v>72200.721025665582</v>
      </c>
      <c r="N23" s="156">
        <f t="shared" si="5"/>
        <v>8283.2789743344165</v>
      </c>
      <c r="O23" s="290">
        <f t="shared" si="6"/>
        <v>80484</v>
      </c>
      <c r="P23" s="292">
        <f t="shared" si="7"/>
        <v>68400.683076946341</v>
      </c>
      <c r="Q23" s="156">
        <f t="shared" si="8"/>
        <v>7847.3169230536587</v>
      </c>
      <c r="R23" s="150">
        <f t="shared" si="9"/>
        <v>76248</v>
      </c>
      <c r="S23" s="283">
        <f t="shared" si="10"/>
        <v>60800.607179507861</v>
      </c>
      <c r="T23" s="156">
        <f t="shared" si="11"/>
        <v>6975.3928204921413</v>
      </c>
      <c r="U23" s="290">
        <f t="shared" si="12"/>
        <v>67776</v>
      </c>
      <c r="V23" s="288">
        <f t="shared" si="13"/>
        <v>53200.531282069373</v>
      </c>
      <c r="W23" s="156">
        <f t="shared" si="14"/>
        <v>6103.4687179306229</v>
      </c>
      <c r="X23" s="150">
        <f t="shared" si="15"/>
        <v>59303.999999999993</v>
      </c>
      <c r="Y23" s="283">
        <f t="shared" si="16"/>
        <v>45600.455384630892</v>
      </c>
      <c r="Z23" s="156">
        <f t="shared" si="17"/>
        <v>5231.5446153691055</v>
      </c>
      <c r="AA23" s="150">
        <f t="shared" si="18"/>
        <v>50832</v>
      </c>
      <c r="AB23" s="380"/>
    </row>
    <row r="24" spans="1:28" ht="12.75" customHeight="1">
      <c r="A24" s="187">
        <v>155</v>
      </c>
      <c r="B24" s="50">
        <v>40575</v>
      </c>
      <c r="C24" s="61">
        <f>VLOOKUP(B24,'base(indices)'!$A$4:$C$183,3,FALSE)</f>
        <v>540</v>
      </c>
      <c r="D24" s="192">
        <f>'base(indices)'!G17</f>
        <v>1.88701422</v>
      </c>
      <c r="E24" s="54">
        <f t="shared" ref="E24:E34" si="21">C24*D24</f>
        <v>1018.9876788</v>
      </c>
      <c r="F24" s="82">
        <f>'base(indices)'!$I$147</f>
        <v>0.29920000000000002</v>
      </c>
      <c r="G24" s="54">
        <f t="shared" si="0"/>
        <v>304.88111349696004</v>
      </c>
      <c r="H24" s="267">
        <f t="shared" si="1"/>
        <v>1323.86879229696</v>
      </c>
      <c r="I24" s="359">
        <f t="shared" si="20"/>
        <v>246352.9870192839</v>
      </c>
      <c r="J24" s="58">
        <f>IF((I24-H$33+(H$33/12*11))+K24-(H24/2)&gt;$I$197,$I$197-K24,(I24-H$33+(H$33/12*11)-(H24/2)))</f>
        <v>76000.758974384822</v>
      </c>
      <c r="K24" s="91">
        <f t="shared" si="2"/>
        <v>8719.2410256151761</v>
      </c>
      <c r="L24" s="284">
        <f t="shared" si="3"/>
        <v>84720</v>
      </c>
      <c r="M24" s="57">
        <f t="shared" si="4"/>
        <v>72200.721025665582</v>
      </c>
      <c r="N24" s="91">
        <f t="shared" si="5"/>
        <v>8283.2789743344165</v>
      </c>
      <c r="O24" s="60">
        <f t="shared" si="6"/>
        <v>80484</v>
      </c>
      <c r="P24" s="58">
        <f t="shared" si="7"/>
        <v>68400.683076946341</v>
      </c>
      <c r="Q24" s="91">
        <f t="shared" si="8"/>
        <v>7847.3169230536587</v>
      </c>
      <c r="R24" s="59">
        <f t="shared" si="9"/>
        <v>76248</v>
      </c>
      <c r="S24" s="57">
        <f t="shared" si="10"/>
        <v>60800.607179507861</v>
      </c>
      <c r="T24" s="91">
        <f t="shared" si="11"/>
        <v>6975.3928204921413</v>
      </c>
      <c r="U24" s="60">
        <f t="shared" si="12"/>
        <v>67776</v>
      </c>
      <c r="V24" s="58">
        <f t="shared" si="13"/>
        <v>53200.531282069373</v>
      </c>
      <c r="W24" s="91">
        <f t="shared" si="14"/>
        <v>6103.4687179306229</v>
      </c>
      <c r="X24" s="59">
        <f t="shared" si="15"/>
        <v>59303.999999999993</v>
      </c>
      <c r="Y24" s="57">
        <f t="shared" si="16"/>
        <v>45600.455384630892</v>
      </c>
      <c r="Z24" s="91">
        <f t="shared" si="17"/>
        <v>5231.5446153691055</v>
      </c>
      <c r="AA24" s="59">
        <f t="shared" si="18"/>
        <v>50832</v>
      </c>
      <c r="AB24" s="381"/>
    </row>
    <row r="25" spans="1:28">
      <c r="A25" s="187">
        <v>154</v>
      </c>
      <c r="B25" s="40">
        <v>40603</v>
      </c>
      <c r="C25" s="61">
        <f>VLOOKUP(B25,'base(indices)'!$A$4:$C$183,3,FALSE)</f>
        <v>545</v>
      </c>
      <c r="D25" s="192">
        <f>'base(indices)'!G18</f>
        <v>1.8688860300000001</v>
      </c>
      <c r="E25" s="63">
        <f t="shared" si="21"/>
        <v>1018.54288635</v>
      </c>
      <c r="F25" s="82">
        <f>'base(indices)'!$I$147</f>
        <v>0.29920000000000002</v>
      </c>
      <c r="G25" s="63">
        <f t="shared" si="0"/>
        <v>304.74803159592</v>
      </c>
      <c r="H25" s="268">
        <f t="shared" si="1"/>
        <v>1323.29091794592</v>
      </c>
      <c r="I25" s="360">
        <f t="shared" si="20"/>
        <v>245029.11822698693</v>
      </c>
      <c r="J25" s="45">
        <f>IF((I25-H$33+(H$33/12*10))+K25-(H25/2)&gt;$I$197,$I$197-K25,(I25-H$33+(H$33/12*10)-(H25/2)))</f>
        <v>76000.758974384822</v>
      </c>
      <c r="K25" s="108">
        <f t="shared" si="2"/>
        <v>8719.2410256151761</v>
      </c>
      <c r="L25" s="46">
        <f t="shared" si="3"/>
        <v>84720</v>
      </c>
      <c r="M25" s="43">
        <f t="shared" si="4"/>
        <v>72200.721025665582</v>
      </c>
      <c r="N25" s="108">
        <f t="shared" si="5"/>
        <v>8283.2789743344165</v>
      </c>
      <c r="O25" s="47">
        <f t="shared" si="6"/>
        <v>80484</v>
      </c>
      <c r="P25" s="119">
        <f t="shared" si="7"/>
        <v>68400.683076946341</v>
      </c>
      <c r="Q25" s="108">
        <f t="shared" si="8"/>
        <v>7847.3169230536587</v>
      </c>
      <c r="R25" s="46">
        <f t="shared" si="9"/>
        <v>76248</v>
      </c>
      <c r="S25" s="43">
        <f t="shared" si="10"/>
        <v>60800.607179507861</v>
      </c>
      <c r="T25" s="108">
        <f t="shared" si="11"/>
        <v>6975.3928204921413</v>
      </c>
      <c r="U25" s="47">
        <f t="shared" si="12"/>
        <v>67776</v>
      </c>
      <c r="V25" s="45">
        <f t="shared" si="13"/>
        <v>53200.531282069373</v>
      </c>
      <c r="W25" s="108">
        <f t="shared" si="14"/>
        <v>6103.4687179306229</v>
      </c>
      <c r="X25" s="46">
        <f t="shared" si="15"/>
        <v>59303.999999999993</v>
      </c>
      <c r="Y25" s="43">
        <f t="shared" si="16"/>
        <v>45600.455384630892</v>
      </c>
      <c r="Z25" s="108">
        <f t="shared" si="17"/>
        <v>5231.5446153691055</v>
      </c>
      <c r="AA25" s="46">
        <f t="shared" si="18"/>
        <v>50832</v>
      </c>
      <c r="AB25" s="380"/>
    </row>
    <row r="26" spans="1:28">
      <c r="A26" s="187">
        <v>153</v>
      </c>
      <c r="B26" s="50">
        <v>40634</v>
      </c>
      <c r="C26" s="61">
        <f>VLOOKUP(B26,'base(indices)'!$A$4:$C$183,3,FALSE)</f>
        <v>545</v>
      </c>
      <c r="D26" s="192">
        <f>'base(indices)'!G19</f>
        <v>1.85773959</v>
      </c>
      <c r="E26" s="54">
        <f t="shared" si="21"/>
        <v>1012.46807655</v>
      </c>
      <c r="F26" s="82">
        <f>'base(indices)'!$I$147</f>
        <v>0.29920000000000002</v>
      </c>
      <c r="G26" s="54">
        <f t="shared" si="0"/>
        <v>302.93044850376003</v>
      </c>
      <c r="H26" s="267">
        <f t="shared" si="1"/>
        <v>1315.3985250537601</v>
      </c>
      <c r="I26" s="359">
        <f t="shared" si="20"/>
        <v>243705.82730904102</v>
      </c>
      <c r="J26" s="58">
        <f>IF((I26-H$33+(H$33/12*9))+K26-(H26/2)&gt;$I$197,$I$197-K26,(I26-H$33+(H$33/12*9)-(H26/2)))</f>
        <v>76000.758974384822</v>
      </c>
      <c r="K26" s="91">
        <f t="shared" si="2"/>
        <v>8719.2410256151761</v>
      </c>
      <c r="L26" s="284">
        <f t="shared" si="3"/>
        <v>84720</v>
      </c>
      <c r="M26" s="57">
        <f t="shared" si="4"/>
        <v>72200.721025665582</v>
      </c>
      <c r="N26" s="91">
        <f t="shared" si="5"/>
        <v>8283.2789743344165</v>
      </c>
      <c r="O26" s="60">
        <f t="shared" si="6"/>
        <v>80484</v>
      </c>
      <c r="P26" s="58">
        <f t="shared" si="7"/>
        <v>68400.683076946341</v>
      </c>
      <c r="Q26" s="91">
        <f t="shared" si="8"/>
        <v>7847.3169230536587</v>
      </c>
      <c r="R26" s="59">
        <f t="shared" si="9"/>
        <v>76248</v>
      </c>
      <c r="S26" s="57">
        <f t="shared" si="10"/>
        <v>60800.607179507861</v>
      </c>
      <c r="T26" s="91">
        <f t="shared" si="11"/>
        <v>6975.3928204921413</v>
      </c>
      <c r="U26" s="60">
        <f t="shared" si="12"/>
        <v>67776</v>
      </c>
      <c r="V26" s="58">
        <f t="shared" si="13"/>
        <v>53200.531282069373</v>
      </c>
      <c r="W26" s="91">
        <f t="shared" si="14"/>
        <v>6103.4687179306229</v>
      </c>
      <c r="X26" s="59">
        <f t="shared" si="15"/>
        <v>59303.999999999993</v>
      </c>
      <c r="Y26" s="57">
        <f t="shared" si="16"/>
        <v>45600.455384630892</v>
      </c>
      <c r="Z26" s="91">
        <f t="shared" si="17"/>
        <v>5231.5446153691055</v>
      </c>
      <c r="AA26" s="59">
        <f t="shared" si="18"/>
        <v>50832</v>
      </c>
      <c r="AB26" s="381"/>
    </row>
    <row r="27" spans="1:28">
      <c r="A27" s="187">
        <v>152</v>
      </c>
      <c r="B27" s="40">
        <v>40664</v>
      </c>
      <c r="C27" s="61">
        <f>VLOOKUP(B27,'base(indices)'!$A$4:$C$183,3,FALSE)</f>
        <v>545</v>
      </c>
      <c r="D27" s="192">
        <f>'base(indices)'!G20</f>
        <v>1.8435443</v>
      </c>
      <c r="E27" s="63">
        <f t="shared" si="21"/>
        <v>1004.7316435</v>
      </c>
      <c r="F27" s="82">
        <f>'base(indices)'!$I$147</f>
        <v>0.29920000000000002</v>
      </c>
      <c r="G27" s="63">
        <f t="shared" si="0"/>
        <v>300.61570773520003</v>
      </c>
      <c r="H27" s="268">
        <f t="shared" si="1"/>
        <v>1305.3473512352</v>
      </c>
      <c r="I27" s="360">
        <f t="shared" si="20"/>
        <v>242390.42878398727</v>
      </c>
      <c r="J27" s="45">
        <f>IF((I27-H$33+(H$33/12*8))+K27-(H27/2)&gt;$I$197,$I$197-K27,(I27-H$33+(H$33/12*8)-(H27/2)))</f>
        <v>76000.758974384822</v>
      </c>
      <c r="K27" s="108">
        <f t="shared" si="2"/>
        <v>8719.2410256151761</v>
      </c>
      <c r="L27" s="46">
        <f t="shared" si="3"/>
        <v>84720</v>
      </c>
      <c r="M27" s="43">
        <f t="shared" si="4"/>
        <v>72200.721025665582</v>
      </c>
      <c r="N27" s="108">
        <f t="shared" si="5"/>
        <v>8283.2789743344165</v>
      </c>
      <c r="O27" s="47">
        <f t="shared" si="6"/>
        <v>80484</v>
      </c>
      <c r="P27" s="119">
        <f t="shared" si="7"/>
        <v>68400.683076946341</v>
      </c>
      <c r="Q27" s="108">
        <f t="shared" si="8"/>
        <v>7847.3169230536587</v>
      </c>
      <c r="R27" s="46">
        <f t="shared" si="9"/>
        <v>76248</v>
      </c>
      <c r="S27" s="43">
        <f t="shared" si="10"/>
        <v>60800.607179507861</v>
      </c>
      <c r="T27" s="108">
        <f t="shared" si="11"/>
        <v>6975.3928204921413</v>
      </c>
      <c r="U27" s="47">
        <f t="shared" si="12"/>
        <v>67776</v>
      </c>
      <c r="V27" s="45">
        <f t="shared" si="13"/>
        <v>53200.531282069373</v>
      </c>
      <c r="W27" s="108">
        <f t="shared" si="14"/>
        <v>6103.4687179306229</v>
      </c>
      <c r="X27" s="46">
        <f t="shared" si="15"/>
        <v>59303.999999999993</v>
      </c>
      <c r="Y27" s="43">
        <f t="shared" si="16"/>
        <v>45600.455384630892</v>
      </c>
      <c r="Z27" s="108">
        <f t="shared" si="17"/>
        <v>5231.5446153691055</v>
      </c>
      <c r="AA27" s="46">
        <f t="shared" si="18"/>
        <v>50832</v>
      </c>
      <c r="AB27" s="380"/>
    </row>
    <row r="28" spans="1:28">
      <c r="A28" s="187">
        <v>151</v>
      </c>
      <c r="B28" s="50">
        <v>40695</v>
      </c>
      <c r="C28" s="61">
        <f>VLOOKUP(B28,'base(indices)'!$A$4:$C$183,3,FALSE)</f>
        <v>545</v>
      </c>
      <c r="D28" s="192">
        <f>'base(indices)'!G21</f>
        <v>1.8307291999999999</v>
      </c>
      <c r="E28" s="54">
        <f t="shared" si="21"/>
        <v>997.74741399999994</v>
      </c>
      <c r="F28" s="82">
        <f>'base(indices)'!$I$147</f>
        <v>0.29920000000000002</v>
      </c>
      <c r="G28" s="54">
        <f t="shared" si="0"/>
        <v>298.52602626880002</v>
      </c>
      <c r="H28" s="267">
        <f t="shared" si="1"/>
        <v>1296.2734402688</v>
      </c>
      <c r="I28" s="359">
        <f t="shared" si="20"/>
        <v>241085.08143275208</v>
      </c>
      <c r="J28" s="58">
        <f>IF((I28-H$33+(H$33/12*7))+K28-(H28/2)&gt;$I$197,$I$197-K28,(I28-H$33+(H$33/12*7)-(H28/2)))</f>
        <v>76000.758974384822</v>
      </c>
      <c r="K28" s="91">
        <f t="shared" si="2"/>
        <v>8719.2410256151761</v>
      </c>
      <c r="L28" s="284">
        <f t="shared" si="3"/>
        <v>84720</v>
      </c>
      <c r="M28" s="57">
        <f t="shared" si="4"/>
        <v>72200.721025665582</v>
      </c>
      <c r="N28" s="91">
        <f t="shared" si="5"/>
        <v>8283.2789743344165</v>
      </c>
      <c r="O28" s="60">
        <f t="shared" si="6"/>
        <v>80484</v>
      </c>
      <c r="P28" s="58">
        <f t="shared" si="7"/>
        <v>68400.683076946341</v>
      </c>
      <c r="Q28" s="91">
        <f t="shared" si="8"/>
        <v>7847.3169230536587</v>
      </c>
      <c r="R28" s="59">
        <f t="shared" si="9"/>
        <v>76248</v>
      </c>
      <c r="S28" s="57">
        <f t="shared" si="10"/>
        <v>60800.607179507861</v>
      </c>
      <c r="T28" s="91">
        <f t="shared" si="11"/>
        <v>6975.3928204921413</v>
      </c>
      <c r="U28" s="60">
        <f t="shared" si="12"/>
        <v>67776</v>
      </c>
      <c r="V28" s="58">
        <f t="shared" si="13"/>
        <v>53200.531282069373</v>
      </c>
      <c r="W28" s="91">
        <f t="shared" si="14"/>
        <v>6103.4687179306229</v>
      </c>
      <c r="X28" s="59">
        <f t="shared" si="15"/>
        <v>59303.999999999993</v>
      </c>
      <c r="Y28" s="57">
        <f t="shared" si="16"/>
        <v>45600.455384630892</v>
      </c>
      <c r="Z28" s="91">
        <f t="shared" si="17"/>
        <v>5231.5446153691055</v>
      </c>
      <c r="AA28" s="59">
        <f t="shared" si="18"/>
        <v>50832</v>
      </c>
      <c r="AB28" s="381"/>
    </row>
    <row r="29" spans="1:28">
      <c r="A29" s="187">
        <v>150</v>
      </c>
      <c r="B29" s="40">
        <v>40725</v>
      </c>
      <c r="C29" s="61">
        <f>VLOOKUP(B29,'base(indices)'!$A$4:$C$183,3,FALSE)</f>
        <v>545</v>
      </c>
      <c r="D29" s="192">
        <f>'base(indices)'!G22</f>
        <v>1.8265281799999999</v>
      </c>
      <c r="E29" s="63">
        <f t="shared" si="21"/>
        <v>995.45785809999995</v>
      </c>
      <c r="F29" s="82">
        <f>'base(indices)'!$I$147</f>
        <v>0.29920000000000002</v>
      </c>
      <c r="G29" s="63">
        <f t="shared" si="0"/>
        <v>297.84099114352</v>
      </c>
      <c r="H29" s="268">
        <f t="shared" si="1"/>
        <v>1293.29884924352</v>
      </c>
      <c r="I29" s="360">
        <f t="shared" si="20"/>
        <v>239788.80799248329</v>
      </c>
      <c r="J29" s="45">
        <f>IF((I29-H$33+(H$33/12*6))+K29-(H29/2)&gt;$I$197,$I$197-K29,(I29-H$33+(H$33/12*6)-(H29/2)))</f>
        <v>76000.758974384822</v>
      </c>
      <c r="K29" s="108">
        <f t="shared" si="2"/>
        <v>8719.2410256151761</v>
      </c>
      <c r="L29" s="46">
        <f t="shared" si="3"/>
        <v>84720</v>
      </c>
      <c r="M29" s="43">
        <f t="shared" si="4"/>
        <v>72200.721025665582</v>
      </c>
      <c r="N29" s="108">
        <f t="shared" si="5"/>
        <v>8283.2789743344165</v>
      </c>
      <c r="O29" s="47">
        <f t="shared" si="6"/>
        <v>80484</v>
      </c>
      <c r="P29" s="119">
        <f t="shared" si="7"/>
        <v>68400.683076946341</v>
      </c>
      <c r="Q29" s="108">
        <f t="shared" si="8"/>
        <v>7847.3169230536587</v>
      </c>
      <c r="R29" s="46">
        <f t="shared" si="9"/>
        <v>76248</v>
      </c>
      <c r="S29" s="43">
        <f t="shared" si="10"/>
        <v>60800.607179507861</v>
      </c>
      <c r="T29" s="108">
        <f t="shared" si="11"/>
        <v>6975.3928204921413</v>
      </c>
      <c r="U29" s="47">
        <f t="shared" si="12"/>
        <v>67776</v>
      </c>
      <c r="V29" s="45">
        <f t="shared" si="13"/>
        <v>53200.531282069373</v>
      </c>
      <c r="W29" s="108">
        <f t="shared" si="14"/>
        <v>6103.4687179306229</v>
      </c>
      <c r="X29" s="46">
        <f t="shared" si="15"/>
        <v>59303.999999999993</v>
      </c>
      <c r="Y29" s="43">
        <f t="shared" si="16"/>
        <v>45600.455384630892</v>
      </c>
      <c r="Z29" s="108">
        <f t="shared" si="17"/>
        <v>5231.5446153691055</v>
      </c>
      <c r="AA29" s="46">
        <f t="shared" si="18"/>
        <v>50832</v>
      </c>
      <c r="AB29" s="380"/>
    </row>
    <row r="30" spans="1:28">
      <c r="A30" s="187">
        <v>149</v>
      </c>
      <c r="B30" s="50">
        <v>40756</v>
      </c>
      <c r="C30" s="61">
        <f>VLOOKUP(B30,'base(indices)'!$A$4:$C$183,3,FALSE)</f>
        <v>545</v>
      </c>
      <c r="D30" s="192">
        <f>'base(indices)'!G23</f>
        <v>1.8247034799999999</v>
      </c>
      <c r="E30" s="54">
        <f t="shared" si="21"/>
        <v>994.46339660000001</v>
      </c>
      <c r="F30" s="82">
        <f>'base(indices)'!$I$147</f>
        <v>0.29920000000000002</v>
      </c>
      <c r="G30" s="54">
        <f t="shared" si="0"/>
        <v>297.54344826272001</v>
      </c>
      <c r="H30" s="267">
        <f t="shared" si="1"/>
        <v>1292.0068448627201</v>
      </c>
      <c r="I30" s="359">
        <f t="shared" si="20"/>
        <v>238495.50914323976</v>
      </c>
      <c r="J30" s="58">
        <f>IF((I30-H$33+(H$33/12*5))+K30-(H30/2)&gt;$I$197,$I$197-K30,(I30-H$33+(H$33/12*5)-(H30/2)))</f>
        <v>76000.758974384822</v>
      </c>
      <c r="K30" s="91">
        <f t="shared" si="2"/>
        <v>8719.2410256151761</v>
      </c>
      <c r="L30" s="284">
        <f t="shared" si="3"/>
        <v>84720</v>
      </c>
      <c r="M30" s="57">
        <f t="shared" si="4"/>
        <v>72200.721025665582</v>
      </c>
      <c r="N30" s="91">
        <f t="shared" si="5"/>
        <v>8283.2789743344165</v>
      </c>
      <c r="O30" s="60">
        <f t="shared" si="6"/>
        <v>80484</v>
      </c>
      <c r="P30" s="58">
        <f t="shared" si="7"/>
        <v>68400.683076946341</v>
      </c>
      <c r="Q30" s="91">
        <f t="shared" si="8"/>
        <v>7847.3169230536587</v>
      </c>
      <c r="R30" s="59">
        <f t="shared" si="9"/>
        <v>76248</v>
      </c>
      <c r="S30" s="57">
        <f t="shared" si="10"/>
        <v>60800.607179507861</v>
      </c>
      <c r="T30" s="91">
        <f t="shared" si="11"/>
        <v>6975.3928204921413</v>
      </c>
      <c r="U30" s="60">
        <f t="shared" si="12"/>
        <v>67776</v>
      </c>
      <c r="V30" s="58">
        <f t="shared" si="13"/>
        <v>53200.531282069373</v>
      </c>
      <c r="W30" s="91">
        <f t="shared" si="14"/>
        <v>6103.4687179306229</v>
      </c>
      <c r="X30" s="59">
        <f t="shared" si="15"/>
        <v>59303.999999999993</v>
      </c>
      <c r="Y30" s="57">
        <f t="shared" si="16"/>
        <v>45600.455384630892</v>
      </c>
      <c r="Z30" s="91">
        <f t="shared" si="17"/>
        <v>5231.5446153691055</v>
      </c>
      <c r="AA30" s="59">
        <f t="shared" si="18"/>
        <v>50832</v>
      </c>
      <c r="AB30" s="381"/>
    </row>
    <row r="31" spans="1:28">
      <c r="A31" s="187">
        <v>148</v>
      </c>
      <c r="B31" s="40">
        <v>40787</v>
      </c>
      <c r="C31" s="61">
        <f>VLOOKUP(B31,'base(indices)'!$A$4:$C$183,3,FALSE)</f>
        <v>545</v>
      </c>
      <c r="D31" s="192">
        <f>'base(indices)'!G24</f>
        <v>1.81979004</v>
      </c>
      <c r="E31" s="63">
        <f t="shared" si="21"/>
        <v>991.78557179999996</v>
      </c>
      <c r="F31" s="82">
        <f>'base(indices)'!$I$147</f>
        <v>0.29920000000000002</v>
      </c>
      <c r="G31" s="63">
        <f t="shared" si="0"/>
        <v>296.74224308255998</v>
      </c>
      <c r="H31" s="268">
        <f t="shared" si="1"/>
        <v>1288.5278148825601</v>
      </c>
      <c r="I31" s="360">
        <f t="shared" si="20"/>
        <v>237203.50229837705</v>
      </c>
      <c r="J31" s="45">
        <f>IF((I31-H$33+(H$33/12*4))+K31-(H31/2)&gt;$I$197,$I$197-K31,(I31-H$33+(H$33/12*4)-(H31/2)))</f>
        <v>76000.758974384822</v>
      </c>
      <c r="K31" s="108">
        <f t="shared" si="2"/>
        <v>8719.2410256151761</v>
      </c>
      <c r="L31" s="46">
        <f t="shared" si="3"/>
        <v>84720</v>
      </c>
      <c r="M31" s="43">
        <f t="shared" si="4"/>
        <v>72200.721025665582</v>
      </c>
      <c r="N31" s="108">
        <f t="shared" si="5"/>
        <v>8283.2789743344165</v>
      </c>
      <c r="O31" s="47">
        <f t="shared" si="6"/>
        <v>80484</v>
      </c>
      <c r="P31" s="119">
        <f t="shared" si="7"/>
        <v>68400.683076946341</v>
      </c>
      <c r="Q31" s="108">
        <f t="shared" si="8"/>
        <v>7847.3169230536587</v>
      </c>
      <c r="R31" s="46">
        <f t="shared" si="9"/>
        <v>76248</v>
      </c>
      <c r="S31" s="43">
        <f t="shared" si="10"/>
        <v>60800.607179507861</v>
      </c>
      <c r="T31" s="108">
        <f t="shared" si="11"/>
        <v>6975.3928204921413</v>
      </c>
      <c r="U31" s="47">
        <f t="shared" si="12"/>
        <v>67776</v>
      </c>
      <c r="V31" s="45">
        <f t="shared" si="13"/>
        <v>53200.531282069373</v>
      </c>
      <c r="W31" s="108">
        <f t="shared" si="14"/>
        <v>6103.4687179306229</v>
      </c>
      <c r="X31" s="46">
        <f t="shared" si="15"/>
        <v>59303.999999999993</v>
      </c>
      <c r="Y31" s="43">
        <f t="shared" si="16"/>
        <v>45600.455384630892</v>
      </c>
      <c r="Z31" s="108">
        <f t="shared" si="17"/>
        <v>5231.5446153691055</v>
      </c>
      <c r="AA31" s="46">
        <f t="shared" si="18"/>
        <v>50832</v>
      </c>
      <c r="AB31" s="380"/>
    </row>
    <row r="32" spans="1:28">
      <c r="A32" s="187">
        <v>147</v>
      </c>
      <c r="B32" s="50">
        <v>40817</v>
      </c>
      <c r="C32" s="61">
        <f>VLOOKUP(B32,'base(indices)'!$A$4:$C$183,3,FALSE)</f>
        <v>545</v>
      </c>
      <c r="D32" s="192">
        <f>'base(indices)'!G25</f>
        <v>1.8101960100000001</v>
      </c>
      <c r="E32" s="54">
        <f t="shared" si="21"/>
        <v>986.55682545000002</v>
      </c>
      <c r="F32" s="82">
        <f>'base(indices)'!$I$147</f>
        <v>0.29920000000000002</v>
      </c>
      <c r="G32" s="54">
        <f t="shared" si="0"/>
        <v>295.17780217464002</v>
      </c>
      <c r="H32" s="267">
        <f t="shared" si="1"/>
        <v>1281.7346276246401</v>
      </c>
      <c r="I32" s="359">
        <f t="shared" si="20"/>
        <v>235914.97448349447</v>
      </c>
      <c r="J32" s="58">
        <f>IF((I32-H$33+(H$33/12*3))+K32-(H32/2)&gt;$I$197,$I$197-K32,(I32-H$33+(H$33/12*3)-(H32/2)))</f>
        <v>76000.758974384822</v>
      </c>
      <c r="K32" s="91">
        <f t="shared" si="2"/>
        <v>8719.2410256151761</v>
      </c>
      <c r="L32" s="284">
        <f t="shared" si="3"/>
        <v>84720</v>
      </c>
      <c r="M32" s="57">
        <f t="shared" si="4"/>
        <v>72200.721025665582</v>
      </c>
      <c r="N32" s="91">
        <f t="shared" si="5"/>
        <v>8283.2789743344165</v>
      </c>
      <c r="O32" s="60">
        <f t="shared" si="6"/>
        <v>80484</v>
      </c>
      <c r="P32" s="58">
        <f t="shared" si="7"/>
        <v>68400.683076946341</v>
      </c>
      <c r="Q32" s="91">
        <f t="shared" si="8"/>
        <v>7847.3169230536587</v>
      </c>
      <c r="R32" s="59">
        <f t="shared" si="9"/>
        <v>76248</v>
      </c>
      <c r="S32" s="57">
        <f t="shared" si="10"/>
        <v>60800.607179507861</v>
      </c>
      <c r="T32" s="91">
        <f t="shared" si="11"/>
        <v>6975.3928204921413</v>
      </c>
      <c r="U32" s="60">
        <f t="shared" si="12"/>
        <v>67776</v>
      </c>
      <c r="V32" s="58">
        <f t="shared" si="13"/>
        <v>53200.531282069373</v>
      </c>
      <c r="W32" s="91">
        <f t="shared" si="14"/>
        <v>6103.4687179306229</v>
      </c>
      <c r="X32" s="59">
        <f t="shared" si="15"/>
        <v>59303.999999999993</v>
      </c>
      <c r="Y32" s="57">
        <f t="shared" si="16"/>
        <v>45600.455384630892</v>
      </c>
      <c r="Z32" s="91">
        <f t="shared" si="17"/>
        <v>5231.5446153691055</v>
      </c>
      <c r="AA32" s="59">
        <f t="shared" si="18"/>
        <v>50832</v>
      </c>
      <c r="AB32" s="381"/>
    </row>
    <row r="33" spans="1:28">
      <c r="A33" s="187">
        <v>146</v>
      </c>
      <c r="B33" s="40">
        <v>40848</v>
      </c>
      <c r="C33" s="61">
        <f>VLOOKUP(B33,'base(indices)'!$A$4:$C$183,3,FALSE)</f>
        <v>545</v>
      </c>
      <c r="D33" s="192">
        <f>'base(indices)'!G26</f>
        <v>1.80262498</v>
      </c>
      <c r="E33" s="63">
        <f t="shared" si="21"/>
        <v>982.43061410000007</v>
      </c>
      <c r="F33" s="82">
        <f>'base(indices)'!$I$147</f>
        <v>0.29920000000000002</v>
      </c>
      <c r="G33" s="63">
        <f t="shared" si="0"/>
        <v>293.94323973872002</v>
      </c>
      <c r="H33" s="268">
        <f t="shared" si="1"/>
        <v>1276.3738538387202</v>
      </c>
      <c r="I33" s="360">
        <f t="shared" si="20"/>
        <v>234633.23985586982</v>
      </c>
      <c r="J33" s="45">
        <f>IF((I33-H$33+(H$33/12*2))+K33-(H33/2)&gt;$I$197,$I$197-K33,(I33-H$33+(H$33/12*2)-(H33/2)))</f>
        <v>76000.758974384822</v>
      </c>
      <c r="K33" s="108">
        <f t="shared" si="2"/>
        <v>8719.2410256151761</v>
      </c>
      <c r="L33" s="46">
        <f t="shared" si="3"/>
        <v>84720</v>
      </c>
      <c r="M33" s="43">
        <f t="shared" si="4"/>
        <v>72200.721025665582</v>
      </c>
      <c r="N33" s="108">
        <f t="shared" si="5"/>
        <v>8283.2789743344165</v>
      </c>
      <c r="O33" s="47">
        <f t="shared" si="6"/>
        <v>80484</v>
      </c>
      <c r="P33" s="119">
        <f t="shared" si="7"/>
        <v>68400.683076946341</v>
      </c>
      <c r="Q33" s="108">
        <f t="shared" si="8"/>
        <v>7847.3169230536587</v>
      </c>
      <c r="R33" s="46">
        <f t="shared" si="9"/>
        <v>76248</v>
      </c>
      <c r="S33" s="43">
        <f t="shared" si="10"/>
        <v>60800.607179507861</v>
      </c>
      <c r="T33" s="108">
        <f t="shared" si="11"/>
        <v>6975.3928204921413</v>
      </c>
      <c r="U33" s="47">
        <f t="shared" si="12"/>
        <v>67776</v>
      </c>
      <c r="V33" s="45">
        <f t="shared" si="13"/>
        <v>53200.531282069373</v>
      </c>
      <c r="W33" s="108">
        <f t="shared" si="14"/>
        <v>6103.4687179306229</v>
      </c>
      <c r="X33" s="46">
        <f t="shared" si="15"/>
        <v>59303.999999999993</v>
      </c>
      <c r="Y33" s="43">
        <f t="shared" si="16"/>
        <v>45600.455384630892</v>
      </c>
      <c r="Z33" s="108">
        <f t="shared" si="17"/>
        <v>5231.5446153691055</v>
      </c>
      <c r="AA33" s="46">
        <f t="shared" si="18"/>
        <v>50832</v>
      </c>
      <c r="AB33" s="380"/>
    </row>
    <row r="34" spans="1:28" ht="13.5" thickBot="1">
      <c r="A34" s="305">
        <v>145</v>
      </c>
      <c r="B34" s="383">
        <v>40878</v>
      </c>
      <c r="C34" s="142">
        <f>C33*2</f>
        <v>1090</v>
      </c>
      <c r="D34" s="343">
        <f>'base(indices)'!G27</f>
        <v>1.7943708700000001</v>
      </c>
      <c r="E34" s="170">
        <f t="shared" si="21"/>
        <v>1955.8642483000001</v>
      </c>
      <c r="F34" s="307">
        <f>'base(indices)'!$I$147</f>
        <v>0.29920000000000002</v>
      </c>
      <c r="G34" s="170">
        <f t="shared" si="0"/>
        <v>585.19458309136007</v>
      </c>
      <c r="H34" s="368">
        <f t="shared" si="1"/>
        <v>2541.0588313913604</v>
      </c>
      <c r="I34" s="384">
        <f t="shared" si="20"/>
        <v>233356.86600203111</v>
      </c>
      <c r="J34" s="285">
        <f>IF((I34-H$33+(H$33/12*1))+K34-(H34/4)&gt;$I$197,$I$197-K34,(I34-H$33+(H$33/12*1)-(H34/4)))</f>
        <v>76000.758974384822</v>
      </c>
      <c r="K34" s="202">
        <f t="shared" si="2"/>
        <v>8719.2410256151761</v>
      </c>
      <c r="L34" s="286">
        <f t="shared" si="3"/>
        <v>84720</v>
      </c>
      <c r="M34" s="282">
        <f t="shared" si="4"/>
        <v>72200.721025665582</v>
      </c>
      <c r="N34" s="202">
        <f t="shared" si="5"/>
        <v>8283.2789743344165</v>
      </c>
      <c r="O34" s="289">
        <f t="shared" si="6"/>
        <v>80484</v>
      </c>
      <c r="P34" s="285">
        <f t="shared" si="7"/>
        <v>68400.683076946341</v>
      </c>
      <c r="Q34" s="202">
        <f t="shared" si="8"/>
        <v>7847.3169230536587</v>
      </c>
      <c r="R34" s="203">
        <f t="shared" si="9"/>
        <v>76248</v>
      </c>
      <c r="S34" s="282">
        <f t="shared" si="10"/>
        <v>60800.607179507861</v>
      </c>
      <c r="T34" s="202">
        <f t="shared" si="11"/>
        <v>6975.3928204921413</v>
      </c>
      <c r="U34" s="289">
        <f t="shared" si="12"/>
        <v>67776</v>
      </c>
      <c r="V34" s="285">
        <f t="shared" si="13"/>
        <v>53200.531282069373</v>
      </c>
      <c r="W34" s="202">
        <f t="shared" si="14"/>
        <v>6103.4687179306229</v>
      </c>
      <c r="X34" s="203">
        <f t="shared" si="15"/>
        <v>59303.999999999993</v>
      </c>
      <c r="Y34" s="282">
        <f t="shared" si="16"/>
        <v>45600.455384630892</v>
      </c>
      <c r="Z34" s="202">
        <f t="shared" si="17"/>
        <v>5231.5446153691055</v>
      </c>
      <c r="AA34" s="203">
        <f t="shared" si="18"/>
        <v>50832</v>
      </c>
      <c r="AB34" s="381"/>
    </row>
    <row r="35" spans="1:28">
      <c r="A35" s="190">
        <v>144</v>
      </c>
      <c r="B35" s="136">
        <v>40909</v>
      </c>
      <c r="C35" s="120">
        <f>VLOOKUP(B35,'base(indices)'!$A$4:$C$183,3,FALSE)</f>
        <v>622</v>
      </c>
      <c r="D35" s="193">
        <f>'base(indices)'!G28</f>
        <v>1.7843783600000001</v>
      </c>
      <c r="E35" s="78">
        <f>C35*D35</f>
        <v>1109.88333992</v>
      </c>
      <c r="F35" s="79">
        <f>'base(indices)'!$I$147</f>
        <v>0.29920000000000002</v>
      </c>
      <c r="G35" s="78">
        <f t="shared" si="0"/>
        <v>332.07709530406402</v>
      </c>
      <c r="H35" s="266">
        <f t="shared" si="1"/>
        <v>1441.960435224064</v>
      </c>
      <c r="I35" s="413">
        <f t="shared" si="20"/>
        <v>230815.80717063975</v>
      </c>
      <c r="J35" s="48">
        <f>IF((I35-H$45+(H$45))+K35-(H35/2)&gt;$I$197,$I$197-K35,(I35-H$45+(H$45)-(H35/2)))</f>
        <v>76000.758974384822</v>
      </c>
      <c r="K35" s="109">
        <f t="shared" si="2"/>
        <v>8719.2410256151761</v>
      </c>
      <c r="L35" s="49">
        <f t="shared" si="3"/>
        <v>84720</v>
      </c>
      <c r="M35" s="138">
        <f t="shared" si="4"/>
        <v>72200.721025665582</v>
      </c>
      <c r="N35" s="109">
        <f t="shared" si="5"/>
        <v>8283.2789743344165</v>
      </c>
      <c r="O35" s="139">
        <f t="shared" si="6"/>
        <v>80484</v>
      </c>
      <c r="P35" s="291">
        <f t="shared" si="7"/>
        <v>68400.683076946341</v>
      </c>
      <c r="Q35" s="109">
        <f t="shared" si="8"/>
        <v>7847.3169230536587</v>
      </c>
      <c r="R35" s="49">
        <f t="shared" si="9"/>
        <v>76248</v>
      </c>
      <c r="S35" s="138">
        <f t="shared" si="10"/>
        <v>60800.607179507861</v>
      </c>
      <c r="T35" s="109">
        <f t="shared" si="11"/>
        <v>6975.3928204921413</v>
      </c>
      <c r="U35" s="139">
        <f t="shared" si="12"/>
        <v>67776</v>
      </c>
      <c r="V35" s="48">
        <f t="shared" si="13"/>
        <v>53200.531282069373</v>
      </c>
      <c r="W35" s="109">
        <f t="shared" si="14"/>
        <v>6103.4687179306229</v>
      </c>
      <c r="X35" s="49">
        <f t="shared" si="15"/>
        <v>59303.999999999993</v>
      </c>
      <c r="Y35" s="138">
        <f t="shared" si="16"/>
        <v>45600.455384630892</v>
      </c>
      <c r="Z35" s="109">
        <f t="shared" si="17"/>
        <v>5231.5446153691055</v>
      </c>
      <c r="AA35" s="49">
        <f t="shared" si="18"/>
        <v>50832</v>
      </c>
      <c r="AB35" s="380"/>
    </row>
    <row r="36" spans="1:28">
      <c r="A36" s="187">
        <v>143</v>
      </c>
      <c r="B36" s="50">
        <v>40940</v>
      </c>
      <c r="C36" s="61">
        <f>VLOOKUP(B36,'base(indices)'!$A$4:$C$183,3,FALSE)</f>
        <v>622</v>
      </c>
      <c r="D36" s="192">
        <f>'base(indices)'!G29</f>
        <v>1.7728548</v>
      </c>
      <c r="E36" s="54">
        <f t="shared" ref="E36:E46" si="22">C36*D36</f>
        <v>1102.7156855999999</v>
      </c>
      <c r="F36" s="82">
        <f>'base(indices)'!$I$147</f>
        <v>0.29920000000000002</v>
      </c>
      <c r="G36" s="54">
        <f t="shared" si="0"/>
        <v>329.93253313152002</v>
      </c>
      <c r="H36" s="267">
        <f t="shared" si="1"/>
        <v>1432.64821873152</v>
      </c>
      <c r="I36" s="414">
        <f t="shared" si="20"/>
        <v>229373.84673541569</v>
      </c>
      <c r="J36" s="58">
        <f>IF((I36-H$45+(H$45/12*11))+K36-(H36/2)&gt;$I$197,$I$197-K36,(I36-H$45+(H$45/12*11)-(H36/2)))</f>
        <v>76000.758974384822</v>
      </c>
      <c r="K36" s="91">
        <f t="shared" si="2"/>
        <v>8719.2410256151761</v>
      </c>
      <c r="L36" s="284">
        <f t="shared" si="3"/>
        <v>84720</v>
      </c>
      <c r="M36" s="57">
        <f t="shared" si="4"/>
        <v>72200.721025665582</v>
      </c>
      <c r="N36" s="91">
        <f t="shared" si="5"/>
        <v>8283.2789743344165</v>
      </c>
      <c r="O36" s="60">
        <f t="shared" si="6"/>
        <v>80484</v>
      </c>
      <c r="P36" s="58">
        <f t="shared" si="7"/>
        <v>68400.683076946341</v>
      </c>
      <c r="Q36" s="91">
        <f t="shared" si="8"/>
        <v>7847.3169230536587</v>
      </c>
      <c r="R36" s="59">
        <f t="shared" si="9"/>
        <v>76248</v>
      </c>
      <c r="S36" s="57">
        <f t="shared" si="10"/>
        <v>60800.607179507861</v>
      </c>
      <c r="T36" s="91">
        <f t="shared" si="11"/>
        <v>6975.3928204921413</v>
      </c>
      <c r="U36" s="60">
        <f t="shared" si="12"/>
        <v>67776</v>
      </c>
      <c r="V36" s="58">
        <f t="shared" si="13"/>
        <v>53200.531282069373</v>
      </c>
      <c r="W36" s="91">
        <f t="shared" si="14"/>
        <v>6103.4687179306229</v>
      </c>
      <c r="X36" s="59">
        <f t="shared" si="15"/>
        <v>59303.999999999993</v>
      </c>
      <c r="Y36" s="57">
        <f t="shared" si="16"/>
        <v>45600.455384630892</v>
      </c>
      <c r="Z36" s="91">
        <f t="shared" si="17"/>
        <v>5231.5446153691055</v>
      </c>
      <c r="AA36" s="59">
        <f t="shared" si="18"/>
        <v>50832</v>
      </c>
      <c r="AB36" s="381"/>
    </row>
    <row r="37" spans="1:28">
      <c r="A37" s="187">
        <v>142</v>
      </c>
      <c r="B37" s="40">
        <v>40969</v>
      </c>
      <c r="C37" s="61">
        <f>VLOOKUP(B37,'base(indices)'!$A$4:$C$183,3,FALSE)</f>
        <v>622</v>
      </c>
      <c r="D37" s="192">
        <f>'base(indices)'!G30</f>
        <v>1.7635082099999999</v>
      </c>
      <c r="E37" s="63">
        <f t="shared" si="22"/>
        <v>1096.90210662</v>
      </c>
      <c r="F37" s="82">
        <f>'base(indices)'!$I$147</f>
        <v>0.29920000000000002</v>
      </c>
      <c r="G37" s="63">
        <f t="shared" si="0"/>
        <v>328.19311030070406</v>
      </c>
      <c r="H37" s="268">
        <f t="shared" si="1"/>
        <v>1425.0952169207042</v>
      </c>
      <c r="I37" s="415">
        <f t="shared" si="20"/>
        <v>227941.19851668418</v>
      </c>
      <c r="J37" s="45">
        <f>IF((I37-H$45+(H$45/12*10))+K37-(H37/2)&gt;$I$197,$I$197-K37,(I37-H$45+(H$45/12*10)-(H37/2)))</f>
        <v>76000.758974384822</v>
      </c>
      <c r="K37" s="108">
        <f t="shared" si="2"/>
        <v>8719.2410256151761</v>
      </c>
      <c r="L37" s="46">
        <f t="shared" si="3"/>
        <v>84720</v>
      </c>
      <c r="M37" s="43">
        <f t="shared" si="4"/>
        <v>72200.721025665582</v>
      </c>
      <c r="N37" s="108">
        <f t="shared" si="5"/>
        <v>8283.2789743344165</v>
      </c>
      <c r="O37" s="47">
        <f t="shared" si="6"/>
        <v>80484</v>
      </c>
      <c r="P37" s="119">
        <f t="shared" si="7"/>
        <v>68400.683076946341</v>
      </c>
      <c r="Q37" s="108">
        <f t="shared" si="8"/>
        <v>7847.3169230536587</v>
      </c>
      <c r="R37" s="46">
        <f t="shared" si="9"/>
        <v>76248</v>
      </c>
      <c r="S37" s="43">
        <f t="shared" si="10"/>
        <v>60800.607179507861</v>
      </c>
      <c r="T37" s="108">
        <f t="shared" si="11"/>
        <v>6975.3928204921413</v>
      </c>
      <c r="U37" s="47">
        <f t="shared" si="12"/>
        <v>67776</v>
      </c>
      <c r="V37" s="45">
        <f t="shared" si="13"/>
        <v>53200.531282069373</v>
      </c>
      <c r="W37" s="108">
        <f t="shared" si="14"/>
        <v>6103.4687179306229</v>
      </c>
      <c r="X37" s="46">
        <f t="shared" si="15"/>
        <v>59303.999999999993</v>
      </c>
      <c r="Y37" s="43">
        <f t="shared" si="16"/>
        <v>45600.455384630892</v>
      </c>
      <c r="Z37" s="108">
        <f t="shared" si="17"/>
        <v>5231.5446153691055</v>
      </c>
      <c r="AA37" s="46">
        <f t="shared" si="18"/>
        <v>50832</v>
      </c>
      <c r="AB37" s="380"/>
    </row>
    <row r="38" spans="1:28">
      <c r="A38" s="187">
        <v>141</v>
      </c>
      <c r="B38" s="50">
        <v>41000</v>
      </c>
      <c r="C38" s="61">
        <f>VLOOKUP(B38,'base(indices)'!$A$4:$C$183,3,FALSE)</f>
        <v>622</v>
      </c>
      <c r="D38" s="192">
        <f>'base(indices)'!G31</f>
        <v>1.75911043</v>
      </c>
      <c r="E38" s="54">
        <f t="shared" si="22"/>
        <v>1094.16668746</v>
      </c>
      <c r="F38" s="82">
        <f>'base(indices)'!$I$147</f>
        <v>0.29920000000000002</v>
      </c>
      <c r="G38" s="54">
        <f t="shared" si="0"/>
        <v>327.37467288803202</v>
      </c>
      <c r="H38" s="267">
        <f t="shared" si="1"/>
        <v>1421.541360348032</v>
      </c>
      <c r="I38" s="414">
        <f t="shared" si="20"/>
        <v>226516.10329976346</v>
      </c>
      <c r="J38" s="58">
        <f>IF((I38-H$45+(H$45/12*9))+K38-(H38/2)&gt;$I$197,$I$197-K38,(I38-H$45+(H$45/12*9)-(H38/2)))</f>
        <v>76000.758974384822</v>
      </c>
      <c r="K38" s="91">
        <f t="shared" si="2"/>
        <v>8719.2410256151761</v>
      </c>
      <c r="L38" s="284">
        <f t="shared" si="3"/>
        <v>84720</v>
      </c>
      <c r="M38" s="57">
        <f t="shared" si="4"/>
        <v>72200.721025665582</v>
      </c>
      <c r="N38" s="91">
        <f t="shared" si="5"/>
        <v>8283.2789743344165</v>
      </c>
      <c r="O38" s="60">
        <f t="shared" si="6"/>
        <v>80484</v>
      </c>
      <c r="P38" s="58">
        <f t="shared" si="7"/>
        <v>68400.683076946341</v>
      </c>
      <c r="Q38" s="91">
        <f t="shared" si="8"/>
        <v>7847.3169230536587</v>
      </c>
      <c r="R38" s="59">
        <f t="shared" si="9"/>
        <v>76248</v>
      </c>
      <c r="S38" s="57">
        <f t="shared" si="10"/>
        <v>60800.607179507861</v>
      </c>
      <c r="T38" s="91">
        <f t="shared" si="11"/>
        <v>6975.3928204921413</v>
      </c>
      <c r="U38" s="60">
        <f t="shared" si="12"/>
        <v>67776</v>
      </c>
      <c r="V38" s="58">
        <f t="shared" si="13"/>
        <v>53200.531282069373</v>
      </c>
      <c r="W38" s="91">
        <f t="shared" si="14"/>
        <v>6103.4687179306229</v>
      </c>
      <c r="X38" s="59">
        <f t="shared" si="15"/>
        <v>59303.999999999993</v>
      </c>
      <c r="Y38" s="57">
        <f t="shared" si="16"/>
        <v>45600.455384630892</v>
      </c>
      <c r="Z38" s="91">
        <f t="shared" si="17"/>
        <v>5231.5446153691055</v>
      </c>
      <c r="AA38" s="59">
        <f t="shared" si="18"/>
        <v>50832</v>
      </c>
      <c r="AB38" s="381"/>
    </row>
    <row r="39" spans="1:28">
      <c r="A39" s="187">
        <v>140</v>
      </c>
      <c r="B39" s="40">
        <v>41030</v>
      </c>
      <c r="C39" s="61">
        <f>VLOOKUP(B39,'base(indices)'!$A$4:$C$183,3,FALSE)</f>
        <v>622</v>
      </c>
      <c r="D39" s="192">
        <f>'base(indices)'!G32</f>
        <v>1.75157864</v>
      </c>
      <c r="E39" s="63">
        <f t="shared" si="22"/>
        <v>1089.48191408</v>
      </c>
      <c r="F39" s="82">
        <f>'base(indices)'!$I$147</f>
        <v>0.29920000000000002</v>
      </c>
      <c r="G39" s="63">
        <f t="shared" si="0"/>
        <v>325.97298869273601</v>
      </c>
      <c r="H39" s="268">
        <f t="shared" si="1"/>
        <v>1415.454902772736</v>
      </c>
      <c r="I39" s="415">
        <f t="shared" si="20"/>
        <v>225094.56193941543</v>
      </c>
      <c r="J39" s="45">
        <f>IF((I39-H$45+(H$45/12*8))+K39-(H39/2)&gt;$I$197,$I$197-K39,(I39-H$45+(H$45/12*8)-(H39/2)))</f>
        <v>76000.758974384822</v>
      </c>
      <c r="K39" s="108">
        <f t="shared" si="2"/>
        <v>8719.2410256151761</v>
      </c>
      <c r="L39" s="46">
        <f t="shared" si="3"/>
        <v>84720</v>
      </c>
      <c r="M39" s="43">
        <f t="shared" si="4"/>
        <v>72200.721025665582</v>
      </c>
      <c r="N39" s="108">
        <f t="shared" si="5"/>
        <v>8283.2789743344165</v>
      </c>
      <c r="O39" s="47">
        <f t="shared" si="6"/>
        <v>80484</v>
      </c>
      <c r="P39" s="119">
        <f t="shared" si="7"/>
        <v>68400.683076946341</v>
      </c>
      <c r="Q39" s="108">
        <f t="shared" si="8"/>
        <v>7847.3169230536587</v>
      </c>
      <c r="R39" s="46">
        <f t="shared" si="9"/>
        <v>76248</v>
      </c>
      <c r="S39" s="43">
        <f t="shared" si="10"/>
        <v>60800.607179507861</v>
      </c>
      <c r="T39" s="108">
        <f t="shared" si="11"/>
        <v>6975.3928204921413</v>
      </c>
      <c r="U39" s="47">
        <f t="shared" si="12"/>
        <v>67776</v>
      </c>
      <c r="V39" s="45">
        <f t="shared" si="13"/>
        <v>53200.531282069373</v>
      </c>
      <c r="W39" s="108">
        <f t="shared" si="14"/>
        <v>6103.4687179306229</v>
      </c>
      <c r="X39" s="46">
        <f t="shared" si="15"/>
        <v>59303.999999999993</v>
      </c>
      <c r="Y39" s="43">
        <f t="shared" si="16"/>
        <v>45600.455384630892</v>
      </c>
      <c r="Z39" s="108">
        <f t="shared" si="17"/>
        <v>5231.5446153691055</v>
      </c>
      <c r="AA39" s="46">
        <f t="shared" si="18"/>
        <v>50832</v>
      </c>
      <c r="AB39" s="380"/>
    </row>
    <row r="40" spans="1:28">
      <c r="A40" s="187">
        <v>139</v>
      </c>
      <c r="B40" s="50">
        <v>41061</v>
      </c>
      <c r="C40" s="61">
        <f>VLOOKUP(B40,'base(indices)'!$A$4:$C$183,3,FALSE)</f>
        <v>622</v>
      </c>
      <c r="D40" s="192">
        <f>'base(indices)'!G33</f>
        <v>1.74269092</v>
      </c>
      <c r="E40" s="54">
        <f t="shared" si="22"/>
        <v>1083.9537522400001</v>
      </c>
      <c r="F40" s="82">
        <f>'base(indices)'!$I$147</f>
        <v>0.29920000000000002</v>
      </c>
      <c r="G40" s="54">
        <f t="shared" si="0"/>
        <v>324.31896267020807</v>
      </c>
      <c r="H40" s="267">
        <f t="shared" si="1"/>
        <v>1408.2727149102082</v>
      </c>
      <c r="I40" s="414">
        <f t="shared" si="20"/>
        <v>223679.1070366427</v>
      </c>
      <c r="J40" s="58">
        <f>IF((I40-H$45+(H$45/12*7))+K40-(H40/2)&gt;$I$197,$I$197-K40,(I40-H$45+(H$45/12*7)-(H40/2)))</f>
        <v>76000.758974384822</v>
      </c>
      <c r="K40" s="91">
        <f t="shared" si="2"/>
        <v>8719.2410256151761</v>
      </c>
      <c r="L40" s="284">
        <f t="shared" si="3"/>
        <v>84720</v>
      </c>
      <c r="M40" s="57">
        <f t="shared" si="4"/>
        <v>72200.721025665582</v>
      </c>
      <c r="N40" s="91">
        <f t="shared" si="5"/>
        <v>8283.2789743344165</v>
      </c>
      <c r="O40" s="60">
        <f t="shared" si="6"/>
        <v>80484</v>
      </c>
      <c r="P40" s="58">
        <f t="shared" si="7"/>
        <v>68400.683076946341</v>
      </c>
      <c r="Q40" s="91">
        <f t="shared" si="8"/>
        <v>7847.3169230536587</v>
      </c>
      <c r="R40" s="59">
        <f t="shared" si="9"/>
        <v>76248</v>
      </c>
      <c r="S40" s="57">
        <f t="shared" si="10"/>
        <v>60800.607179507861</v>
      </c>
      <c r="T40" s="91">
        <f t="shared" si="11"/>
        <v>6975.3928204921413</v>
      </c>
      <c r="U40" s="60">
        <f t="shared" si="12"/>
        <v>67776</v>
      </c>
      <c r="V40" s="58">
        <f t="shared" si="13"/>
        <v>53200.531282069373</v>
      </c>
      <c r="W40" s="91">
        <f t="shared" si="14"/>
        <v>6103.4687179306229</v>
      </c>
      <c r="X40" s="59">
        <f t="shared" si="15"/>
        <v>59303.999999999993</v>
      </c>
      <c r="Y40" s="57">
        <f t="shared" si="16"/>
        <v>45600.455384630892</v>
      </c>
      <c r="Z40" s="91">
        <f t="shared" si="17"/>
        <v>5231.5446153691055</v>
      </c>
      <c r="AA40" s="59">
        <f t="shared" si="18"/>
        <v>50832</v>
      </c>
      <c r="AB40" s="381"/>
    </row>
    <row r="41" spans="1:28">
      <c r="A41" s="187">
        <v>138</v>
      </c>
      <c r="B41" s="40">
        <v>41091</v>
      </c>
      <c r="C41" s="61">
        <f>VLOOKUP(B41,'base(indices)'!$A$4:$C$183,3,FALSE)</f>
        <v>622</v>
      </c>
      <c r="D41" s="192">
        <f>'base(indices)'!G34</f>
        <v>1.73955971</v>
      </c>
      <c r="E41" s="63">
        <f t="shared" si="22"/>
        <v>1082.0061396199999</v>
      </c>
      <c r="F41" s="82">
        <f>'base(indices)'!$I$147</f>
        <v>0.29920000000000002</v>
      </c>
      <c r="G41" s="63">
        <f t="shared" si="0"/>
        <v>323.73623697430401</v>
      </c>
      <c r="H41" s="268">
        <f t="shared" si="1"/>
        <v>1405.742376594304</v>
      </c>
      <c r="I41" s="415">
        <f t="shared" si="20"/>
        <v>222270.83432173249</v>
      </c>
      <c r="J41" s="45">
        <f>IF((I41-H$45+(H$45/12*6))+K41-(H41/2)&gt;$I$197,$I$197-K41,(I41-H$45+(H$45/12*6)-(H41/2)))</f>
        <v>76000.758974384822</v>
      </c>
      <c r="K41" s="108">
        <f t="shared" si="2"/>
        <v>8719.2410256151761</v>
      </c>
      <c r="L41" s="46">
        <f t="shared" si="3"/>
        <v>84720</v>
      </c>
      <c r="M41" s="43">
        <f t="shared" si="4"/>
        <v>72200.721025665582</v>
      </c>
      <c r="N41" s="108">
        <f t="shared" si="5"/>
        <v>8283.2789743344165</v>
      </c>
      <c r="O41" s="47">
        <f t="shared" si="6"/>
        <v>80484</v>
      </c>
      <c r="P41" s="119">
        <f t="shared" si="7"/>
        <v>68400.683076946341</v>
      </c>
      <c r="Q41" s="108">
        <f t="shared" si="8"/>
        <v>7847.3169230536587</v>
      </c>
      <c r="R41" s="46">
        <f t="shared" si="9"/>
        <v>76248</v>
      </c>
      <c r="S41" s="43">
        <f t="shared" si="10"/>
        <v>60800.607179507861</v>
      </c>
      <c r="T41" s="108">
        <f t="shared" si="11"/>
        <v>6975.3928204921413</v>
      </c>
      <c r="U41" s="47">
        <f t="shared" si="12"/>
        <v>67776</v>
      </c>
      <c r="V41" s="45">
        <f t="shared" si="13"/>
        <v>53200.531282069373</v>
      </c>
      <c r="W41" s="108">
        <f t="shared" si="14"/>
        <v>6103.4687179306229</v>
      </c>
      <c r="X41" s="46">
        <f t="shared" si="15"/>
        <v>59303.999999999993</v>
      </c>
      <c r="Y41" s="43">
        <f t="shared" si="16"/>
        <v>45600.455384630892</v>
      </c>
      <c r="Z41" s="108">
        <f t="shared" si="17"/>
        <v>5231.5446153691055</v>
      </c>
      <c r="AA41" s="46">
        <f t="shared" si="18"/>
        <v>50832</v>
      </c>
      <c r="AB41" s="380"/>
    </row>
    <row r="42" spans="1:28">
      <c r="A42" s="187">
        <v>137</v>
      </c>
      <c r="B42" s="50">
        <v>41122</v>
      </c>
      <c r="C42" s="61">
        <f>VLOOKUP(B42,'base(indices)'!$A$4:$C$183,3,FALSE)</f>
        <v>622</v>
      </c>
      <c r="D42" s="192">
        <f>'base(indices)'!G35</f>
        <v>1.7338380499999999</v>
      </c>
      <c r="E42" s="54">
        <f t="shared" si="22"/>
        <v>1078.4472670999999</v>
      </c>
      <c r="F42" s="82">
        <f>'base(indices)'!$I$147</f>
        <v>0.29920000000000002</v>
      </c>
      <c r="G42" s="54">
        <f t="shared" si="0"/>
        <v>322.67142231631999</v>
      </c>
      <c r="H42" s="267">
        <f t="shared" si="1"/>
        <v>1401.1186894163197</v>
      </c>
      <c r="I42" s="414">
        <f t="shared" si="20"/>
        <v>220865.09194513818</v>
      </c>
      <c r="J42" s="58">
        <f>IF((I42-H$45+(H$45/12*5))+K42-(H42/2)&gt;$I$197,$I$197-K42,(I42-H$45+(H$45/12*5)-(H42/2)))</f>
        <v>76000.758974384822</v>
      </c>
      <c r="K42" s="91">
        <f t="shared" si="2"/>
        <v>8719.2410256151761</v>
      </c>
      <c r="L42" s="284">
        <f t="shared" si="3"/>
        <v>84720</v>
      </c>
      <c r="M42" s="57">
        <f t="shared" si="4"/>
        <v>72200.721025665582</v>
      </c>
      <c r="N42" s="91">
        <f t="shared" si="5"/>
        <v>8283.2789743344165</v>
      </c>
      <c r="O42" s="60">
        <f t="shared" si="6"/>
        <v>80484</v>
      </c>
      <c r="P42" s="58">
        <f t="shared" si="7"/>
        <v>68400.683076946341</v>
      </c>
      <c r="Q42" s="91">
        <f t="shared" si="8"/>
        <v>7847.3169230536587</v>
      </c>
      <c r="R42" s="59">
        <f t="shared" si="9"/>
        <v>76248</v>
      </c>
      <c r="S42" s="57">
        <f t="shared" si="10"/>
        <v>60800.607179507861</v>
      </c>
      <c r="T42" s="91">
        <f t="shared" si="11"/>
        <v>6975.3928204921413</v>
      </c>
      <c r="U42" s="60">
        <f t="shared" si="12"/>
        <v>67776</v>
      </c>
      <c r="V42" s="58">
        <f t="shared" si="13"/>
        <v>53200.531282069373</v>
      </c>
      <c r="W42" s="91">
        <f t="shared" si="14"/>
        <v>6103.4687179306229</v>
      </c>
      <c r="X42" s="59">
        <f t="shared" si="15"/>
        <v>59303.999999999993</v>
      </c>
      <c r="Y42" s="57">
        <f t="shared" si="16"/>
        <v>45600.455384630892</v>
      </c>
      <c r="Z42" s="91">
        <f t="shared" si="17"/>
        <v>5231.5446153691055</v>
      </c>
      <c r="AA42" s="59">
        <f t="shared" si="18"/>
        <v>50832</v>
      </c>
      <c r="AB42" s="381"/>
    </row>
    <row r="43" spans="1:28">
      <c r="A43" s="187">
        <v>136</v>
      </c>
      <c r="B43" s="40">
        <v>41153</v>
      </c>
      <c r="C43" s="61">
        <f>VLOOKUP(B43,'base(indices)'!$A$4:$C$183,3,FALSE)</f>
        <v>622</v>
      </c>
      <c r="D43" s="192">
        <f>'base(indices)'!G36</f>
        <v>1.72710235</v>
      </c>
      <c r="E43" s="63">
        <f t="shared" si="22"/>
        <v>1074.2576617</v>
      </c>
      <c r="F43" s="82">
        <f>'base(indices)'!$I$147</f>
        <v>0.29920000000000002</v>
      </c>
      <c r="G43" s="63">
        <f t="shared" si="0"/>
        <v>321.41789238064001</v>
      </c>
      <c r="H43" s="268">
        <f t="shared" si="1"/>
        <v>1395.67555408064</v>
      </c>
      <c r="I43" s="415">
        <f t="shared" si="20"/>
        <v>219463.97325572185</v>
      </c>
      <c r="J43" s="45">
        <f>IF((I43-H$45+(H$45/12*4))+K43-(H43/2)&gt;$I$197,$I$197-K43,(I43-H$45+(H$45/12*4)-(H43/2)))</f>
        <v>76000.758974384822</v>
      </c>
      <c r="K43" s="108">
        <f t="shared" ref="K43:K74" si="23">I$196</f>
        <v>8719.2410256151761</v>
      </c>
      <c r="L43" s="46">
        <f t="shared" si="3"/>
        <v>84720</v>
      </c>
      <c r="M43" s="43">
        <f t="shared" si="4"/>
        <v>72200.721025665582</v>
      </c>
      <c r="N43" s="108">
        <f t="shared" si="5"/>
        <v>8283.2789743344165</v>
      </c>
      <c r="O43" s="47">
        <f t="shared" si="6"/>
        <v>80484</v>
      </c>
      <c r="P43" s="119">
        <f t="shared" si="7"/>
        <v>68400.683076946341</v>
      </c>
      <c r="Q43" s="108">
        <f t="shared" si="8"/>
        <v>7847.3169230536587</v>
      </c>
      <c r="R43" s="46">
        <f t="shared" si="9"/>
        <v>76248</v>
      </c>
      <c r="S43" s="43">
        <f t="shared" si="10"/>
        <v>60800.607179507861</v>
      </c>
      <c r="T43" s="108">
        <f t="shared" si="11"/>
        <v>6975.3928204921413</v>
      </c>
      <c r="U43" s="47">
        <f t="shared" si="12"/>
        <v>67776</v>
      </c>
      <c r="V43" s="45">
        <f t="shared" si="13"/>
        <v>53200.531282069373</v>
      </c>
      <c r="W43" s="108">
        <f t="shared" si="14"/>
        <v>6103.4687179306229</v>
      </c>
      <c r="X43" s="46">
        <f t="shared" si="15"/>
        <v>59303.999999999993</v>
      </c>
      <c r="Y43" s="43">
        <f t="shared" si="16"/>
        <v>45600.455384630892</v>
      </c>
      <c r="Z43" s="108">
        <f t="shared" si="17"/>
        <v>5231.5446153691055</v>
      </c>
      <c r="AA43" s="46">
        <f t="shared" si="18"/>
        <v>50832</v>
      </c>
      <c r="AB43" s="380"/>
    </row>
    <row r="44" spans="1:28">
      <c r="A44" s="187">
        <v>135</v>
      </c>
      <c r="B44" s="50">
        <v>41183</v>
      </c>
      <c r="C44" s="61">
        <f>VLOOKUP(B44,'base(indices)'!$A$4:$C$183,3,FALSE)</f>
        <v>622</v>
      </c>
      <c r="D44" s="192">
        <f>'base(indices)'!G37</f>
        <v>1.71885186</v>
      </c>
      <c r="E44" s="54">
        <f t="shared" si="22"/>
        <v>1069.1258569199999</v>
      </c>
      <c r="F44" s="82">
        <f>'base(indices)'!$I$147</f>
        <v>0.29920000000000002</v>
      </c>
      <c r="G44" s="54">
        <f t="shared" si="0"/>
        <v>319.88245639046403</v>
      </c>
      <c r="H44" s="267">
        <f t="shared" si="1"/>
        <v>1389.008313310464</v>
      </c>
      <c r="I44" s="414">
        <f t="shared" si="20"/>
        <v>218068.29770164122</v>
      </c>
      <c r="J44" s="58">
        <f>IF((I44-H$45+(H$45/12*3))+K44-(H44/2)&gt;$I$197,$I$197-K44,(I44-H$45+(H$45/12*3)-(H44/2)))</f>
        <v>76000.758974384822</v>
      </c>
      <c r="K44" s="91">
        <f t="shared" si="23"/>
        <v>8719.2410256151761</v>
      </c>
      <c r="L44" s="284">
        <f t="shared" si="3"/>
        <v>84720</v>
      </c>
      <c r="M44" s="57">
        <f t="shared" si="4"/>
        <v>72200.721025665582</v>
      </c>
      <c r="N44" s="91">
        <f t="shared" si="5"/>
        <v>8283.2789743344165</v>
      </c>
      <c r="O44" s="60">
        <f t="shared" si="6"/>
        <v>80484</v>
      </c>
      <c r="P44" s="58">
        <f t="shared" si="7"/>
        <v>68400.683076946341</v>
      </c>
      <c r="Q44" s="91">
        <f t="shared" si="8"/>
        <v>7847.3169230536587</v>
      </c>
      <c r="R44" s="59">
        <f t="shared" si="9"/>
        <v>76248</v>
      </c>
      <c r="S44" s="57">
        <f t="shared" si="10"/>
        <v>60800.607179507861</v>
      </c>
      <c r="T44" s="91">
        <f t="shared" si="11"/>
        <v>6975.3928204921413</v>
      </c>
      <c r="U44" s="60">
        <f t="shared" si="12"/>
        <v>67776</v>
      </c>
      <c r="V44" s="58">
        <f t="shared" si="13"/>
        <v>53200.531282069373</v>
      </c>
      <c r="W44" s="91">
        <f t="shared" si="14"/>
        <v>6103.4687179306229</v>
      </c>
      <c r="X44" s="59">
        <f t="shared" si="15"/>
        <v>59303.999999999993</v>
      </c>
      <c r="Y44" s="57">
        <f t="shared" si="16"/>
        <v>45600.455384630892</v>
      </c>
      <c r="Z44" s="91">
        <f t="shared" si="17"/>
        <v>5231.5446153691055</v>
      </c>
      <c r="AA44" s="59">
        <f t="shared" si="18"/>
        <v>50832</v>
      </c>
      <c r="AB44" s="381"/>
    </row>
    <row r="45" spans="1:28">
      <c r="A45" s="187">
        <v>134</v>
      </c>
      <c r="B45" s="40">
        <v>41214</v>
      </c>
      <c r="C45" s="61">
        <f>VLOOKUP(B45,'base(indices)'!$A$4:$C$183,3,FALSE)</f>
        <v>622</v>
      </c>
      <c r="D45" s="192">
        <f>'base(indices)'!G38</f>
        <v>1.70775147</v>
      </c>
      <c r="E45" s="63">
        <f t="shared" si="22"/>
        <v>1062.2214143400001</v>
      </c>
      <c r="F45" s="82">
        <f>'base(indices)'!$I$147</f>
        <v>0.29920000000000002</v>
      </c>
      <c r="G45" s="63">
        <f t="shared" si="0"/>
        <v>317.81664717052809</v>
      </c>
      <c r="H45" s="268">
        <f t="shared" si="1"/>
        <v>1380.0380615105282</v>
      </c>
      <c r="I45" s="415">
        <f t="shared" si="20"/>
        <v>216679.28938833074</v>
      </c>
      <c r="J45" s="45">
        <f>IF((I45-H$45+(H$45/12*2))+K45-(H45/2)&gt;$I$197,$I$197-K45,(I45-H$45+(H$45/12*2)-(H45/2)))</f>
        <v>76000.758974384822</v>
      </c>
      <c r="K45" s="108">
        <f t="shared" si="23"/>
        <v>8719.2410256151761</v>
      </c>
      <c r="L45" s="46">
        <f t="shared" si="3"/>
        <v>84720</v>
      </c>
      <c r="M45" s="43">
        <f t="shared" si="4"/>
        <v>72200.721025665582</v>
      </c>
      <c r="N45" s="108">
        <f t="shared" si="5"/>
        <v>8283.2789743344165</v>
      </c>
      <c r="O45" s="47">
        <f t="shared" si="6"/>
        <v>80484</v>
      </c>
      <c r="P45" s="119">
        <f t="shared" si="7"/>
        <v>68400.683076946341</v>
      </c>
      <c r="Q45" s="108">
        <f t="shared" si="8"/>
        <v>7847.3169230536587</v>
      </c>
      <c r="R45" s="46">
        <f t="shared" si="9"/>
        <v>76248</v>
      </c>
      <c r="S45" s="43">
        <f t="shared" si="10"/>
        <v>60800.607179507861</v>
      </c>
      <c r="T45" s="108">
        <f t="shared" si="11"/>
        <v>6975.3928204921413</v>
      </c>
      <c r="U45" s="47">
        <f t="shared" si="12"/>
        <v>67776</v>
      </c>
      <c r="V45" s="45">
        <f t="shared" si="13"/>
        <v>53200.531282069373</v>
      </c>
      <c r="W45" s="108">
        <f t="shared" si="14"/>
        <v>6103.4687179306229</v>
      </c>
      <c r="X45" s="46">
        <f t="shared" si="15"/>
        <v>59303.999999999993</v>
      </c>
      <c r="Y45" s="43">
        <f t="shared" si="16"/>
        <v>45600.455384630892</v>
      </c>
      <c r="Z45" s="108">
        <f t="shared" si="17"/>
        <v>5231.5446153691055</v>
      </c>
      <c r="AA45" s="46">
        <f t="shared" si="18"/>
        <v>50832</v>
      </c>
      <c r="AB45" s="380"/>
    </row>
    <row r="46" spans="1:28" ht="13.5" thickBot="1">
      <c r="A46" s="188">
        <v>133</v>
      </c>
      <c r="B46" s="300">
        <v>41244</v>
      </c>
      <c r="C46" s="69">
        <f>C45*2</f>
        <v>1244</v>
      </c>
      <c r="D46" s="335">
        <f>'base(indices)'!G39</f>
        <v>1.69857915</v>
      </c>
      <c r="E46" s="163">
        <f t="shared" si="22"/>
        <v>2113.0324626000001</v>
      </c>
      <c r="F46" s="304">
        <f>'base(indices)'!$I$147</f>
        <v>0.29920000000000002</v>
      </c>
      <c r="G46" s="163">
        <f t="shared" si="0"/>
        <v>632.2193128099201</v>
      </c>
      <c r="H46" s="355">
        <f t="shared" si="1"/>
        <v>2745.2517754099204</v>
      </c>
      <c r="I46" s="416">
        <f t="shared" si="20"/>
        <v>215299.2513268202</v>
      </c>
      <c r="J46" s="175">
        <f>IF((I46-H$45+(H$45/12*1))+K46-(H46/4)&gt;$I$197,$I$197-K46,(I46-H$45+(H$45/12*1)-(H46/4)))</f>
        <v>76000.758974384822</v>
      </c>
      <c r="K46" s="86">
        <f t="shared" si="23"/>
        <v>8719.2410256151761</v>
      </c>
      <c r="L46" s="287">
        <f t="shared" si="3"/>
        <v>84720</v>
      </c>
      <c r="M46" s="85">
        <f t="shared" si="4"/>
        <v>72200.721025665582</v>
      </c>
      <c r="N46" s="86">
        <f t="shared" si="5"/>
        <v>8283.2789743344165</v>
      </c>
      <c r="O46" s="107">
        <f t="shared" si="6"/>
        <v>80484</v>
      </c>
      <c r="P46" s="175">
        <f t="shared" si="7"/>
        <v>68400.683076946341</v>
      </c>
      <c r="Q46" s="86">
        <f t="shared" si="8"/>
        <v>7847.3169230536587</v>
      </c>
      <c r="R46" s="165">
        <f t="shared" si="9"/>
        <v>76248</v>
      </c>
      <c r="S46" s="85">
        <f t="shared" si="10"/>
        <v>60800.607179507861</v>
      </c>
      <c r="T46" s="86">
        <f t="shared" si="11"/>
        <v>6975.3928204921413</v>
      </c>
      <c r="U46" s="107">
        <f t="shared" si="12"/>
        <v>67776</v>
      </c>
      <c r="V46" s="175">
        <f t="shared" si="13"/>
        <v>53200.531282069373</v>
      </c>
      <c r="W46" s="86">
        <f t="shared" si="14"/>
        <v>6103.4687179306229</v>
      </c>
      <c r="X46" s="165">
        <f t="shared" si="15"/>
        <v>59303.999999999993</v>
      </c>
      <c r="Y46" s="85">
        <f t="shared" si="16"/>
        <v>45600.455384630892</v>
      </c>
      <c r="Z46" s="86">
        <f t="shared" si="17"/>
        <v>5231.5446153691055</v>
      </c>
      <c r="AA46" s="165">
        <f t="shared" si="18"/>
        <v>50832</v>
      </c>
      <c r="AB46" s="381"/>
    </row>
    <row r="47" spans="1:28">
      <c r="A47" s="217">
        <v>132</v>
      </c>
      <c r="B47" s="246">
        <v>41275</v>
      </c>
      <c r="C47" s="273">
        <f>VLOOKUP(B47,'base(indices)'!$A$4:$C$183,3,FALSE)</f>
        <v>678</v>
      </c>
      <c r="D47" s="195">
        <f>'base(indices)'!G40</f>
        <v>1.6869392700000001</v>
      </c>
      <c r="E47" s="154">
        <f>C47*D47</f>
        <v>1143.74482506</v>
      </c>
      <c r="F47" s="42">
        <f>'base(indices)'!$I$147</f>
        <v>0.29920000000000002</v>
      </c>
      <c r="G47" s="154">
        <f t="shared" si="0"/>
        <v>342.20845165795203</v>
      </c>
      <c r="H47" s="362">
        <f t="shared" si="1"/>
        <v>1485.9532767179521</v>
      </c>
      <c r="I47" s="401">
        <f t="shared" si="20"/>
        <v>212553.99955141029</v>
      </c>
      <c r="J47" s="288">
        <f>IF((I47-H$57+(H$57))+K47-(H47/2)&gt;$I$197,$I$197-K47,(I47-H$57+(H$57)-(H47/2)))</f>
        <v>76000.758974384822</v>
      </c>
      <c r="K47" s="156">
        <f t="shared" si="23"/>
        <v>8719.2410256151761</v>
      </c>
      <c r="L47" s="150">
        <f t="shared" si="3"/>
        <v>84720</v>
      </c>
      <c r="M47" s="283">
        <f t="shared" si="4"/>
        <v>72200.721025665582</v>
      </c>
      <c r="N47" s="156">
        <f t="shared" si="5"/>
        <v>8283.2789743344165</v>
      </c>
      <c r="O47" s="290">
        <f t="shared" si="6"/>
        <v>80484</v>
      </c>
      <c r="P47" s="292">
        <f t="shared" si="7"/>
        <v>68400.683076946341</v>
      </c>
      <c r="Q47" s="156">
        <f t="shared" si="8"/>
        <v>7847.3169230536587</v>
      </c>
      <c r="R47" s="150">
        <f t="shared" si="9"/>
        <v>76248</v>
      </c>
      <c r="S47" s="283">
        <f t="shared" si="10"/>
        <v>60800.607179507861</v>
      </c>
      <c r="T47" s="156">
        <f t="shared" si="11"/>
        <v>6975.3928204921413</v>
      </c>
      <c r="U47" s="290">
        <f t="shared" si="12"/>
        <v>67776</v>
      </c>
      <c r="V47" s="288">
        <f t="shared" si="13"/>
        <v>53200.531282069373</v>
      </c>
      <c r="W47" s="156">
        <f t="shared" si="14"/>
        <v>6103.4687179306229</v>
      </c>
      <c r="X47" s="150">
        <f t="shared" si="15"/>
        <v>59303.999999999993</v>
      </c>
      <c r="Y47" s="283">
        <f t="shared" si="16"/>
        <v>45600.455384630892</v>
      </c>
      <c r="Z47" s="156">
        <f t="shared" si="17"/>
        <v>5231.5446153691055</v>
      </c>
      <c r="AA47" s="150">
        <f t="shared" si="18"/>
        <v>50832</v>
      </c>
      <c r="AB47" s="380"/>
    </row>
    <row r="48" spans="1:28">
      <c r="A48" s="187">
        <v>131</v>
      </c>
      <c r="B48" s="50">
        <v>41306</v>
      </c>
      <c r="C48" s="61">
        <f>VLOOKUP(B48,'base(indices)'!$A$4:$C$183,3,FALSE)</f>
        <v>678</v>
      </c>
      <c r="D48" s="192">
        <f>'base(indices)'!G41</f>
        <v>1.6722237</v>
      </c>
      <c r="E48" s="54">
        <f t="shared" ref="E48:E58" si="24">C48*D48</f>
        <v>1133.7676686</v>
      </c>
      <c r="F48" s="82">
        <f>'base(indices)'!$I$147</f>
        <v>0.29920000000000002</v>
      </c>
      <c r="G48" s="54">
        <f t="shared" si="0"/>
        <v>339.22328644512004</v>
      </c>
      <c r="H48" s="267">
        <f t="shared" si="1"/>
        <v>1472.99095504512</v>
      </c>
      <c r="I48" s="359">
        <f t="shared" si="20"/>
        <v>211068.04627469234</v>
      </c>
      <c r="J48" s="58">
        <f>IF((I48-H$57+(H$57/12*11))+K48-(H48/2)&gt;$I$197,$I$197-K48,(I48-H$57+(H$57/12*11)-(H48/2)))</f>
        <v>76000.758974384822</v>
      </c>
      <c r="K48" s="91">
        <f t="shared" si="23"/>
        <v>8719.2410256151761</v>
      </c>
      <c r="L48" s="284">
        <f t="shared" si="3"/>
        <v>84720</v>
      </c>
      <c r="M48" s="57">
        <f t="shared" si="4"/>
        <v>72200.721025665582</v>
      </c>
      <c r="N48" s="91">
        <f t="shared" si="5"/>
        <v>8283.2789743344165</v>
      </c>
      <c r="O48" s="60">
        <f t="shared" si="6"/>
        <v>80484</v>
      </c>
      <c r="P48" s="58">
        <f t="shared" si="7"/>
        <v>68400.683076946341</v>
      </c>
      <c r="Q48" s="91">
        <f t="shared" si="8"/>
        <v>7847.3169230536587</v>
      </c>
      <c r="R48" s="59">
        <f t="shared" si="9"/>
        <v>76248</v>
      </c>
      <c r="S48" s="57">
        <f t="shared" si="10"/>
        <v>60800.607179507861</v>
      </c>
      <c r="T48" s="91">
        <f t="shared" si="11"/>
        <v>6975.3928204921413</v>
      </c>
      <c r="U48" s="60">
        <f t="shared" si="12"/>
        <v>67776</v>
      </c>
      <c r="V48" s="58">
        <f t="shared" si="13"/>
        <v>53200.531282069373</v>
      </c>
      <c r="W48" s="91">
        <f t="shared" si="14"/>
        <v>6103.4687179306229</v>
      </c>
      <c r="X48" s="59">
        <f t="shared" si="15"/>
        <v>59303.999999999993</v>
      </c>
      <c r="Y48" s="57">
        <f t="shared" si="16"/>
        <v>45600.455384630892</v>
      </c>
      <c r="Z48" s="91">
        <f t="shared" si="17"/>
        <v>5231.5446153691055</v>
      </c>
      <c r="AA48" s="59">
        <f t="shared" si="18"/>
        <v>50832</v>
      </c>
      <c r="AB48" s="381"/>
    </row>
    <row r="49" spans="1:28">
      <c r="A49" s="187">
        <v>130</v>
      </c>
      <c r="B49" s="40">
        <v>41334</v>
      </c>
      <c r="C49" s="61">
        <f>VLOOKUP(B49,'base(indices)'!$A$4:$C$183,3,FALSE)</f>
        <v>678</v>
      </c>
      <c r="D49" s="192">
        <f>'base(indices)'!G42</f>
        <v>1.66092938</v>
      </c>
      <c r="E49" s="63">
        <f t="shared" si="24"/>
        <v>1126.11011964</v>
      </c>
      <c r="F49" s="82">
        <f>'base(indices)'!$I$147</f>
        <v>0.29920000000000002</v>
      </c>
      <c r="G49" s="63">
        <f t="shared" si="0"/>
        <v>336.93214779628801</v>
      </c>
      <c r="H49" s="268">
        <f t="shared" si="1"/>
        <v>1463.0422674362881</v>
      </c>
      <c r="I49" s="360">
        <f t="shared" si="20"/>
        <v>209595.05531964722</v>
      </c>
      <c r="J49" s="45">
        <f>IF((I49-H$57+(H$57/12*10))+K49-(H49/2)&gt;$I$197,$I$197-K49,(I49-H$57+(H$57/12*10)-(H49/2)))</f>
        <v>76000.758974384822</v>
      </c>
      <c r="K49" s="108">
        <f t="shared" si="23"/>
        <v>8719.2410256151761</v>
      </c>
      <c r="L49" s="46">
        <f t="shared" si="3"/>
        <v>84720</v>
      </c>
      <c r="M49" s="43">
        <f t="shared" si="4"/>
        <v>72200.721025665582</v>
      </c>
      <c r="N49" s="108">
        <f t="shared" si="5"/>
        <v>8283.2789743344165</v>
      </c>
      <c r="O49" s="47">
        <f t="shared" si="6"/>
        <v>80484</v>
      </c>
      <c r="P49" s="119">
        <f t="shared" si="7"/>
        <v>68400.683076946341</v>
      </c>
      <c r="Q49" s="108">
        <f t="shared" si="8"/>
        <v>7847.3169230536587</v>
      </c>
      <c r="R49" s="46">
        <f t="shared" si="9"/>
        <v>76248</v>
      </c>
      <c r="S49" s="43">
        <f t="shared" si="10"/>
        <v>60800.607179507861</v>
      </c>
      <c r="T49" s="108">
        <f t="shared" si="11"/>
        <v>6975.3928204921413</v>
      </c>
      <c r="U49" s="47">
        <f t="shared" si="12"/>
        <v>67776</v>
      </c>
      <c r="V49" s="45">
        <f t="shared" si="13"/>
        <v>53200.531282069373</v>
      </c>
      <c r="W49" s="108">
        <f t="shared" si="14"/>
        <v>6103.4687179306229</v>
      </c>
      <c r="X49" s="46">
        <f t="shared" si="15"/>
        <v>59303.999999999993</v>
      </c>
      <c r="Y49" s="43">
        <f t="shared" si="16"/>
        <v>45600.455384630892</v>
      </c>
      <c r="Z49" s="108">
        <f t="shared" si="17"/>
        <v>5231.5446153691055</v>
      </c>
      <c r="AA49" s="46">
        <f t="shared" si="18"/>
        <v>50832</v>
      </c>
      <c r="AB49" s="380"/>
    </row>
    <row r="50" spans="1:28">
      <c r="A50" s="187">
        <v>129</v>
      </c>
      <c r="B50" s="50">
        <v>41365</v>
      </c>
      <c r="C50" s="61">
        <f>VLOOKUP(B50,'base(indices)'!$A$4:$C$183,3,FALSE)</f>
        <v>678</v>
      </c>
      <c r="D50" s="192">
        <f>'base(indices)'!G43</f>
        <v>1.65283051</v>
      </c>
      <c r="E50" s="54">
        <f t="shared" si="24"/>
        <v>1120.61908578</v>
      </c>
      <c r="F50" s="82">
        <f>'base(indices)'!$I$147</f>
        <v>0.29920000000000002</v>
      </c>
      <c r="G50" s="54">
        <f t="shared" si="0"/>
        <v>335.28923046537602</v>
      </c>
      <c r="H50" s="267">
        <f t="shared" si="1"/>
        <v>1455.908316245376</v>
      </c>
      <c r="I50" s="359">
        <f t="shared" si="20"/>
        <v>208132.01305221094</v>
      </c>
      <c r="J50" s="58">
        <f>IF((I50-H$57+(H$57/12*9))+K50-(H50/2)&gt;$I$197,$I$197-K50,(I50-H$57+(H$57/12*9)-(H50/2)))</f>
        <v>76000.758974384822</v>
      </c>
      <c r="K50" s="91">
        <f t="shared" si="23"/>
        <v>8719.2410256151761</v>
      </c>
      <c r="L50" s="284">
        <f t="shared" si="3"/>
        <v>84720</v>
      </c>
      <c r="M50" s="57">
        <f t="shared" si="4"/>
        <v>72200.721025665582</v>
      </c>
      <c r="N50" s="91">
        <f t="shared" si="5"/>
        <v>8283.2789743344165</v>
      </c>
      <c r="O50" s="60">
        <f t="shared" si="6"/>
        <v>80484</v>
      </c>
      <c r="P50" s="58">
        <f t="shared" si="7"/>
        <v>68400.683076946341</v>
      </c>
      <c r="Q50" s="91">
        <f t="shared" si="8"/>
        <v>7847.3169230536587</v>
      </c>
      <c r="R50" s="59">
        <f t="shared" si="9"/>
        <v>76248</v>
      </c>
      <c r="S50" s="57">
        <f t="shared" si="10"/>
        <v>60800.607179507861</v>
      </c>
      <c r="T50" s="91">
        <f t="shared" si="11"/>
        <v>6975.3928204921413</v>
      </c>
      <c r="U50" s="60">
        <f t="shared" si="12"/>
        <v>67776</v>
      </c>
      <c r="V50" s="58">
        <f t="shared" si="13"/>
        <v>53200.531282069373</v>
      </c>
      <c r="W50" s="91">
        <f t="shared" si="14"/>
        <v>6103.4687179306229</v>
      </c>
      <c r="X50" s="59">
        <f t="shared" si="15"/>
        <v>59303.999999999993</v>
      </c>
      <c r="Y50" s="57">
        <f t="shared" si="16"/>
        <v>45600.455384630892</v>
      </c>
      <c r="Z50" s="91">
        <f t="shared" si="17"/>
        <v>5231.5446153691055</v>
      </c>
      <c r="AA50" s="59">
        <f t="shared" si="18"/>
        <v>50832</v>
      </c>
      <c r="AB50" s="381"/>
    </row>
    <row r="51" spans="1:28">
      <c r="A51" s="187">
        <v>128</v>
      </c>
      <c r="B51" s="40">
        <v>41395</v>
      </c>
      <c r="C51" s="61">
        <f>VLOOKUP(B51,'base(indices)'!$A$4:$C$183,3,FALSE)</f>
        <v>678</v>
      </c>
      <c r="D51" s="192">
        <f>'base(indices)'!G44</f>
        <v>1.6444438400000001</v>
      </c>
      <c r="E51" s="63">
        <f t="shared" si="24"/>
        <v>1114.93292352</v>
      </c>
      <c r="F51" s="82">
        <f>'base(indices)'!$I$147</f>
        <v>0.29920000000000002</v>
      </c>
      <c r="G51" s="63">
        <f t="shared" si="0"/>
        <v>333.58793071718401</v>
      </c>
      <c r="H51" s="268">
        <f t="shared" si="1"/>
        <v>1448.520854237184</v>
      </c>
      <c r="I51" s="360">
        <f t="shared" si="20"/>
        <v>206676.10473596555</v>
      </c>
      <c r="J51" s="45">
        <f>IF((I51-H$57+(H$57/12*8))+K51-(H51/2)&gt;$I$197,$I$197-K51,(I51-H$57+(H$57/12*8)-(H51/2)))</f>
        <v>76000.758974384822</v>
      </c>
      <c r="K51" s="108">
        <f t="shared" si="23"/>
        <v>8719.2410256151761</v>
      </c>
      <c r="L51" s="46">
        <f t="shared" si="3"/>
        <v>84720</v>
      </c>
      <c r="M51" s="43">
        <f t="shared" si="4"/>
        <v>72200.721025665582</v>
      </c>
      <c r="N51" s="108">
        <f t="shared" si="5"/>
        <v>8283.2789743344165</v>
      </c>
      <c r="O51" s="47">
        <f t="shared" si="6"/>
        <v>80484</v>
      </c>
      <c r="P51" s="119">
        <f t="shared" si="7"/>
        <v>68400.683076946341</v>
      </c>
      <c r="Q51" s="108">
        <f t="shared" si="8"/>
        <v>7847.3169230536587</v>
      </c>
      <c r="R51" s="46">
        <f t="shared" si="9"/>
        <v>76248</v>
      </c>
      <c r="S51" s="43">
        <f t="shared" si="10"/>
        <v>60800.607179507861</v>
      </c>
      <c r="T51" s="108">
        <f t="shared" si="11"/>
        <v>6975.3928204921413</v>
      </c>
      <c r="U51" s="47">
        <f t="shared" si="12"/>
        <v>67776</v>
      </c>
      <c r="V51" s="45">
        <f t="shared" si="13"/>
        <v>53200.531282069373</v>
      </c>
      <c r="W51" s="108">
        <f t="shared" si="14"/>
        <v>6103.4687179306229</v>
      </c>
      <c r="X51" s="46">
        <f t="shared" si="15"/>
        <v>59303.999999999993</v>
      </c>
      <c r="Y51" s="43">
        <f t="shared" si="16"/>
        <v>45600.455384630892</v>
      </c>
      <c r="Z51" s="108">
        <f t="shared" si="17"/>
        <v>5231.5446153691055</v>
      </c>
      <c r="AA51" s="46">
        <f t="shared" si="18"/>
        <v>50832</v>
      </c>
      <c r="AB51" s="380"/>
    </row>
    <row r="52" spans="1:28">
      <c r="A52" s="187">
        <v>127</v>
      </c>
      <c r="B52" s="50">
        <v>41426</v>
      </c>
      <c r="C52" s="61">
        <f>VLOOKUP(B52,'base(indices)'!$A$4:$C$183,3,FALSE)</f>
        <v>678</v>
      </c>
      <c r="D52" s="192">
        <f>'base(indices)'!G45</f>
        <v>1.63691404</v>
      </c>
      <c r="E52" s="54">
        <f t="shared" si="24"/>
        <v>1109.82771912</v>
      </c>
      <c r="F52" s="82">
        <f>'base(indices)'!$I$147</f>
        <v>0.29920000000000002</v>
      </c>
      <c r="G52" s="54">
        <f t="shared" si="0"/>
        <v>332.06045356070399</v>
      </c>
      <c r="H52" s="267">
        <f t="shared" si="1"/>
        <v>1441.888172680704</v>
      </c>
      <c r="I52" s="359">
        <f t="shared" si="20"/>
        <v>205227.58388172835</v>
      </c>
      <c r="J52" s="58">
        <f>IF((I52-H$57+(H$57/12*7))+K52-(H52/2)&gt;$I$197,$I$197-K52,(I52-H$57+(H$57/12*7)-(H52/2)))</f>
        <v>76000.758974384822</v>
      </c>
      <c r="K52" s="91">
        <f t="shared" si="23"/>
        <v>8719.2410256151761</v>
      </c>
      <c r="L52" s="284">
        <f t="shared" si="3"/>
        <v>84720</v>
      </c>
      <c r="M52" s="57">
        <f t="shared" si="4"/>
        <v>72200.721025665582</v>
      </c>
      <c r="N52" s="91">
        <f t="shared" si="5"/>
        <v>8283.2789743344165</v>
      </c>
      <c r="O52" s="60">
        <f t="shared" si="6"/>
        <v>80484</v>
      </c>
      <c r="P52" s="58">
        <f t="shared" si="7"/>
        <v>68400.683076946341</v>
      </c>
      <c r="Q52" s="91">
        <f t="shared" si="8"/>
        <v>7847.3169230536587</v>
      </c>
      <c r="R52" s="59">
        <f t="shared" si="9"/>
        <v>76248</v>
      </c>
      <c r="S52" s="57">
        <f t="shared" si="10"/>
        <v>60800.607179507861</v>
      </c>
      <c r="T52" s="91">
        <f t="shared" si="11"/>
        <v>6975.3928204921413</v>
      </c>
      <c r="U52" s="60">
        <f t="shared" si="12"/>
        <v>67776</v>
      </c>
      <c r="V52" s="58">
        <f t="shared" si="13"/>
        <v>53200.531282069373</v>
      </c>
      <c r="W52" s="91">
        <f t="shared" si="14"/>
        <v>6103.4687179306229</v>
      </c>
      <c r="X52" s="59">
        <f t="shared" si="15"/>
        <v>59303.999999999993</v>
      </c>
      <c r="Y52" s="57">
        <f t="shared" si="16"/>
        <v>45600.455384630892</v>
      </c>
      <c r="Z52" s="91">
        <f t="shared" si="17"/>
        <v>5231.5446153691055</v>
      </c>
      <c r="AA52" s="59">
        <f t="shared" si="18"/>
        <v>50832</v>
      </c>
      <c r="AB52" s="381"/>
    </row>
    <row r="53" spans="1:28">
      <c r="A53" s="187">
        <v>126</v>
      </c>
      <c r="B53" s="40">
        <v>41456</v>
      </c>
      <c r="C53" s="61">
        <f>VLOOKUP(B53,'base(indices)'!$A$4:$C$183,3,FALSE)</f>
        <v>678</v>
      </c>
      <c r="D53" s="192">
        <f>'base(indices)'!G46</f>
        <v>1.6307173100000001</v>
      </c>
      <c r="E53" s="63">
        <f t="shared" si="24"/>
        <v>1105.62633618</v>
      </c>
      <c r="F53" s="82">
        <f>'base(indices)'!$I$147</f>
        <v>0.29920000000000002</v>
      </c>
      <c r="G53" s="63">
        <f t="shared" si="0"/>
        <v>330.803399785056</v>
      </c>
      <c r="H53" s="268">
        <f t="shared" si="1"/>
        <v>1436.4297359650559</v>
      </c>
      <c r="I53" s="360">
        <f t="shared" si="20"/>
        <v>203785.69570904764</v>
      </c>
      <c r="J53" s="45">
        <f>IF((I53-H$57+(H$57/12*6))+K53-(H53/2)&gt;$I$197,$I$197-K53,(I53-H$57+(H$57/12*6)-(H53/2)))</f>
        <v>76000.758974384822</v>
      </c>
      <c r="K53" s="108">
        <f t="shared" si="23"/>
        <v>8719.2410256151761</v>
      </c>
      <c r="L53" s="46">
        <f t="shared" si="3"/>
        <v>84720</v>
      </c>
      <c r="M53" s="43">
        <f t="shared" si="4"/>
        <v>72200.721025665582</v>
      </c>
      <c r="N53" s="108">
        <f t="shared" si="5"/>
        <v>8283.2789743344165</v>
      </c>
      <c r="O53" s="47">
        <f t="shared" si="6"/>
        <v>80484</v>
      </c>
      <c r="P53" s="119">
        <f t="shared" si="7"/>
        <v>68400.683076946341</v>
      </c>
      <c r="Q53" s="108">
        <f t="shared" si="8"/>
        <v>7847.3169230536587</v>
      </c>
      <c r="R53" s="46">
        <f t="shared" si="9"/>
        <v>76248</v>
      </c>
      <c r="S53" s="43">
        <f t="shared" si="10"/>
        <v>60800.607179507861</v>
      </c>
      <c r="T53" s="108">
        <f t="shared" si="11"/>
        <v>6975.3928204921413</v>
      </c>
      <c r="U53" s="47">
        <f t="shared" si="12"/>
        <v>67776</v>
      </c>
      <c r="V53" s="45">
        <f t="shared" si="13"/>
        <v>53200.531282069373</v>
      </c>
      <c r="W53" s="108">
        <f t="shared" si="14"/>
        <v>6103.4687179306229</v>
      </c>
      <c r="X53" s="46">
        <f t="shared" si="15"/>
        <v>59303.999999999993</v>
      </c>
      <c r="Y53" s="43">
        <f t="shared" si="16"/>
        <v>45600.455384630892</v>
      </c>
      <c r="Z53" s="108">
        <f t="shared" si="17"/>
        <v>5231.5446153691055</v>
      </c>
      <c r="AA53" s="46">
        <f t="shared" si="18"/>
        <v>50832</v>
      </c>
      <c r="AB53" s="380"/>
    </row>
    <row r="54" spans="1:28">
      <c r="A54" s="187">
        <v>125</v>
      </c>
      <c r="B54" s="50">
        <v>41487</v>
      </c>
      <c r="C54" s="61">
        <f>VLOOKUP(B54,'base(indices)'!$A$4:$C$183,3,FALSE)</f>
        <v>678</v>
      </c>
      <c r="D54" s="192">
        <f>'base(indices)'!G47</f>
        <v>1.62957661</v>
      </c>
      <c r="E54" s="54">
        <f t="shared" si="24"/>
        <v>1104.8529415799999</v>
      </c>
      <c r="F54" s="82">
        <f>'base(indices)'!$I$147</f>
        <v>0.29920000000000002</v>
      </c>
      <c r="G54" s="54">
        <f t="shared" si="0"/>
        <v>330.57200012073599</v>
      </c>
      <c r="H54" s="267">
        <f t="shared" si="1"/>
        <v>1435.4249417007359</v>
      </c>
      <c r="I54" s="359">
        <f t="shared" si="20"/>
        <v>202349.26597308257</v>
      </c>
      <c r="J54" s="58">
        <f>IF((I54-H$57+(H$57/12*5))+K54-(H54/2)&gt;$I$197,$I$197-K54,(I54-H$57+(H$57/12*5)-(H54/2)))</f>
        <v>76000.758974384822</v>
      </c>
      <c r="K54" s="91">
        <f t="shared" si="23"/>
        <v>8719.2410256151761</v>
      </c>
      <c r="L54" s="284">
        <f t="shared" si="3"/>
        <v>84720</v>
      </c>
      <c r="M54" s="57">
        <f t="shared" si="4"/>
        <v>72200.721025665582</v>
      </c>
      <c r="N54" s="91">
        <f t="shared" si="5"/>
        <v>8283.2789743344165</v>
      </c>
      <c r="O54" s="60">
        <f t="shared" si="6"/>
        <v>80484</v>
      </c>
      <c r="P54" s="58">
        <f t="shared" si="7"/>
        <v>68400.683076946341</v>
      </c>
      <c r="Q54" s="91">
        <f t="shared" si="8"/>
        <v>7847.3169230536587</v>
      </c>
      <c r="R54" s="59">
        <f t="shared" si="9"/>
        <v>76248</v>
      </c>
      <c r="S54" s="57">
        <f t="shared" si="10"/>
        <v>60800.607179507861</v>
      </c>
      <c r="T54" s="91">
        <f t="shared" si="11"/>
        <v>6975.3928204921413</v>
      </c>
      <c r="U54" s="60">
        <f t="shared" si="12"/>
        <v>67776</v>
      </c>
      <c r="V54" s="58">
        <f t="shared" si="13"/>
        <v>53200.531282069373</v>
      </c>
      <c r="W54" s="91">
        <f t="shared" si="14"/>
        <v>6103.4687179306229</v>
      </c>
      <c r="X54" s="59">
        <f t="shared" si="15"/>
        <v>59303.999999999993</v>
      </c>
      <c r="Y54" s="57">
        <f t="shared" si="16"/>
        <v>45600.455384630892</v>
      </c>
      <c r="Z54" s="91">
        <f t="shared" si="17"/>
        <v>5231.5446153691055</v>
      </c>
      <c r="AA54" s="59">
        <f t="shared" si="18"/>
        <v>50832</v>
      </c>
      <c r="AB54" s="381"/>
    </row>
    <row r="55" spans="1:28">
      <c r="A55" s="187">
        <v>124</v>
      </c>
      <c r="B55" s="40">
        <v>41518</v>
      </c>
      <c r="C55" s="61">
        <f>VLOOKUP(B55,'base(indices)'!$A$4:$C$183,3,FALSE)</f>
        <v>678</v>
      </c>
      <c r="D55" s="192">
        <f>'base(indices)'!G48</f>
        <v>1.6269734499999999</v>
      </c>
      <c r="E55" s="63">
        <f t="shared" si="24"/>
        <v>1103.0879990999999</v>
      </c>
      <c r="F55" s="82">
        <f>'base(indices)'!$I$147</f>
        <v>0.29920000000000002</v>
      </c>
      <c r="G55" s="63">
        <f t="shared" si="0"/>
        <v>330.04392933072</v>
      </c>
      <c r="H55" s="268">
        <f t="shared" si="1"/>
        <v>1433.1319284307199</v>
      </c>
      <c r="I55" s="360">
        <f t="shared" si="20"/>
        <v>200913.84103138183</v>
      </c>
      <c r="J55" s="45">
        <f>IF((I55-H$57+(H$57/12*4))+K55-(H55/2)&gt;$I$197,$I$197-K55,(I55-H$57+(H$57/12*4)-(H55/2)))</f>
        <v>76000.758974384822</v>
      </c>
      <c r="K55" s="108">
        <f t="shared" si="23"/>
        <v>8719.2410256151761</v>
      </c>
      <c r="L55" s="46">
        <f t="shared" si="3"/>
        <v>84720</v>
      </c>
      <c r="M55" s="43">
        <f t="shared" si="4"/>
        <v>72200.721025665582</v>
      </c>
      <c r="N55" s="108">
        <f t="shared" si="5"/>
        <v>8283.2789743344165</v>
      </c>
      <c r="O55" s="47">
        <f t="shared" si="6"/>
        <v>80484</v>
      </c>
      <c r="P55" s="119">
        <f t="shared" si="7"/>
        <v>68400.683076946341</v>
      </c>
      <c r="Q55" s="108">
        <f t="shared" si="8"/>
        <v>7847.3169230536587</v>
      </c>
      <c r="R55" s="46">
        <f t="shared" si="9"/>
        <v>76248</v>
      </c>
      <c r="S55" s="43">
        <f t="shared" si="10"/>
        <v>60800.607179507861</v>
      </c>
      <c r="T55" s="108">
        <f t="shared" si="11"/>
        <v>6975.3928204921413</v>
      </c>
      <c r="U55" s="47">
        <f t="shared" si="12"/>
        <v>67776</v>
      </c>
      <c r="V55" s="45">
        <f t="shared" si="13"/>
        <v>53200.531282069373</v>
      </c>
      <c r="W55" s="108">
        <f t="shared" si="14"/>
        <v>6103.4687179306229</v>
      </c>
      <c r="X55" s="46">
        <f t="shared" si="15"/>
        <v>59303.999999999993</v>
      </c>
      <c r="Y55" s="43">
        <f t="shared" si="16"/>
        <v>45600.455384630892</v>
      </c>
      <c r="Z55" s="108">
        <f t="shared" si="17"/>
        <v>5231.5446153691055</v>
      </c>
      <c r="AA55" s="46">
        <f t="shared" si="18"/>
        <v>50832</v>
      </c>
      <c r="AB55" s="380"/>
    </row>
    <row r="56" spans="1:28">
      <c r="A56" s="187">
        <v>123</v>
      </c>
      <c r="B56" s="50">
        <v>41548</v>
      </c>
      <c r="C56" s="61">
        <f>VLOOKUP(B56,'base(indices)'!$A$4:$C$183,3,FALSE)</f>
        <v>678</v>
      </c>
      <c r="D56" s="192">
        <f>'base(indices)'!G49</f>
        <v>1.62259245</v>
      </c>
      <c r="E56" s="54">
        <f t="shared" si="24"/>
        <v>1100.1176811</v>
      </c>
      <c r="F56" s="82">
        <f>'base(indices)'!$I$147</f>
        <v>0.29920000000000002</v>
      </c>
      <c r="G56" s="54">
        <f t="shared" si="0"/>
        <v>329.15521018512004</v>
      </c>
      <c r="H56" s="267">
        <f t="shared" si="1"/>
        <v>1429.2728912851201</v>
      </c>
      <c r="I56" s="359">
        <f t="shared" si="20"/>
        <v>199480.70910295111</v>
      </c>
      <c r="J56" s="58">
        <f>IF((I56-H$57+(H$57/12*3))+K56-(H56/2)&gt;$I$197,$I$197-K56,(I56-H$57+(H$57/12*3)-(H56/2)))</f>
        <v>76000.758974384822</v>
      </c>
      <c r="K56" s="91">
        <f t="shared" si="23"/>
        <v>8719.2410256151761</v>
      </c>
      <c r="L56" s="284">
        <f t="shared" si="3"/>
        <v>84720</v>
      </c>
      <c r="M56" s="57">
        <f t="shared" si="4"/>
        <v>72200.721025665582</v>
      </c>
      <c r="N56" s="91">
        <f t="shared" si="5"/>
        <v>8283.2789743344165</v>
      </c>
      <c r="O56" s="60">
        <f t="shared" si="6"/>
        <v>80484</v>
      </c>
      <c r="P56" s="58">
        <f t="shared" si="7"/>
        <v>68400.683076946341</v>
      </c>
      <c r="Q56" s="91">
        <f t="shared" si="8"/>
        <v>7847.3169230536587</v>
      </c>
      <c r="R56" s="59">
        <f t="shared" si="9"/>
        <v>76248</v>
      </c>
      <c r="S56" s="57">
        <f t="shared" si="10"/>
        <v>60800.607179507861</v>
      </c>
      <c r="T56" s="91">
        <f t="shared" si="11"/>
        <v>6975.3928204921413</v>
      </c>
      <c r="U56" s="60">
        <f t="shared" si="12"/>
        <v>67776</v>
      </c>
      <c r="V56" s="58">
        <f t="shared" si="13"/>
        <v>53200.531282069373</v>
      </c>
      <c r="W56" s="91">
        <f t="shared" si="14"/>
        <v>6103.4687179306229</v>
      </c>
      <c r="X56" s="59">
        <f t="shared" si="15"/>
        <v>59303.999999999993</v>
      </c>
      <c r="Y56" s="57">
        <f t="shared" si="16"/>
        <v>45600.455384630892</v>
      </c>
      <c r="Z56" s="91">
        <f t="shared" si="17"/>
        <v>5231.5446153691055</v>
      </c>
      <c r="AA56" s="59">
        <f t="shared" si="18"/>
        <v>50832</v>
      </c>
      <c r="AB56" s="381"/>
    </row>
    <row r="57" spans="1:28">
      <c r="A57" s="187">
        <v>122</v>
      </c>
      <c r="B57" s="40">
        <v>41579</v>
      </c>
      <c r="C57" s="61">
        <f>VLOOKUP(B57,'base(indices)'!$A$4:$C$183,3,FALSE)</f>
        <v>678</v>
      </c>
      <c r="D57" s="192">
        <f>'base(indices)'!G50</f>
        <v>1.61484121</v>
      </c>
      <c r="E57" s="63">
        <f t="shared" si="24"/>
        <v>1094.86234038</v>
      </c>
      <c r="F57" s="82">
        <f>'base(indices)'!$I$147</f>
        <v>0.29920000000000002</v>
      </c>
      <c r="G57" s="63">
        <f t="shared" si="0"/>
        <v>327.58281224169599</v>
      </c>
      <c r="H57" s="268">
        <f t="shared" si="1"/>
        <v>1422.445152621696</v>
      </c>
      <c r="I57" s="360">
        <f t="shared" si="20"/>
        <v>198051.43621166598</v>
      </c>
      <c r="J57" s="45">
        <f>IF((I57-H$57+(H$57/12*2))+K57-(H57/2)&gt;$I$197,$I$197-K57,(I57-H$57+(H$57/12*2)-(H57/2)))</f>
        <v>76000.758974384822</v>
      </c>
      <c r="K57" s="108">
        <f t="shared" si="23"/>
        <v>8719.2410256151761</v>
      </c>
      <c r="L57" s="46">
        <f t="shared" si="3"/>
        <v>84720</v>
      </c>
      <c r="M57" s="43">
        <f t="shared" si="4"/>
        <v>72200.721025665582</v>
      </c>
      <c r="N57" s="108">
        <f t="shared" si="5"/>
        <v>8283.2789743344165</v>
      </c>
      <c r="O57" s="47">
        <f t="shared" si="6"/>
        <v>80484</v>
      </c>
      <c r="P57" s="119">
        <f t="shared" si="7"/>
        <v>68400.683076946341</v>
      </c>
      <c r="Q57" s="108">
        <f t="shared" si="8"/>
        <v>7847.3169230536587</v>
      </c>
      <c r="R57" s="46">
        <f t="shared" si="9"/>
        <v>76248</v>
      </c>
      <c r="S57" s="43">
        <f t="shared" si="10"/>
        <v>60800.607179507861</v>
      </c>
      <c r="T57" s="108">
        <f t="shared" si="11"/>
        <v>6975.3928204921413</v>
      </c>
      <c r="U57" s="47">
        <f t="shared" si="12"/>
        <v>67776</v>
      </c>
      <c r="V57" s="45">
        <f t="shared" si="13"/>
        <v>53200.531282069373</v>
      </c>
      <c r="W57" s="108">
        <f t="shared" si="14"/>
        <v>6103.4687179306229</v>
      </c>
      <c r="X57" s="46">
        <f t="shared" si="15"/>
        <v>59303.999999999993</v>
      </c>
      <c r="Y57" s="43">
        <f t="shared" si="16"/>
        <v>45600.455384630892</v>
      </c>
      <c r="Z57" s="108">
        <f t="shared" si="17"/>
        <v>5231.5446153691055</v>
      </c>
      <c r="AA57" s="46">
        <f t="shared" si="18"/>
        <v>50832</v>
      </c>
      <c r="AB57" s="380"/>
    </row>
    <row r="58" spans="1:28" ht="13.5" thickBot="1">
      <c r="A58" s="305">
        <v>121</v>
      </c>
      <c r="B58" s="383">
        <v>41609</v>
      </c>
      <c r="C58" s="142">
        <f>C57*2</f>
        <v>1356</v>
      </c>
      <c r="D58" s="343">
        <f>'base(indices)'!G51</f>
        <v>1.6056887900000001</v>
      </c>
      <c r="E58" s="170">
        <f t="shared" si="24"/>
        <v>2177.3139992400002</v>
      </c>
      <c r="F58" s="307">
        <f>'base(indices)'!$I$147</f>
        <v>0.29920000000000002</v>
      </c>
      <c r="G58" s="170">
        <f t="shared" si="0"/>
        <v>651.45234857260812</v>
      </c>
      <c r="H58" s="368">
        <f t="shared" si="1"/>
        <v>2828.7663478126083</v>
      </c>
      <c r="I58" s="384">
        <f t="shared" si="20"/>
        <v>196628.99105904429</v>
      </c>
      <c r="J58" s="285">
        <f>IF((I58-H$57+(H$57/12*1))+K58-(H58/4)&gt;$I$197,$I$197-K58,(I58-H$57+(H$57/12*1)-(H58/4)))</f>
        <v>76000.758974384822</v>
      </c>
      <c r="K58" s="202">
        <f t="shared" si="23"/>
        <v>8719.2410256151761</v>
      </c>
      <c r="L58" s="286">
        <f t="shared" si="3"/>
        <v>84720</v>
      </c>
      <c r="M58" s="282">
        <f t="shared" si="4"/>
        <v>72200.721025665582</v>
      </c>
      <c r="N58" s="202">
        <f t="shared" si="5"/>
        <v>8283.2789743344165</v>
      </c>
      <c r="O58" s="289">
        <f t="shared" si="6"/>
        <v>80484</v>
      </c>
      <c r="P58" s="285">
        <f t="shared" si="7"/>
        <v>68400.683076946341</v>
      </c>
      <c r="Q58" s="202">
        <f t="shared" si="8"/>
        <v>7847.3169230536587</v>
      </c>
      <c r="R58" s="203">
        <f t="shared" si="9"/>
        <v>76248</v>
      </c>
      <c r="S58" s="282">
        <f t="shared" si="10"/>
        <v>60800.607179507861</v>
      </c>
      <c r="T58" s="202">
        <f t="shared" si="11"/>
        <v>6975.3928204921413</v>
      </c>
      <c r="U58" s="289">
        <f t="shared" si="12"/>
        <v>67776</v>
      </c>
      <c r="V58" s="285">
        <f t="shared" si="13"/>
        <v>53200.531282069373</v>
      </c>
      <c r="W58" s="202">
        <f t="shared" si="14"/>
        <v>6103.4687179306229</v>
      </c>
      <c r="X58" s="203">
        <f t="shared" si="15"/>
        <v>59303.999999999993</v>
      </c>
      <c r="Y58" s="282">
        <f t="shared" si="16"/>
        <v>45600.455384630892</v>
      </c>
      <c r="Z58" s="202">
        <f t="shared" si="17"/>
        <v>5231.5446153691055</v>
      </c>
      <c r="AA58" s="203">
        <f t="shared" si="18"/>
        <v>50832</v>
      </c>
      <c r="AB58" s="381"/>
    </row>
    <row r="59" spans="1:28">
      <c r="A59" s="190">
        <v>120</v>
      </c>
      <c r="B59" s="136">
        <v>41640</v>
      </c>
      <c r="C59" s="120">
        <f>VLOOKUP(B59,'base(indices)'!$A$4:$C$183,3,FALSE)</f>
        <v>724</v>
      </c>
      <c r="D59" s="193">
        <f>'base(indices)'!G52</f>
        <v>1.5937357700000001</v>
      </c>
      <c r="E59" s="78">
        <f>C59*D59</f>
        <v>1153.8646974800001</v>
      </c>
      <c r="F59" s="79">
        <f>'base(indices)'!$I$147</f>
        <v>0.29920000000000002</v>
      </c>
      <c r="G59" s="78">
        <f t="shared" si="0"/>
        <v>345.23631748601605</v>
      </c>
      <c r="H59" s="266">
        <f t="shared" si="1"/>
        <v>1499.1010149660162</v>
      </c>
      <c r="I59" s="413">
        <f t="shared" si="20"/>
        <v>193800.22471123168</v>
      </c>
      <c r="J59" s="48">
        <f>IF((I59-H$69+(H$69))+K59-(H59/2)&gt;$I$197,$I$197-K59,(I59-H$69+(H$69)-(H59/2)))</f>
        <v>76000.758974384822</v>
      </c>
      <c r="K59" s="109">
        <f t="shared" si="23"/>
        <v>8719.2410256151761</v>
      </c>
      <c r="L59" s="49">
        <f t="shared" si="3"/>
        <v>84720</v>
      </c>
      <c r="M59" s="138">
        <f t="shared" si="4"/>
        <v>72200.721025665582</v>
      </c>
      <c r="N59" s="109">
        <f t="shared" si="5"/>
        <v>8283.2789743344165</v>
      </c>
      <c r="O59" s="139">
        <f t="shared" si="6"/>
        <v>80484</v>
      </c>
      <c r="P59" s="291">
        <f t="shared" si="7"/>
        <v>68400.683076946341</v>
      </c>
      <c r="Q59" s="109">
        <f t="shared" si="8"/>
        <v>7847.3169230536587</v>
      </c>
      <c r="R59" s="49">
        <f t="shared" si="9"/>
        <v>76248</v>
      </c>
      <c r="S59" s="138">
        <f t="shared" si="10"/>
        <v>60800.607179507861</v>
      </c>
      <c r="T59" s="109">
        <f t="shared" si="11"/>
        <v>6975.3928204921413</v>
      </c>
      <c r="U59" s="139">
        <f t="shared" si="12"/>
        <v>67776</v>
      </c>
      <c r="V59" s="48">
        <f t="shared" si="13"/>
        <v>53200.531282069373</v>
      </c>
      <c r="W59" s="109">
        <f t="shared" si="14"/>
        <v>6103.4687179306229</v>
      </c>
      <c r="X59" s="49">
        <f t="shared" si="15"/>
        <v>59303.999999999993</v>
      </c>
      <c r="Y59" s="138">
        <f t="shared" si="16"/>
        <v>45600.455384630892</v>
      </c>
      <c r="Z59" s="109">
        <f t="shared" si="17"/>
        <v>5231.5446153691055</v>
      </c>
      <c r="AA59" s="49">
        <f t="shared" si="18"/>
        <v>50832</v>
      </c>
      <c r="AB59" s="380"/>
    </row>
    <row r="60" spans="1:28">
      <c r="A60" s="187">
        <v>119</v>
      </c>
      <c r="B60" s="50">
        <v>41671</v>
      </c>
      <c r="C60" s="61">
        <f>VLOOKUP(B60,'base(indices)'!$A$4:$C$183,3,FALSE)</f>
        <v>724</v>
      </c>
      <c r="D60" s="192">
        <f>'base(indices)'!G53</f>
        <v>1.5831288100000001</v>
      </c>
      <c r="E60" s="54">
        <f t="shared" ref="E60:E70" si="25">C60*D60</f>
        <v>1146.1852584400001</v>
      </c>
      <c r="F60" s="82">
        <f>'base(indices)'!$I$147</f>
        <v>0.29920000000000002</v>
      </c>
      <c r="G60" s="54">
        <f t="shared" si="0"/>
        <v>342.93862932524803</v>
      </c>
      <c r="H60" s="267">
        <f t="shared" si="1"/>
        <v>1489.1238877652481</v>
      </c>
      <c r="I60" s="414">
        <f t="shared" si="20"/>
        <v>192301.12369626565</v>
      </c>
      <c r="J60" s="58">
        <f>IF((I60-H$69+(H$69/12*11))+K60-(H60/2)&gt;$I$197,$I$197-K60,(I60-H$69+(H$69/12*11)-(H60/2)))</f>
        <v>76000.758974384822</v>
      </c>
      <c r="K60" s="91">
        <f t="shared" si="23"/>
        <v>8719.2410256151761</v>
      </c>
      <c r="L60" s="284">
        <f t="shared" si="3"/>
        <v>84720</v>
      </c>
      <c r="M60" s="57">
        <f t="shared" si="4"/>
        <v>72200.721025665582</v>
      </c>
      <c r="N60" s="91">
        <f t="shared" si="5"/>
        <v>8283.2789743344165</v>
      </c>
      <c r="O60" s="60">
        <f t="shared" si="6"/>
        <v>80484</v>
      </c>
      <c r="P60" s="58">
        <f t="shared" si="7"/>
        <v>68400.683076946341</v>
      </c>
      <c r="Q60" s="91">
        <f t="shared" si="8"/>
        <v>7847.3169230536587</v>
      </c>
      <c r="R60" s="59">
        <f t="shared" si="9"/>
        <v>76248</v>
      </c>
      <c r="S60" s="57">
        <f t="shared" si="10"/>
        <v>60800.607179507861</v>
      </c>
      <c r="T60" s="91">
        <f t="shared" si="11"/>
        <v>6975.3928204921413</v>
      </c>
      <c r="U60" s="60">
        <f t="shared" si="12"/>
        <v>67776</v>
      </c>
      <c r="V60" s="58">
        <f t="shared" si="13"/>
        <v>53200.531282069373</v>
      </c>
      <c r="W60" s="91">
        <f t="shared" si="14"/>
        <v>6103.4687179306229</v>
      </c>
      <c r="X60" s="59">
        <f t="shared" si="15"/>
        <v>59303.999999999993</v>
      </c>
      <c r="Y60" s="57">
        <f t="shared" si="16"/>
        <v>45600.455384630892</v>
      </c>
      <c r="Z60" s="91">
        <f t="shared" si="17"/>
        <v>5231.5446153691055</v>
      </c>
      <c r="AA60" s="59">
        <f t="shared" si="18"/>
        <v>50832</v>
      </c>
      <c r="AB60" s="381"/>
    </row>
    <row r="61" spans="1:28">
      <c r="A61" s="187">
        <v>118</v>
      </c>
      <c r="B61" s="40">
        <v>41699</v>
      </c>
      <c r="C61" s="61">
        <f>VLOOKUP(B61,'base(indices)'!$A$4:$C$183,3,FALSE)</f>
        <v>724</v>
      </c>
      <c r="D61" s="192">
        <f>'base(indices)'!G54</f>
        <v>1.57212394</v>
      </c>
      <c r="E61" s="63">
        <f t="shared" si="25"/>
        <v>1138.2177325600001</v>
      </c>
      <c r="F61" s="82">
        <f>'base(indices)'!$I$147</f>
        <v>0.29920000000000002</v>
      </c>
      <c r="G61" s="63">
        <f t="shared" si="0"/>
        <v>340.55474558195203</v>
      </c>
      <c r="H61" s="268">
        <f t="shared" si="1"/>
        <v>1478.772478141952</v>
      </c>
      <c r="I61" s="415">
        <f t="shared" si="20"/>
        <v>190811.9998085004</v>
      </c>
      <c r="J61" s="45">
        <f>IF((I61-H$69+(H$69/12*10))+K61-(H61/2)&gt;$I$197,$I$197-K61,(I61-H$69+(H$69/12*10)-(H61/2)))</f>
        <v>76000.758974384822</v>
      </c>
      <c r="K61" s="108">
        <f t="shared" si="23"/>
        <v>8719.2410256151761</v>
      </c>
      <c r="L61" s="46">
        <f t="shared" si="3"/>
        <v>84720</v>
      </c>
      <c r="M61" s="43">
        <f t="shared" si="4"/>
        <v>72200.721025665582</v>
      </c>
      <c r="N61" s="108">
        <f t="shared" si="5"/>
        <v>8283.2789743344165</v>
      </c>
      <c r="O61" s="47">
        <f t="shared" si="6"/>
        <v>80484</v>
      </c>
      <c r="P61" s="119">
        <f t="shared" si="7"/>
        <v>68400.683076946341</v>
      </c>
      <c r="Q61" s="108">
        <f t="shared" si="8"/>
        <v>7847.3169230536587</v>
      </c>
      <c r="R61" s="46">
        <f t="shared" si="9"/>
        <v>76248</v>
      </c>
      <c r="S61" s="43">
        <f t="shared" si="10"/>
        <v>60800.607179507861</v>
      </c>
      <c r="T61" s="108">
        <f t="shared" si="11"/>
        <v>6975.3928204921413</v>
      </c>
      <c r="U61" s="47">
        <f t="shared" si="12"/>
        <v>67776</v>
      </c>
      <c r="V61" s="45">
        <f t="shared" si="13"/>
        <v>53200.531282069373</v>
      </c>
      <c r="W61" s="108">
        <f t="shared" si="14"/>
        <v>6103.4687179306229</v>
      </c>
      <c r="X61" s="46">
        <f t="shared" si="15"/>
        <v>59303.999999999993</v>
      </c>
      <c r="Y61" s="43">
        <f t="shared" si="16"/>
        <v>45600.455384630892</v>
      </c>
      <c r="Z61" s="108">
        <f t="shared" si="17"/>
        <v>5231.5446153691055</v>
      </c>
      <c r="AA61" s="46">
        <f t="shared" si="18"/>
        <v>50832</v>
      </c>
      <c r="AB61" s="380"/>
    </row>
    <row r="62" spans="1:28">
      <c r="A62" s="187">
        <v>117</v>
      </c>
      <c r="B62" s="50">
        <v>41730</v>
      </c>
      <c r="C62" s="61">
        <f>VLOOKUP(B62,'base(indices)'!$A$4:$C$183,3,FALSE)</f>
        <v>724</v>
      </c>
      <c r="D62" s="192">
        <f>'base(indices)'!G55</f>
        <v>1.56073061</v>
      </c>
      <c r="E62" s="54">
        <f t="shared" si="25"/>
        <v>1129.9689616400001</v>
      </c>
      <c r="F62" s="82">
        <f>'base(indices)'!$I$147</f>
        <v>0.29920000000000002</v>
      </c>
      <c r="G62" s="54">
        <f t="shared" si="0"/>
        <v>338.08671332268807</v>
      </c>
      <c r="H62" s="267">
        <f t="shared" si="1"/>
        <v>1468.055674962688</v>
      </c>
      <c r="I62" s="414">
        <f t="shared" si="20"/>
        <v>189333.22733035847</v>
      </c>
      <c r="J62" s="58">
        <f>IF((I62-H$69+(H$69/12*9))+K62-(H62/2)&gt;$I$197,$I$197-K62,(I62-H$69+(H$69/12*9)-(H62/2)))</f>
        <v>76000.758974384822</v>
      </c>
      <c r="K62" s="91">
        <f t="shared" si="23"/>
        <v>8719.2410256151761</v>
      </c>
      <c r="L62" s="284">
        <f t="shared" si="3"/>
        <v>84720</v>
      </c>
      <c r="M62" s="57">
        <f t="shared" si="4"/>
        <v>72200.721025665582</v>
      </c>
      <c r="N62" s="91">
        <f t="shared" si="5"/>
        <v>8283.2789743344165</v>
      </c>
      <c r="O62" s="60">
        <f t="shared" si="6"/>
        <v>80484</v>
      </c>
      <c r="P62" s="58">
        <f t="shared" si="7"/>
        <v>68400.683076946341</v>
      </c>
      <c r="Q62" s="91">
        <f t="shared" si="8"/>
        <v>7847.3169230536587</v>
      </c>
      <c r="R62" s="59">
        <f t="shared" si="9"/>
        <v>76248</v>
      </c>
      <c r="S62" s="57">
        <f t="shared" si="10"/>
        <v>60800.607179507861</v>
      </c>
      <c r="T62" s="91">
        <f t="shared" si="11"/>
        <v>6975.3928204921413</v>
      </c>
      <c r="U62" s="60">
        <f t="shared" si="12"/>
        <v>67776</v>
      </c>
      <c r="V62" s="58">
        <f t="shared" si="13"/>
        <v>53200.531282069373</v>
      </c>
      <c r="W62" s="91">
        <f t="shared" si="14"/>
        <v>6103.4687179306229</v>
      </c>
      <c r="X62" s="59">
        <f t="shared" si="15"/>
        <v>59303.999999999993</v>
      </c>
      <c r="Y62" s="57">
        <f t="shared" si="16"/>
        <v>45600.455384630892</v>
      </c>
      <c r="Z62" s="91">
        <f t="shared" si="17"/>
        <v>5231.5446153691055</v>
      </c>
      <c r="AA62" s="59">
        <f t="shared" si="18"/>
        <v>50832</v>
      </c>
      <c r="AB62" s="381"/>
    </row>
    <row r="63" spans="1:28">
      <c r="A63" s="187">
        <v>116</v>
      </c>
      <c r="B63" s="40">
        <v>41760</v>
      </c>
      <c r="C63" s="61">
        <f>VLOOKUP(B63,'base(indices)'!$A$4:$C$183,3,FALSE)</f>
        <v>724</v>
      </c>
      <c r="D63" s="192">
        <f>'base(indices)'!G56</f>
        <v>1.5486511300000001</v>
      </c>
      <c r="E63" s="63">
        <f t="shared" si="25"/>
        <v>1121.2234181200001</v>
      </c>
      <c r="F63" s="82">
        <f>'base(indices)'!$I$147</f>
        <v>0.29920000000000002</v>
      </c>
      <c r="G63" s="63">
        <f t="shared" si="0"/>
        <v>335.47004670150409</v>
      </c>
      <c r="H63" s="268">
        <f t="shared" si="1"/>
        <v>1456.6934648215042</v>
      </c>
      <c r="I63" s="415">
        <f t="shared" si="20"/>
        <v>187865.17165539577</v>
      </c>
      <c r="J63" s="45">
        <f>IF((I63-H$69+(H$69/12*8))+K63-(H63/2)&gt;$I$197,$I$197-K63,(I63-H$69+(H$69/12*8)-(H63/2)))</f>
        <v>76000.758974384822</v>
      </c>
      <c r="K63" s="108">
        <f t="shared" si="23"/>
        <v>8719.2410256151761</v>
      </c>
      <c r="L63" s="46">
        <f t="shared" si="3"/>
        <v>84720</v>
      </c>
      <c r="M63" s="43">
        <f t="shared" si="4"/>
        <v>72200.721025665582</v>
      </c>
      <c r="N63" s="108">
        <f t="shared" si="5"/>
        <v>8283.2789743344165</v>
      </c>
      <c r="O63" s="47">
        <f t="shared" si="6"/>
        <v>80484</v>
      </c>
      <c r="P63" s="119">
        <f t="shared" si="7"/>
        <v>68400.683076946341</v>
      </c>
      <c r="Q63" s="108">
        <f t="shared" si="8"/>
        <v>7847.3169230536587</v>
      </c>
      <c r="R63" s="46">
        <f t="shared" si="9"/>
        <v>76248</v>
      </c>
      <c r="S63" s="43">
        <f t="shared" si="10"/>
        <v>60800.607179507861</v>
      </c>
      <c r="T63" s="108">
        <f t="shared" si="11"/>
        <v>6975.3928204921413</v>
      </c>
      <c r="U63" s="47">
        <f t="shared" si="12"/>
        <v>67776</v>
      </c>
      <c r="V63" s="45">
        <f t="shared" si="13"/>
        <v>53200.531282069373</v>
      </c>
      <c r="W63" s="108">
        <f t="shared" si="14"/>
        <v>6103.4687179306229</v>
      </c>
      <c r="X63" s="46">
        <f t="shared" si="15"/>
        <v>59303.999999999993</v>
      </c>
      <c r="Y63" s="43">
        <f t="shared" si="16"/>
        <v>45600.455384630892</v>
      </c>
      <c r="Z63" s="108">
        <f t="shared" si="17"/>
        <v>5231.5446153691055</v>
      </c>
      <c r="AA63" s="46">
        <f t="shared" si="18"/>
        <v>50832</v>
      </c>
      <c r="AB63" s="380"/>
    </row>
    <row r="64" spans="1:28">
      <c r="A64" s="187">
        <v>115</v>
      </c>
      <c r="B64" s="50">
        <v>41791</v>
      </c>
      <c r="C64" s="61">
        <f>VLOOKUP(B64,'base(indices)'!$A$4:$C$183,3,FALSE)</f>
        <v>724</v>
      </c>
      <c r="D64" s="192">
        <f>'base(indices)'!G57</f>
        <v>1.5397207500000001</v>
      </c>
      <c r="E64" s="54">
        <f t="shared" si="25"/>
        <v>1114.7578230000001</v>
      </c>
      <c r="F64" s="82">
        <f>'base(indices)'!$I$147</f>
        <v>0.29920000000000002</v>
      </c>
      <c r="G64" s="54">
        <f t="shared" si="0"/>
        <v>333.53554064160005</v>
      </c>
      <c r="H64" s="267">
        <f t="shared" si="1"/>
        <v>1448.2933636416001</v>
      </c>
      <c r="I64" s="414">
        <f t="shared" si="20"/>
        <v>186408.47819057427</v>
      </c>
      <c r="J64" s="58">
        <f>IF((I64-H$69+(H$69/12*7))+K64-(H64/2)&gt;$I$197,$I$197-K64,(I64-H$69+(H$69/12*7)-(H64/2)))</f>
        <v>76000.758974384822</v>
      </c>
      <c r="K64" s="91">
        <f t="shared" si="23"/>
        <v>8719.2410256151761</v>
      </c>
      <c r="L64" s="284">
        <f t="shared" si="3"/>
        <v>84720</v>
      </c>
      <c r="M64" s="57">
        <f t="shared" si="4"/>
        <v>72200.721025665582</v>
      </c>
      <c r="N64" s="91">
        <f t="shared" si="5"/>
        <v>8283.2789743344165</v>
      </c>
      <c r="O64" s="60">
        <f t="shared" si="6"/>
        <v>80484</v>
      </c>
      <c r="P64" s="58">
        <f t="shared" si="7"/>
        <v>68400.683076946341</v>
      </c>
      <c r="Q64" s="91">
        <f t="shared" si="8"/>
        <v>7847.3169230536587</v>
      </c>
      <c r="R64" s="59">
        <f t="shared" si="9"/>
        <v>76248</v>
      </c>
      <c r="S64" s="57">
        <f t="shared" si="10"/>
        <v>60800.607179507861</v>
      </c>
      <c r="T64" s="91">
        <f t="shared" si="11"/>
        <v>6975.3928204921413</v>
      </c>
      <c r="U64" s="60">
        <f t="shared" si="12"/>
        <v>67776</v>
      </c>
      <c r="V64" s="58">
        <f t="shared" si="13"/>
        <v>53200.531282069373</v>
      </c>
      <c r="W64" s="91">
        <f t="shared" si="14"/>
        <v>6103.4687179306229</v>
      </c>
      <c r="X64" s="59">
        <f t="shared" si="15"/>
        <v>59303.999999999993</v>
      </c>
      <c r="Y64" s="57">
        <f t="shared" si="16"/>
        <v>45600.455384630892</v>
      </c>
      <c r="Z64" s="91">
        <f t="shared" si="17"/>
        <v>5231.5446153691055</v>
      </c>
      <c r="AA64" s="59">
        <f t="shared" si="18"/>
        <v>50832</v>
      </c>
      <c r="AB64" s="381"/>
    </row>
    <row r="65" spans="1:28">
      <c r="A65" s="187">
        <v>114</v>
      </c>
      <c r="B65" s="40">
        <v>41821</v>
      </c>
      <c r="C65" s="61">
        <f>VLOOKUP(B65,'base(indices)'!$A$4:$C$183,3,FALSE)</f>
        <v>724</v>
      </c>
      <c r="D65" s="192">
        <f>'base(indices)'!G58</f>
        <v>1.5325179099999999</v>
      </c>
      <c r="E65" s="63">
        <f t="shared" si="25"/>
        <v>1109.54296684</v>
      </c>
      <c r="F65" s="82">
        <f>'base(indices)'!$I$147</f>
        <v>0.29920000000000002</v>
      </c>
      <c r="G65" s="63">
        <f t="shared" si="0"/>
        <v>331.97525567852801</v>
      </c>
      <c r="H65" s="268">
        <f t="shared" si="1"/>
        <v>1441.5182225185281</v>
      </c>
      <c r="I65" s="415">
        <f t="shared" si="20"/>
        <v>184960.18482693267</v>
      </c>
      <c r="J65" s="45">
        <f>IF((I65-H$69+(H$69/12*6))+K65-(H65/2)&gt;$I$197,$I$197-K65,(I65-H$69+(H$69/12*6)-(H65/2)))</f>
        <v>76000.758974384822</v>
      </c>
      <c r="K65" s="108">
        <f t="shared" si="23"/>
        <v>8719.2410256151761</v>
      </c>
      <c r="L65" s="46">
        <f t="shared" si="3"/>
        <v>84720</v>
      </c>
      <c r="M65" s="43">
        <f t="shared" si="4"/>
        <v>72200.721025665582</v>
      </c>
      <c r="N65" s="108">
        <f t="shared" si="5"/>
        <v>8283.2789743344165</v>
      </c>
      <c r="O65" s="47">
        <f t="shared" si="6"/>
        <v>80484</v>
      </c>
      <c r="P65" s="119">
        <f t="shared" si="7"/>
        <v>68400.683076946341</v>
      </c>
      <c r="Q65" s="108">
        <f t="shared" si="8"/>
        <v>7847.3169230536587</v>
      </c>
      <c r="R65" s="46">
        <f t="shared" si="9"/>
        <v>76248</v>
      </c>
      <c r="S65" s="43">
        <f t="shared" si="10"/>
        <v>60800.607179507861</v>
      </c>
      <c r="T65" s="108">
        <f t="shared" si="11"/>
        <v>6975.3928204921413</v>
      </c>
      <c r="U65" s="47">
        <f t="shared" si="12"/>
        <v>67776</v>
      </c>
      <c r="V65" s="45">
        <f t="shared" si="13"/>
        <v>53200.531282069373</v>
      </c>
      <c r="W65" s="108">
        <f t="shared" si="14"/>
        <v>6103.4687179306229</v>
      </c>
      <c r="X65" s="46">
        <f t="shared" si="15"/>
        <v>59303.999999999993</v>
      </c>
      <c r="Y65" s="43">
        <f t="shared" si="16"/>
        <v>45600.455384630892</v>
      </c>
      <c r="Z65" s="108">
        <f t="shared" si="17"/>
        <v>5231.5446153691055</v>
      </c>
      <c r="AA65" s="46">
        <f t="shared" si="18"/>
        <v>50832</v>
      </c>
      <c r="AB65" s="380"/>
    </row>
    <row r="66" spans="1:28">
      <c r="A66" s="187">
        <v>113</v>
      </c>
      <c r="B66" s="50">
        <v>41852</v>
      </c>
      <c r="C66" s="61">
        <f>VLOOKUP(B66,'base(indices)'!$A$4:$C$183,3,FALSE)</f>
        <v>724</v>
      </c>
      <c r="D66" s="192">
        <f>'base(indices)'!G59</f>
        <v>1.5299170499999999</v>
      </c>
      <c r="E66" s="54">
        <f t="shared" si="25"/>
        <v>1107.6599441999999</v>
      </c>
      <c r="F66" s="82">
        <f>'base(indices)'!$I$147</f>
        <v>0.29920000000000002</v>
      </c>
      <c r="G66" s="54">
        <f t="shared" si="0"/>
        <v>331.41185530464003</v>
      </c>
      <c r="H66" s="267">
        <f t="shared" si="1"/>
        <v>1439.07179950464</v>
      </c>
      <c r="I66" s="414">
        <f t="shared" si="20"/>
        <v>183518.66660441415</v>
      </c>
      <c r="J66" s="58">
        <f>IF((I66-H$69+(H$69/12*5))+K66-(H66/2)&gt;$I$197,$I$197-K66,(I66-H$69+(H$69/12*5)-(H66/2)))</f>
        <v>76000.758974384822</v>
      </c>
      <c r="K66" s="91">
        <f t="shared" si="23"/>
        <v>8719.2410256151761</v>
      </c>
      <c r="L66" s="284">
        <f t="shared" si="3"/>
        <v>84720</v>
      </c>
      <c r="M66" s="57">
        <f t="shared" si="4"/>
        <v>72200.721025665582</v>
      </c>
      <c r="N66" s="91">
        <f t="shared" si="5"/>
        <v>8283.2789743344165</v>
      </c>
      <c r="O66" s="60">
        <f t="shared" si="6"/>
        <v>80484</v>
      </c>
      <c r="P66" s="58">
        <f t="shared" si="7"/>
        <v>68400.683076946341</v>
      </c>
      <c r="Q66" s="91">
        <f t="shared" si="8"/>
        <v>7847.3169230536587</v>
      </c>
      <c r="R66" s="59">
        <f t="shared" si="9"/>
        <v>76248</v>
      </c>
      <c r="S66" s="57">
        <f t="shared" si="10"/>
        <v>60800.607179507861</v>
      </c>
      <c r="T66" s="91">
        <f t="shared" si="11"/>
        <v>6975.3928204921413</v>
      </c>
      <c r="U66" s="60">
        <f t="shared" si="12"/>
        <v>67776</v>
      </c>
      <c r="V66" s="58">
        <f t="shared" si="13"/>
        <v>53200.531282069373</v>
      </c>
      <c r="W66" s="91">
        <f t="shared" si="14"/>
        <v>6103.4687179306229</v>
      </c>
      <c r="X66" s="59">
        <f t="shared" si="15"/>
        <v>59303.999999999993</v>
      </c>
      <c r="Y66" s="57">
        <f t="shared" si="16"/>
        <v>45600.455384630892</v>
      </c>
      <c r="Z66" s="91">
        <f t="shared" si="17"/>
        <v>5231.5446153691055</v>
      </c>
      <c r="AA66" s="59">
        <f t="shared" si="18"/>
        <v>50832</v>
      </c>
      <c r="AB66" s="381"/>
    </row>
    <row r="67" spans="1:28">
      <c r="A67" s="187">
        <v>112</v>
      </c>
      <c r="B67" s="40">
        <v>41883</v>
      </c>
      <c r="C67" s="61">
        <f>VLOOKUP(B67,'base(indices)'!$A$4:$C$183,3,FALSE)</f>
        <v>724</v>
      </c>
      <c r="D67" s="192">
        <f>'base(indices)'!G60</f>
        <v>1.5277781699999999</v>
      </c>
      <c r="E67" s="63">
        <f t="shared" si="25"/>
        <v>1106.11139508</v>
      </c>
      <c r="F67" s="82">
        <f>'base(indices)'!$I$147</f>
        <v>0.29920000000000002</v>
      </c>
      <c r="G67" s="63">
        <f t="shared" si="0"/>
        <v>330.94852940793601</v>
      </c>
      <c r="H67" s="268">
        <f t="shared" si="1"/>
        <v>1437.0599244879359</v>
      </c>
      <c r="I67" s="415">
        <f t="shared" si="20"/>
        <v>182079.59480490952</v>
      </c>
      <c r="J67" s="45">
        <f>IF((I67-H$69+(H$69/12*4))+K67-(H67/2)&gt;$I$197,$I$197-K67,(I67-H$69+(H$69/12*4)-(H67/2)))</f>
        <v>76000.758974384822</v>
      </c>
      <c r="K67" s="108">
        <f t="shared" si="23"/>
        <v>8719.2410256151761</v>
      </c>
      <c r="L67" s="46">
        <f t="shared" si="3"/>
        <v>84720</v>
      </c>
      <c r="M67" s="43">
        <f t="shared" si="4"/>
        <v>72200.721025665582</v>
      </c>
      <c r="N67" s="108">
        <f t="shared" si="5"/>
        <v>8283.2789743344165</v>
      </c>
      <c r="O67" s="47">
        <f t="shared" si="6"/>
        <v>80484</v>
      </c>
      <c r="P67" s="119">
        <f t="shared" si="7"/>
        <v>68400.683076946341</v>
      </c>
      <c r="Q67" s="108">
        <f t="shared" si="8"/>
        <v>7847.3169230536587</v>
      </c>
      <c r="R67" s="46">
        <f t="shared" si="9"/>
        <v>76248</v>
      </c>
      <c r="S67" s="43">
        <f t="shared" si="10"/>
        <v>60800.607179507861</v>
      </c>
      <c r="T67" s="108">
        <f t="shared" si="11"/>
        <v>6975.3928204921413</v>
      </c>
      <c r="U67" s="47">
        <f t="shared" si="12"/>
        <v>67776</v>
      </c>
      <c r="V67" s="45">
        <f t="shared" si="13"/>
        <v>53200.531282069373</v>
      </c>
      <c r="W67" s="108">
        <f t="shared" si="14"/>
        <v>6103.4687179306229</v>
      </c>
      <c r="X67" s="46">
        <f t="shared" si="15"/>
        <v>59303.999999999993</v>
      </c>
      <c r="Y67" s="43">
        <f t="shared" si="16"/>
        <v>45600.455384630892</v>
      </c>
      <c r="Z67" s="108">
        <f t="shared" si="17"/>
        <v>5231.5446153691055</v>
      </c>
      <c r="AA67" s="46">
        <f t="shared" si="18"/>
        <v>50832</v>
      </c>
      <c r="AB67" s="380"/>
    </row>
    <row r="68" spans="1:28">
      <c r="A68" s="187">
        <v>111</v>
      </c>
      <c r="B68" s="50">
        <v>41913</v>
      </c>
      <c r="C68" s="61">
        <f>VLOOKUP(B68,'base(indices)'!$A$4:$C$183,3,FALSE)</f>
        <v>724</v>
      </c>
      <c r="D68" s="192">
        <f>'base(indices)'!G61</f>
        <v>1.52184298</v>
      </c>
      <c r="E68" s="54">
        <f t="shared" si="25"/>
        <v>1101.81431752</v>
      </c>
      <c r="F68" s="82">
        <f>'base(indices)'!$I$147</f>
        <v>0.29920000000000002</v>
      </c>
      <c r="G68" s="54">
        <f t="shared" si="0"/>
        <v>329.66284380198402</v>
      </c>
      <c r="H68" s="267">
        <f t="shared" si="1"/>
        <v>1431.4771613219841</v>
      </c>
      <c r="I68" s="414">
        <f t="shared" si="20"/>
        <v>180642.53488042159</v>
      </c>
      <c r="J68" s="58">
        <f>IF((I68-H$69+(H$69/12*3))+K68-(H68/2)&gt;$I$197,$I$197-K68,(I68-H$69+(H$69/12*3)-(H68/2)))</f>
        <v>76000.758974384822</v>
      </c>
      <c r="K68" s="91">
        <f t="shared" si="23"/>
        <v>8719.2410256151761</v>
      </c>
      <c r="L68" s="284">
        <f t="shared" si="3"/>
        <v>84720</v>
      </c>
      <c r="M68" s="57">
        <f t="shared" si="4"/>
        <v>72200.721025665582</v>
      </c>
      <c r="N68" s="91">
        <f t="shared" si="5"/>
        <v>8283.2789743344165</v>
      </c>
      <c r="O68" s="60">
        <f t="shared" si="6"/>
        <v>80484</v>
      </c>
      <c r="P68" s="58">
        <f t="shared" si="7"/>
        <v>68400.683076946341</v>
      </c>
      <c r="Q68" s="91">
        <f t="shared" si="8"/>
        <v>7847.3169230536587</v>
      </c>
      <c r="R68" s="59">
        <f t="shared" si="9"/>
        <v>76248</v>
      </c>
      <c r="S68" s="57">
        <f t="shared" si="10"/>
        <v>60800.607179507861</v>
      </c>
      <c r="T68" s="91">
        <f t="shared" si="11"/>
        <v>6975.3928204921413</v>
      </c>
      <c r="U68" s="60">
        <f t="shared" si="12"/>
        <v>67776</v>
      </c>
      <c r="V68" s="58">
        <f t="shared" si="13"/>
        <v>53200.531282069373</v>
      </c>
      <c r="W68" s="91">
        <f t="shared" si="14"/>
        <v>6103.4687179306229</v>
      </c>
      <c r="X68" s="59">
        <f t="shared" si="15"/>
        <v>59303.999999999993</v>
      </c>
      <c r="Y68" s="57">
        <f t="shared" si="16"/>
        <v>45600.455384630892</v>
      </c>
      <c r="Z68" s="91">
        <f t="shared" si="17"/>
        <v>5231.5446153691055</v>
      </c>
      <c r="AA68" s="59">
        <f t="shared" si="18"/>
        <v>50832</v>
      </c>
      <c r="AB68" s="381"/>
    </row>
    <row r="69" spans="1:28">
      <c r="A69" s="187">
        <v>110</v>
      </c>
      <c r="B69" s="40">
        <v>41944</v>
      </c>
      <c r="C69" s="61">
        <f>VLOOKUP(B69,'base(indices)'!$A$4:$C$183,3,FALSE)</f>
        <v>724</v>
      </c>
      <c r="D69" s="192">
        <f>'base(indices)'!G62</f>
        <v>1.51457303</v>
      </c>
      <c r="E69" s="63">
        <f t="shared" si="25"/>
        <v>1096.55087372</v>
      </c>
      <c r="F69" s="82">
        <f>'base(indices)'!$I$147</f>
        <v>0.29920000000000002</v>
      </c>
      <c r="G69" s="63">
        <f t="shared" si="0"/>
        <v>328.08802141702404</v>
      </c>
      <c r="H69" s="268">
        <f t="shared" si="1"/>
        <v>1424.6388951370241</v>
      </c>
      <c r="I69" s="415">
        <f t="shared" si="20"/>
        <v>179211.0577190996</v>
      </c>
      <c r="J69" s="45">
        <f>IF((I69-H$69+(H$69/12*2))+K69-(H69/2)&gt;$I$197,$I$197-K69,(I69-H$69+(H$69/12*2)-(H69/2)))</f>
        <v>76000.758974384822</v>
      </c>
      <c r="K69" s="108">
        <f t="shared" si="23"/>
        <v>8719.2410256151761</v>
      </c>
      <c r="L69" s="46">
        <f t="shared" si="3"/>
        <v>84720</v>
      </c>
      <c r="M69" s="43">
        <f t="shared" si="4"/>
        <v>72200.721025665582</v>
      </c>
      <c r="N69" s="108">
        <f t="shared" si="5"/>
        <v>8283.2789743344165</v>
      </c>
      <c r="O69" s="47">
        <f t="shared" si="6"/>
        <v>80484</v>
      </c>
      <c r="P69" s="119">
        <f t="shared" si="7"/>
        <v>68400.683076946341</v>
      </c>
      <c r="Q69" s="108">
        <f t="shared" si="8"/>
        <v>7847.3169230536587</v>
      </c>
      <c r="R69" s="46">
        <f t="shared" si="9"/>
        <v>76248</v>
      </c>
      <c r="S69" s="43">
        <f t="shared" si="10"/>
        <v>60800.607179507861</v>
      </c>
      <c r="T69" s="108">
        <f t="shared" si="11"/>
        <v>6975.3928204921413</v>
      </c>
      <c r="U69" s="47">
        <f t="shared" si="12"/>
        <v>67776</v>
      </c>
      <c r="V69" s="45">
        <f t="shared" si="13"/>
        <v>53200.531282069373</v>
      </c>
      <c r="W69" s="108">
        <f t="shared" si="14"/>
        <v>6103.4687179306229</v>
      </c>
      <c r="X69" s="46">
        <f t="shared" si="15"/>
        <v>59303.999999999993</v>
      </c>
      <c r="Y69" s="43">
        <f t="shared" si="16"/>
        <v>45600.455384630892</v>
      </c>
      <c r="Z69" s="108">
        <f t="shared" si="17"/>
        <v>5231.5446153691055</v>
      </c>
      <c r="AA69" s="46">
        <f t="shared" si="18"/>
        <v>50832</v>
      </c>
      <c r="AB69" s="380"/>
    </row>
    <row r="70" spans="1:28" ht="13.5" thickBot="1">
      <c r="A70" s="188">
        <v>109</v>
      </c>
      <c r="B70" s="300">
        <v>41974</v>
      </c>
      <c r="C70" s="69">
        <f>C69*2</f>
        <v>1448</v>
      </c>
      <c r="D70" s="335">
        <f>'base(indices)'!G63</f>
        <v>1.50883944</v>
      </c>
      <c r="E70" s="163">
        <f t="shared" si="25"/>
        <v>2184.79950912</v>
      </c>
      <c r="F70" s="304">
        <f>'base(indices)'!$I$147</f>
        <v>0.29920000000000002</v>
      </c>
      <c r="G70" s="163">
        <f t="shared" si="0"/>
        <v>653.69201312870405</v>
      </c>
      <c r="H70" s="355">
        <f t="shared" si="1"/>
        <v>2838.4915222487043</v>
      </c>
      <c r="I70" s="416">
        <f t="shared" si="20"/>
        <v>177786.41882396257</v>
      </c>
      <c r="J70" s="175">
        <f>IF((I70-H$69+(H$69/12*1))+K70-(H70/4)&gt;$I$197,$I$197-K70,(I70-H$69+(H$69/12*1)-(H70/4)))</f>
        <v>76000.758974384822</v>
      </c>
      <c r="K70" s="86">
        <f t="shared" si="23"/>
        <v>8719.2410256151761</v>
      </c>
      <c r="L70" s="287">
        <f t="shared" si="3"/>
        <v>84720</v>
      </c>
      <c r="M70" s="85">
        <f t="shared" si="4"/>
        <v>72200.721025665582</v>
      </c>
      <c r="N70" s="86">
        <f t="shared" si="5"/>
        <v>8283.2789743344165</v>
      </c>
      <c r="O70" s="107">
        <f t="shared" si="6"/>
        <v>80484</v>
      </c>
      <c r="P70" s="175">
        <f t="shared" si="7"/>
        <v>68400.683076946341</v>
      </c>
      <c r="Q70" s="86">
        <f t="shared" si="8"/>
        <v>7847.3169230536587</v>
      </c>
      <c r="R70" s="165">
        <f t="shared" si="9"/>
        <v>76248</v>
      </c>
      <c r="S70" s="85">
        <f t="shared" si="10"/>
        <v>60800.607179507861</v>
      </c>
      <c r="T70" s="86">
        <f t="shared" si="11"/>
        <v>6975.3928204921413</v>
      </c>
      <c r="U70" s="107">
        <f t="shared" si="12"/>
        <v>67776</v>
      </c>
      <c r="V70" s="175">
        <f t="shared" si="13"/>
        <v>53200.531282069373</v>
      </c>
      <c r="W70" s="86">
        <f t="shared" si="14"/>
        <v>6103.4687179306229</v>
      </c>
      <c r="X70" s="165">
        <f t="shared" si="15"/>
        <v>59303.999999999993</v>
      </c>
      <c r="Y70" s="85">
        <f t="shared" si="16"/>
        <v>45600.455384630892</v>
      </c>
      <c r="Z70" s="86">
        <f t="shared" si="17"/>
        <v>5231.5446153691055</v>
      </c>
      <c r="AA70" s="165">
        <f t="shared" si="18"/>
        <v>50832</v>
      </c>
      <c r="AB70" s="381"/>
    </row>
    <row r="71" spans="1:28">
      <c r="A71" s="217">
        <v>108</v>
      </c>
      <c r="B71" s="351">
        <v>42005</v>
      </c>
      <c r="C71" s="273">
        <f>VLOOKUP(B71,'base(indices)'!$A$4:$C$183,3,FALSE)</f>
        <v>788</v>
      </c>
      <c r="D71" s="195">
        <f>'base(indices)'!G64</f>
        <v>1.49701303</v>
      </c>
      <c r="E71" s="154">
        <f>C71*D71</f>
        <v>1179.6462676399999</v>
      </c>
      <c r="F71" s="42">
        <f>'base(indices)'!$I$147</f>
        <v>0.29920000000000002</v>
      </c>
      <c r="G71" s="154">
        <f t="shared" si="0"/>
        <v>352.95016327788801</v>
      </c>
      <c r="H71" s="362">
        <f t="shared" si="1"/>
        <v>1532.596430917888</v>
      </c>
      <c r="I71" s="401">
        <f t="shared" si="20"/>
        <v>174947.92730171385</v>
      </c>
      <c r="J71" s="288">
        <f>IF((I71-H$81+(H$81))+K71-(H71/2)&gt;$I$197,$I$197-K71,(I71-H$81+(H$81)-(H71/2)))</f>
        <v>76000.758974384822</v>
      </c>
      <c r="K71" s="156">
        <f t="shared" si="23"/>
        <v>8719.2410256151761</v>
      </c>
      <c r="L71" s="150">
        <f>J71+K71</f>
        <v>84720</v>
      </c>
      <c r="M71" s="283">
        <f t="shared" si="4"/>
        <v>72200.721025665582</v>
      </c>
      <c r="N71" s="156">
        <f t="shared" si="5"/>
        <v>8283.2789743344165</v>
      </c>
      <c r="O71" s="290">
        <f>M71+N71</f>
        <v>80484</v>
      </c>
      <c r="P71" s="292">
        <f t="shared" si="7"/>
        <v>68400.683076946341</v>
      </c>
      <c r="Q71" s="156">
        <f t="shared" si="8"/>
        <v>7847.3169230536587</v>
      </c>
      <c r="R71" s="150">
        <f>P71+Q71</f>
        <v>76248</v>
      </c>
      <c r="S71" s="283">
        <f t="shared" si="10"/>
        <v>60800.607179507861</v>
      </c>
      <c r="T71" s="156">
        <f t="shared" si="11"/>
        <v>6975.3928204921413</v>
      </c>
      <c r="U71" s="290">
        <f>S71+T71</f>
        <v>67776</v>
      </c>
      <c r="V71" s="288">
        <f t="shared" si="13"/>
        <v>53200.531282069373</v>
      </c>
      <c r="W71" s="156">
        <f t="shared" si="14"/>
        <v>6103.4687179306229</v>
      </c>
      <c r="X71" s="150">
        <f>V71+W71</f>
        <v>59303.999999999993</v>
      </c>
      <c r="Y71" s="283">
        <f t="shared" si="16"/>
        <v>45600.455384630892</v>
      </c>
      <c r="Z71" s="156">
        <f t="shared" si="17"/>
        <v>5231.5446153691055</v>
      </c>
      <c r="AA71" s="150">
        <f>Y71+Z71</f>
        <v>50832</v>
      </c>
      <c r="AB71" s="380"/>
    </row>
    <row r="72" spans="1:28">
      <c r="A72" s="187">
        <v>107</v>
      </c>
      <c r="B72" s="339">
        <v>42036</v>
      </c>
      <c r="C72" s="61">
        <f>VLOOKUP(B72,'base(indices)'!$A$4:$C$183,3,FALSE)</f>
        <v>788</v>
      </c>
      <c r="D72" s="192">
        <f>'base(indices)'!G65</f>
        <v>1.4838071500000001</v>
      </c>
      <c r="E72" s="54">
        <f t="shared" ref="E72:E82" si="26">C72*D72</f>
        <v>1169.2400342000001</v>
      </c>
      <c r="F72" s="82">
        <f>'base(indices)'!$I$147</f>
        <v>0.29920000000000002</v>
      </c>
      <c r="G72" s="54">
        <f t="shared" si="0"/>
        <v>349.83661823264003</v>
      </c>
      <c r="H72" s="267">
        <f t="shared" si="1"/>
        <v>1519.07665243264</v>
      </c>
      <c r="I72" s="359">
        <f t="shared" si="20"/>
        <v>173415.33087079597</v>
      </c>
      <c r="J72" s="58">
        <f>IF((I72-H$81+(H$81/12*11))+K72-(H72/2)&gt;$I$197,$I$197-K72,(I72-H$81+(H$81/12*11)-(H72/2)))</f>
        <v>76000.758974384822</v>
      </c>
      <c r="K72" s="91">
        <f t="shared" si="23"/>
        <v>8719.2410256151761</v>
      </c>
      <c r="L72" s="284">
        <f t="shared" ref="L72:L82" si="27">J72+K72</f>
        <v>84720</v>
      </c>
      <c r="M72" s="57">
        <f t="shared" si="4"/>
        <v>72200.721025665582</v>
      </c>
      <c r="N72" s="91">
        <f t="shared" si="5"/>
        <v>8283.2789743344165</v>
      </c>
      <c r="O72" s="60">
        <f t="shared" ref="O72:O82" si="28">M72+N72</f>
        <v>80484</v>
      </c>
      <c r="P72" s="58">
        <f t="shared" si="7"/>
        <v>68400.683076946341</v>
      </c>
      <c r="Q72" s="91">
        <f t="shared" si="8"/>
        <v>7847.3169230536587</v>
      </c>
      <c r="R72" s="59">
        <f t="shared" ref="R72:R77" si="29">P72+Q72</f>
        <v>76248</v>
      </c>
      <c r="S72" s="57">
        <f t="shared" si="10"/>
        <v>60800.607179507861</v>
      </c>
      <c r="T72" s="91">
        <f t="shared" si="11"/>
        <v>6975.3928204921413</v>
      </c>
      <c r="U72" s="60">
        <f t="shared" ref="U72:U82" si="30">S72+T72</f>
        <v>67776</v>
      </c>
      <c r="V72" s="58">
        <f t="shared" si="13"/>
        <v>53200.531282069373</v>
      </c>
      <c r="W72" s="91">
        <f t="shared" si="14"/>
        <v>6103.4687179306229</v>
      </c>
      <c r="X72" s="59">
        <f t="shared" ref="X72:X82" si="31">V72+W72</f>
        <v>59303.999999999993</v>
      </c>
      <c r="Y72" s="57">
        <f t="shared" si="16"/>
        <v>45600.455384630892</v>
      </c>
      <c r="Z72" s="91">
        <f t="shared" si="17"/>
        <v>5231.5446153691055</v>
      </c>
      <c r="AA72" s="59">
        <f t="shared" ref="AA72:AA82" si="32">Y72+Z72</f>
        <v>50832</v>
      </c>
      <c r="AB72" s="381"/>
    </row>
    <row r="73" spans="1:28">
      <c r="A73" s="187">
        <v>106</v>
      </c>
      <c r="B73" s="340">
        <v>42064</v>
      </c>
      <c r="C73" s="61">
        <f>VLOOKUP(B73,'base(indices)'!$A$4:$C$183,3,FALSE)</f>
        <v>788</v>
      </c>
      <c r="D73" s="192">
        <f>'base(indices)'!G66</f>
        <v>1.4643315400000001</v>
      </c>
      <c r="E73" s="63">
        <f t="shared" si="26"/>
        <v>1153.8932535200001</v>
      </c>
      <c r="F73" s="82">
        <f>'base(indices)'!$I$147</f>
        <v>0.29920000000000002</v>
      </c>
      <c r="G73" s="63">
        <f t="shared" si="0"/>
        <v>345.24486145318406</v>
      </c>
      <c r="H73" s="268">
        <f t="shared" si="1"/>
        <v>1499.1381149731842</v>
      </c>
      <c r="I73" s="360">
        <f t="shared" si="20"/>
        <v>171896.25421836332</v>
      </c>
      <c r="J73" s="45">
        <f>IF((I73-H$81+(H$81/12*10))+K73-(H73/2)&gt;$I$197,$I$197-K73,(I73-H$81+(H$81/12*10)-(H73/2)))</f>
        <v>76000.758974384822</v>
      </c>
      <c r="K73" s="108">
        <f t="shared" si="23"/>
        <v>8719.2410256151761</v>
      </c>
      <c r="L73" s="46">
        <f t="shared" si="27"/>
        <v>84720</v>
      </c>
      <c r="M73" s="43">
        <f t="shared" si="4"/>
        <v>72200.721025665582</v>
      </c>
      <c r="N73" s="108">
        <f t="shared" si="5"/>
        <v>8283.2789743344165</v>
      </c>
      <c r="O73" s="47">
        <f t="shared" si="28"/>
        <v>80484</v>
      </c>
      <c r="P73" s="119">
        <f t="shared" si="7"/>
        <v>68400.683076946341</v>
      </c>
      <c r="Q73" s="108">
        <f t="shared" si="8"/>
        <v>7847.3169230536587</v>
      </c>
      <c r="R73" s="46">
        <f t="shared" si="29"/>
        <v>76248</v>
      </c>
      <c r="S73" s="43">
        <f t="shared" si="10"/>
        <v>60800.607179507861</v>
      </c>
      <c r="T73" s="108">
        <f t="shared" si="11"/>
        <v>6975.3928204921413</v>
      </c>
      <c r="U73" s="47">
        <f t="shared" si="30"/>
        <v>67776</v>
      </c>
      <c r="V73" s="45">
        <f t="shared" si="13"/>
        <v>53200.531282069373</v>
      </c>
      <c r="W73" s="108">
        <f t="shared" si="14"/>
        <v>6103.4687179306229</v>
      </c>
      <c r="X73" s="46">
        <f t="shared" si="31"/>
        <v>59303.999999999993</v>
      </c>
      <c r="Y73" s="43">
        <f t="shared" si="16"/>
        <v>45600.455384630892</v>
      </c>
      <c r="Z73" s="108">
        <f t="shared" si="17"/>
        <v>5231.5446153691055</v>
      </c>
      <c r="AA73" s="46">
        <f t="shared" si="32"/>
        <v>50832</v>
      </c>
      <c r="AB73" s="380"/>
    </row>
    <row r="74" spans="1:28">
      <c r="A74" s="187">
        <v>105</v>
      </c>
      <c r="B74" s="339">
        <v>42095</v>
      </c>
      <c r="C74" s="61">
        <f>VLOOKUP(B74,'base(indices)'!$A$4:$C$183,3,FALSE)</f>
        <v>788</v>
      </c>
      <c r="D74" s="192">
        <f>'base(indices)'!G67</f>
        <v>1.4463962299999999</v>
      </c>
      <c r="E74" s="54">
        <f t="shared" si="26"/>
        <v>1139.7602292399999</v>
      </c>
      <c r="F74" s="82">
        <f>'base(indices)'!$I$147</f>
        <v>0.29920000000000002</v>
      </c>
      <c r="G74" s="54">
        <f t="shared" si="0"/>
        <v>341.01626058860802</v>
      </c>
      <c r="H74" s="267">
        <f t="shared" si="1"/>
        <v>1480.776489828608</v>
      </c>
      <c r="I74" s="359">
        <f t="shared" si="20"/>
        <v>170397.11610339014</v>
      </c>
      <c r="J74" s="58">
        <f>IF((I74-H$81+(H$81/12*9))+K74-(H74/2)&gt;$I$197,$I$197-K74,(I74-H$81+(H$81/12*9)-(H74/2)))</f>
        <v>76000.758974384822</v>
      </c>
      <c r="K74" s="91">
        <f t="shared" si="23"/>
        <v>8719.2410256151761</v>
      </c>
      <c r="L74" s="284">
        <f t="shared" si="27"/>
        <v>84720</v>
      </c>
      <c r="M74" s="57">
        <f t="shared" si="4"/>
        <v>72200.721025665582</v>
      </c>
      <c r="N74" s="91">
        <f t="shared" si="5"/>
        <v>8283.2789743344165</v>
      </c>
      <c r="O74" s="60">
        <f t="shared" si="28"/>
        <v>80484</v>
      </c>
      <c r="P74" s="58">
        <f>J74*$P$9</f>
        <v>68400.683076946341</v>
      </c>
      <c r="Q74" s="91">
        <f t="shared" si="8"/>
        <v>7847.3169230536587</v>
      </c>
      <c r="R74" s="59">
        <f t="shared" si="29"/>
        <v>76248</v>
      </c>
      <c r="S74" s="57">
        <f t="shared" si="10"/>
        <v>60800.607179507861</v>
      </c>
      <c r="T74" s="91">
        <f t="shared" si="11"/>
        <v>6975.3928204921413</v>
      </c>
      <c r="U74" s="60">
        <f t="shared" si="30"/>
        <v>67776</v>
      </c>
      <c r="V74" s="58">
        <f t="shared" si="13"/>
        <v>53200.531282069373</v>
      </c>
      <c r="W74" s="91">
        <f t="shared" si="14"/>
        <v>6103.4687179306229</v>
      </c>
      <c r="X74" s="59">
        <f t="shared" si="31"/>
        <v>59303.999999999993</v>
      </c>
      <c r="Y74" s="57">
        <f t="shared" si="16"/>
        <v>45600.455384630892</v>
      </c>
      <c r="Z74" s="91">
        <f t="shared" si="17"/>
        <v>5231.5446153691055</v>
      </c>
      <c r="AA74" s="59">
        <f t="shared" si="32"/>
        <v>50832</v>
      </c>
      <c r="AB74" s="381"/>
    </row>
    <row r="75" spans="1:28">
      <c r="A75" s="187">
        <v>104</v>
      </c>
      <c r="B75" s="340">
        <v>42125</v>
      </c>
      <c r="C75" s="61">
        <f>VLOOKUP(B75,'base(indices)'!$A$4:$C$183,3,FALSE)</f>
        <v>788</v>
      </c>
      <c r="D75" s="192">
        <f>'base(indices)'!G68</f>
        <v>1.4310836300000001</v>
      </c>
      <c r="E75" s="63">
        <f t="shared" si="26"/>
        <v>1127.6939004400001</v>
      </c>
      <c r="F75" s="82">
        <f>'base(indices)'!$I$147</f>
        <v>0.29920000000000002</v>
      </c>
      <c r="G75" s="63">
        <f t="shared" ref="G75:G138" si="33">E75*F75</f>
        <v>337.40601501164804</v>
      </c>
      <c r="H75" s="268">
        <f t="shared" ref="H75:H138" si="34">E75+G75</f>
        <v>1465.099915451648</v>
      </c>
      <c r="I75" s="360">
        <f t="shared" si="20"/>
        <v>168916.33961356155</v>
      </c>
      <c r="J75" s="45">
        <f>IF((I75-H$81+(H$81/12*8))+K75-(H75/2)&gt;$I$197,$I$197-K75,(I75-H$81+(H$81/12*8)-(H75/2)))</f>
        <v>76000.758974384822</v>
      </c>
      <c r="K75" s="108">
        <f t="shared" ref="K75:K106" si="35">I$196</f>
        <v>8719.2410256151761</v>
      </c>
      <c r="L75" s="46">
        <f t="shared" si="27"/>
        <v>84720</v>
      </c>
      <c r="M75" s="43">
        <f t="shared" ref="M75:M82" si="36">J75*M$9</f>
        <v>72200.721025665582</v>
      </c>
      <c r="N75" s="108">
        <f t="shared" ref="N75:N82" si="37">K75*M$9</f>
        <v>8283.2789743344165</v>
      </c>
      <c r="O75" s="47">
        <f t="shared" si="28"/>
        <v>80484</v>
      </c>
      <c r="P75" s="119">
        <f>J75*$P$9</f>
        <v>68400.683076946341</v>
      </c>
      <c r="Q75" s="108">
        <f t="shared" ref="Q75:Q82" si="38">K75*P$9</f>
        <v>7847.3169230536587</v>
      </c>
      <c r="R75" s="46">
        <f t="shared" si="29"/>
        <v>76248</v>
      </c>
      <c r="S75" s="43">
        <f t="shared" ref="S75:S82" si="39">J75*S$9</f>
        <v>60800.607179507861</v>
      </c>
      <c r="T75" s="108">
        <f t="shared" ref="T75:T82" si="40">K75*S$9</f>
        <v>6975.3928204921413</v>
      </c>
      <c r="U75" s="47">
        <f t="shared" si="30"/>
        <v>67776</v>
      </c>
      <c r="V75" s="45">
        <f t="shared" ref="V75:V82" si="41">J75*V$9</f>
        <v>53200.531282069373</v>
      </c>
      <c r="W75" s="108">
        <f t="shared" ref="W75:W82" si="42">K75*V$9</f>
        <v>6103.4687179306229</v>
      </c>
      <c r="X75" s="46">
        <f t="shared" si="31"/>
        <v>59303.999999999993</v>
      </c>
      <c r="Y75" s="43">
        <f t="shared" ref="Y75:Y82" si="43">J75*Y$9</f>
        <v>45600.455384630892</v>
      </c>
      <c r="Z75" s="108">
        <f t="shared" ref="Z75:Z82" si="44">K75*Y$9</f>
        <v>5231.5446153691055</v>
      </c>
      <c r="AA75" s="46">
        <f t="shared" si="32"/>
        <v>50832</v>
      </c>
      <c r="AB75" s="380"/>
    </row>
    <row r="76" spans="1:28">
      <c r="A76" s="187">
        <v>103</v>
      </c>
      <c r="B76" s="339">
        <v>42156</v>
      </c>
      <c r="C76" s="61">
        <f>VLOOKUP(B76,'base(indices)'!$A$4:$C$183,3,FALSE)</f>
        <v>788</v>
      </c>
      <c r="D76" s="192">
        <f>'base(indices)'!G69</f>
        <v>1.4225483400000001</v>
      </c>
      <c r="E76" s="54">
        <f t="shared" si="26"/>
        <v>1120.96809192</v>
      </c>
      <c r="F76" s="82">
        <f>'base(indices)'!$I$147</f>
        <v>0.29920000000000002</v>
      </c>
      <c r="G76" s="54">
        <f t="shared" si="33"/>
        <v>335.39365310246404</v>
      </c>
      <c r="H76" s="267">
        <f t="shared" si="34"/>
        <v>1456.361745022464</v>
      </c>
      <c r="I76" s="359">
        <f t="shared" si="20"/>
        <v>167451.23969810989</v>
      </c>
      <c r="J76" s="58">
        <f>IF((I76-H$81+(H$81/12*7))+K76-(H76/2)&gt;$I$197,$I$197-K76,(I76-H$81+(H$81/12*7)-(H76/2)))</f>
        <v>76000.758974384822</v>
      </c>
      <c r="K76" s="91">
        <f t="shared" si="35"/>
        <v>8719.2410256151761</v>
      </c>
      <c r="L76" s="284">
        <f t="shared" si="27"/>
        <v>84720</v>
      </c>
      <c r="M76" s="57">
        <f t="shared" si="36"/>
        <v>72200.721025665582</v>
      </c>
      <c r="N76" s="91">
        <f t="shared" si="37"/>
        <v>8283.2789743344165</v>
      </c>
      <c r="O76" s="60">
        <f t="shared" si="28"/>
        <v>80484</v>
      </c>
      <c r="P76" s="58">
        <f t="shared" ref="P76:P82" si="45">J76*$P$9</f>
        <v>68400.683076946341</v>
      </c>
      <c r="Q76" s="91">
        <f t="shared" si="38"/>
        <v>7847.3169230536587</v>
      </c>
      <c r="R76" s="59">
        <f t="shared" si="29"/>
        <v>76248</v>
      </c>
      <c r="S76" s="57">
        <f t="shared" si="39"/>
        <v>60800.607179507861</v>
      </c>
      <c r="T76" s="91">
        <f t="shared" si="40"/>
        <v>6975.3928204921413</v>
      </c>
      <c r="U76" s="60">
        <f t="shared" si="30"/>
        <v>67776</v>
      </c>
      <c r="V76" s="58">
        <f t="shared" si="41"/>
        <v>53200.531282069373</v>
      </c>
      <c r="W76" s="91">
        <f t="shared" si="42"/>
        <v>6103.4687179306229</v>
      </c>
      <c r="X76" s="59">
        <f t="shared" si="31"/>
        <v>59303.999999999993</v>
      </c>
      <c r="Y76" s="57">
        <f t="shared" si="43"/>
        <v>45600.455384630892</v>
      </c>
      <c r="Z76" s="91">
        <f t="shared" si="44"/>
        <v>5231.5446153691055</v>
      </c>
      <c r="AA76" s="59">
        <f t="shared" si="32"/>
        <v>50832</v>
      </c>
      <c r="AB76" s="381"/>
    </row>
    <row r="77" spans="1:28">
      <c r="A77" s="187">
        <v>102</v>
      </c>
      <c r="B77" s="340">
        <v>42186</v>
      </c>
      <c r="C77" s="61">
        <f>VLOOKUP(B77,'base(indices)'!$A$4:$C$183,3,FALSE)</f>
        <v>788</v>
      </c>
      <c r="D77" s="192">
        <f>'base(indices)'!G70</f>
        <v>1.4086031699999999</v>
      </c>
      <c r="E77" s="63">
        <f t="shared" si="26"/>
        <v>1109.9792979599999</v>
      </c>
      <c r="F77" s="82">
        <f>'base(indices)'!$I$147</f>
        <v>0.29920000000000002</v>
      </c>
      <c r="G77" s="63">
        <f t="shared" si="33"/>
        <v>332.10580594963199</v>
      </c>
      <c r="H77" s="268">
        <f t="shared" si="34"/>
        <v>1442.0851039096319</v>
      </c>
      <c r="I77" s="360">
        <f t="shared" ref="I77:I82" si="46">I76-H76</f>
        <v>165994.87795308742</v>
      </c>
      <c r="J77" s="45">
        <f>IF((I77-H$81+(H$81/12*6))+K77-(H77/2)&gt;$I$197,$I$197-K77,(I77-H$81+(H$81/12*6)-(H77/2)))</f>
        <v>76000.758974384822</v>
      </c>
      <c r="K77" s="108">
        <f t="shared" si="35"/>
        <v>8719.2410256151761</v>
      </c>
      <c r="L77" s="46">
        <f t="shared" si="27"/>
        <v>84720</v>
      </c>
      <c r="M77" s="43">
        <f t="shared" si="36"/>
        <v>72200.721025665582</v>
      </c>
      <c r="N77" s="108">
        <f t="shared" si="37"/>
        <v>8283.2789743344165</v>
      </c>
      <c r="O77" s="47">
        <f t="shared" si="28"/>
        <v>80484</v>
      </c>
      <c r="P77" s="119">
        <f t="shared" si="45"/>
        <v>68400.683076946341</v>
      </c>
      <c r="Q77" s="108">
        <f t="shared" si="38"/>
        <v>7847.3169230536587</v>
      </c>
      <c r="R77" s="46">
        <f t="shared" si="29"/>
        <v>76248</v>
      </c>
      <c r="S77" s="43">
        <f t="shared" si="39"/>
        <v>60800.607179507861</v>
      </c>
      <c r="T77" s="108">
        <f t="shared" si="40"/>
        <v>6975.3928204921413</v>
      </c>
      <c r="U77" s="47">
        <f t="shared" si="30"/>
        <v>67776</v>
      </c>
      <c r="V77" s="45">
        <f t="shared" si="41"/>
        <v>53200.531282069373</v>
      </c>
      <c r="W77" s="108">
        <f t="shared" si="42"/>
        <v>6103.4687179306229</v>
      </c>
      <c r="X77" s="46">
        <f t="shared" si="31"/>
        <v>59303.999999999993</v>
      </c>
      <c r="Y77" s="43">
        <f t="shared" si="43"/>
        <v>45600.455384630892</v>
      </c>
      <c r="Z77" s="108">
        <f t="shared" si="44"/>
        <v>5231.5446153691055</v>
      </c>
      <c r="AA77" s="46">
        <f t="shared" si="32"/>
        <v>50832</v>
      </c>
      <c r="AB77" s="380"/>
    </row>
    <row r="78" spans="1:28">
      <c r="A78" s="187">
        <v>101</v>
      </c>
      <c r="B78" s="339">
        <v>42217</v>
      </c>
      <c r="C78" s="61">
        <f>VLOOKUP(B78,'base(indices)'!$A$4:$C$183,3,FALSE)</f>
        <v>788</v>
      </c>
      <c r="D78" s="192">
        <f>'base(indices)'!G71</f>
        <v>1.40034116</v>
      </c>
      <c r="E78" s="54">
        <f t="shared" si="26"/>
        <v>1103.4688340800001</v>
      </c>
      <c r="F78" s="82">
        <f>'base(indices)'!$I$147</f>
        <v>0.29920000000000002</v>
      </c>
      <c r="G78" s="54">
        <f t="shared" si="33"/>
        <v>330.15787515673605</v>
      </c>
      <c r="H78" s="267">
        <f t="shared" si="34"/>
        <v>1433.6267092367361</v>
      </c>
      <c r="I78" s="359">
        <f t="shared" si="46"/>
        <v>164552.79284917779</v>
      </c>
      <c r="J78" s="58">
        <f>IF((I78-H$81+(H$81/12*5))+K78-(H78/2)&gt;$I$197,$I$197-K78,(I78-H$81+(H$81/12*5)-(H78/2)))</f>
        <v>76000.758974384822</v>
      </c>
      <c r="K78" s="91">
        <f t="shared" si="35"/>
        <v>8719.2410256151761</v>
      </c>
      <c r="L78" s="284">
        <f t="shared" si="27"/>
        <v>84720</v>
      </c>
      <c r="M78" s="57">
        <f t="shared" si="36"/>
        <v>72200.721025665582</v>
      </c>
      <c r="N78" s="91">
        <f t="shared" si="37"/>
        <v>8283.2789743344165</v>
      </c>
      <c r="O78" s="60">
        <f t="shared" si="28"/>
        <v>80484</v>
      </c>
      <c r="P78" s="58">
        <f t="shared" si="45"/>
        <v>68400.683076946341</v>
      </c>
      <c r="Q78" s="91">
        <f t="shared" si="38"/>
        <v>7847.3169230536587</v>
      </c>
      <c r="R78" s="59">
        <f>P78+Q78</f>
        <v>76248</v>
      </c>
      <c r="S78" s="57">
        <f t="shared" si="39"/>
        <v>60800.607179507861</v>
      </c>
      <c r="T78" s="91">
        <f t="shared" si="40"/>
        <v>6975.3928204921413</v>
      </c>
      <c r="U78" s="60">
        <f t="shared" si="30"/>
        <v>67776</v>
      </c>
      <c r="V78" s="58">
        <f t="shared" si="41"/>
        <v>53200.531282069373</v>
      </c>
      <c r="W78" s="91">
        <f t="shared" si="42"/>
        <v>6103.4687179306229</v>
      </c>
      <c r="X78" s="59">
        <f t="shared" si="31"/>
        <v>59303.999999999993</v>
      </c>
      <c r="Y78" s="57">
        <f t="shared" si="43"/>
        <v>45600.455384630892</v>
      </c>
      <c r="Z78" s="91">
        <f t="shared" si="44"/>
        <v>5231.5446153691055</v>
      </c>
      <c r="AA78" s="59">
        <f t="shared" si="32"/>
        <v>50832</v>
      </c>
      <c r="AB78" s="381"/>
    </row>
    <row r="79" spans="1:28">
      <c r="A79" s="187">
        <v>100</v>
      </c>
      <c r="B79" s="340">
        <v>42248</v>
      </c>
      <c r="C79" s="61">
        <f>VLOOKUP(B79,'base(indices)'!$A$4:$C$183,3,FALSE)</f>
        <v>788</v>
      </c>
      <c r="D79" s="192">
        <f>'base(indices)'!G72</f>
        <v>1.39434547</v>
      </c>
      <c r="E79" s="63">
        <f t="shared" si="26"/>
        <v>1098.7442303600001</v>
      </c>
      <c r="F79" s="82">
        <f>'base(indices)'!$I$147</f>
        <v>0.29920000000000002</v>
      </c>
      <c r="G79" s="63">
        <f t="shared" si="33"/>
        <v>328.74427372371207</v>
      </c>
      <c r="H79" s="268">
        <f t="shared" si="34"/>
        <v>1427.4885040837121</v>
      </c>
      <c r="I79" s="360">
        <f t="shared" si="46"/>
        <v>163119.16613994105</v>
      </c>
      <c r="J79" s="45">
        <f>IF((I79-H$81+(H$81/12*4))+K79-(H79/2)&gt;$I$197,$I$197-K79,(I79-H$81+(H$81/12*4)-(H79/2)))</f>
        <v>76000.758974384822</v>
      </c>
      <c r="K79" s="108">
        <f t="shared" si="35"/>
        <v>8719.2410256151761</v>
      </c>
      <c r="L79" s="46">
        <f t="shared" si="27"/>
        <v>84720</v>
      </c>
      <c r="M79" s="43">
        <f t="shared" si="36"/>
        <v>72200.721025665582</v>
      </c>
      <c r="N79" s="108">
        <f t="shared" si="37"/>
        <v>8283.2789743344165</v>
      </c>
      <c r="O79" s="47">
        <f t="shared" si="28"/>
        <v>80484</v>
      </c>
      <c r="P79" s="119">
        <f t="shared" si="45"/>
        <v>68400.683076946341</v>
      </c>
      <c r="Q79" s="108">
        <f t="shared" si="38"/>
        <v>7847.3169230536587</v>
      </c>
      <c r="R79" s="46">
        <f t="shared" ref="R79:R82" si="47">P79+Q79</f>
        <v>76248</v>
      </c>
      <c r="S79" s="43">
        <f t="shared" si="39"/>
        <v>60800.607179507861</v>
      </c>
      <c r="T79" s="108">
        <f t="shared" si="40"/>
        <v>6975.3928204921413</v>
      </c>
      <c r="U79" s="47">
        <f t="shared" si="30"/>
        <v>67776</v>
      </c>
      <c r="V79" s="45">
        <f t="shared" si="41"/>
        <v>53200.531282069373</v>
      </c>
      <c r="W79" s="108">
        <f t="shared" si="42"/>
        <v>6103.4687179306229</v>
      </c>
      <c r="X79" s="46">
        <f t="shared" si="31"/>
        <v>59303.999999999993</v>
      </c>
      <c r="Y79" s="43">
        <f t="shared" si="43"/>
        <v>45600.455384630892</v>
      </c>
      <c r="Z79" s="108">
        <f t="shared" si="44"/>
        <v>5231.5446153691055</v>
      </c>
      <c r="AA79" s="46">
        <f t="shared" si="32"/>
        <v>50832</v>
      </c>
      <c r="AB79" s="380"/>
    </row>
    <row r="80" spans="1:28">
      <c r="A80" s="187">
        <v>99</v>
      </c>
      <c r="B80" s="339">
        <v>42278</v>
      </c>
      <c r="C80" s="61">
        <f>VLOOKUP(B80,'base(indices)'!$A$4:$C$183,3,FALSE)</f>
        <v>788</v>
      </c>
      <c r="D80" s="192">
        <f>'base(indices)'!G73</f>
        <v>1.38892865</v>
      </c>
      <c r="E80" s="54">
        <f t="shared" si="26"/>
        <v>1094.4757761999999</v>
      </c>
      <c r="F80" s="82">
        <f>'base(indices)'!$I$147</f>
        <v>0.29920000000000002</v>
      </c>
      <c r="G80" s="54">
        <f t="shared" si="33"/>
        <v>327.46715223903999</v>
      </c>
      <c r="H80" s="267">
        <f t="shared" si="34"/>
        <v>1421.9429284390399</v>
      </c>
      <c r="I80" s="359">
        <f t="shared" si="46"/>
        <v>161691.67763585734</v>
      </c>
      <c r="J80" s="58">
        <f>IF((I80-H$81+(H$81/12*3))+K80-(H80/2)&gt;$I$197,$I$197-K80,(I80-H$81+(H$81/12*3)-(H80/2)))</f>
        <v>76000.758974384822</v>
      </c>
      <c r="K80" s="91">
        <f t="shared" si="35"/>
        <v>8719.2410256151761</v>
      </c>
      <c r="L80" s="284">
        <f t="shared" si="27"/>
        <v>84720</v>
      </c>
      <c r="M80" s="57">
        <f t="shared" si="36"/>
        <v>72200.721025665582</v>
      </c>
      <c r="N80" s="91">
        <f t="shared" si="37"/>
        <v>8283.2789743344165</v>
      </c>
      <c r="O80" s="60">
        <f t="shared" si="28"/>
        <v>80484</v>
      </c>
      <c r="P80" s="58">
        <f t="shared" si="45"/>
        <v>68400.683076946341</v>
      </c>
      <c r="Q80" s="91">
        <f t="shared" si="38"/>
        <v>7847.3169230536587</v>
      </c>
      <c r="R80" s="59">
        <f t="shared" si="47"/>
        <v>76248</v>
      </c>
      <c r="S80" s="57">
        <f t="shared" si="39"/>
        <v>60800.607179507861</v>
      </c>
      <c r="T80" s="91">
        <f t="shared" si="40"/>
        <v>6975.3928204921413</v>
      </c>
      <c r="U80" s="60">
        <f t="shared" si="30"/>
        <v>67776</v>
      </c>
      <c r="V80" s="58">
        <f t="shared" si="41"/>
        <v>53200.531282069373</v>
      </c>
      <c r="W80" s="91">
        <f t="shared" si="42"/>
        <v>6103.4687179306229</v>
      </c>
      <c r="X80" s="59">
        <f t="shared" si="31"/>
        <v>59303.999999999993</v>
      </c>
      <c r="Y80" s="57">
        <f t="shared" si="43"/>
        <v>45600.455384630892</v>
      </c>
      <c r="Z80" s="91">
        <f t="shared" si="44"/>
        <v>5231.5446153691055</v>
      </c>
      <c r="AA80" s="59">
        <f t="shared" si="32"/>
        <v>50832</v>
      </c>
      <c r="AB80" s="381"/>
    </row>
    <row r="81" spans="1:36">
      <c r="A81" s="187">
        <v>98</v>
      </c>
      <c r="B81" s="340">
        <v>42309</v>
      </c>
      <c r="C81" s="61">
        <f>VLOOKUP(B81,'base(indices)'!$A$4:$C$183,3,FALSE)</f>
        <v>788</v>
      </c>
      <c r="D81" s="192">
        <f>'base(indices)'!G74</f>
        <v>1.37982183</v>
      </c>
      <c r="E81" s="63">
        <f t="shared" si="26"/>
        <v>1087.2996020400001</v>
      </c>
      <c r="F81" s="82">
        <f>'base(indices)'!$I$147</f>
        <v>0.29920000000000002</v>
      </c>
      <c r="G81" s="63">
        <f t="shared" si="33"/>
        <v>325.32004093036807</v>
      </c>
      <c r="H81" s="268">
        <f t="shared" si="34"/>
        <v>1412.6196429703682</v>
      </c>
      <c r="I81" s="360">
        <f t="shared" si="46"/>
        <v>160269.73470741831</v>
      </c>
      <c r="J81" s="45">
        <f>IF((I81-H$81+(H$81/12*2))+K81-(H81/2)&gt;$I$197,$I$197-K81,(I81-H$81+(H$81/12*2)-(H81/2)))</f>
        <v>76000.758974384822</v>
      </c>
      <c r="K81" s="108">
        <f t="shared" si="35"/>
        <v>8719.2410256151761</v>
      </c>
      <c r="L81" s="46">
        <f t="shared" si="27"/>
        <v>84720</v>
      </c>
      <c r="M81" s="43">
        <f t="shared" si="36"/>
        <v>72200.721025665582</v>
      </c>
      <c r="N81" s="108">
        <f t="shared" si="37"/>
        <v>8283.2789743344165</v>
      </c>
      <c r="O81" s="47">
        <f t="shared" si="28"/>
        <v>80484</v>
      </c>
      <c r="P81" s="119">
        <f t="shared" si="45"/>
        <v>68400.683076946341</v>
      </c>
      <c r="Q81" s="108">
        <f t="shared" si="38"/>
        <v>7847.3169230536587</v>
      </c>
      <c r="R81" s="46">
        <f t="shared" si="47"/>
        <v>76248</v>
      </c>
      <c r="S81" s="43">
        <f t="shared" si="39"/>
        <v>60800.607179507861</v>
      </c>
      <c r="T81" s="108">
        <f t="shared" si="40"/>
        <v>6975.3928204921413</v>
      </c>
      <c r="U81" s="47">
        <f t="shared" si="30"/>
        <v>67776</v>
      </c>
      <c r="V81" s="45">
        <f t="shared" si="41"/>
        <v>53200.531282069373</v>
      </c>
      <c r="W81" s="108">
        <f t="shared" si="42"/>
        <v>6103.4687179306229</v>
      </c>
      <c r="X81" s="46">
        <f t="shared" si="31"/>
        <v>59303.999999999993</v>
      </c>
      <c r="Y81" s="43">
        <f t="shared" si="43"/>
        <v>45600.455384630892</v>
      </c>
      <c r="Z81" s="108">
        <f t="shared" si="44"/>
        <v>5231.5446153691055</v>
      </c>
      <c r="AA81" s="46">
        <f t="shared" si="32"/>
        <v>50832</v>
      </c>
      <c r="AB81" s="380"/>
    </row>
    <row r="82" spans="1:36" ht="13.5" thickBot="1">
      <c r="A82" s="305">
        <v>97</v>
      </c>
      <c r="B82" s="342">
        <v>42339</v>
      </c>
      <c r="C82" s="142">
        <f>C81*2</f>
        <v>1576</v>
      </c>
      <c r="D82" s="343">
        <f>'base(indices)'!G75</f>
        <v>1.36819219</v>
      </c>
      <c r="E82" s="170">
        <f t="shared" si="26"/>
        <v>2156.27089144</v>
      </c>
      <c r="F82" s="307">
        <f>'base(indices)'!$I$147</f>
        <v>0.29920000000000002</v>
      </c>
      <c r="G82" s="170">
        <f t="shared" si="33"/>
        <v>645.15625071884801</v>
      </c>
      <c r="H82" s="368">
        <f t="shared" si="34"/>
        <v>2801.4271421588483</v>
      </c>
      <c r="I82" s="384">
        <f t="shared" si="46"/>
        <v>158857.11506444795</v>
      </c>
      <c r="J82" s="285">
        <f>IF((I82-H$81+(H$81/12*1))+K82-(H82/4)&gt;$I$197,$I$197-K82,(I82-H$81+(H$81/12*1)-(H82/4)))</f>
        <v>76000.758974384822</v>
      </c>
      <c r="K82" s="202">
        <f t="shared" si="35"/>
        <v>8719.2410256151761</v>
      </c>
      <c r="L82" s="286">
        <f t="shared" si="27"/>
        <v>84720</v>
      </c>
      <c r="M82" s="282">
        <f t="shared" si="36"/>
        <v>72200.721025665582</v>
      </c>
      <c r="N82" s="202">
        <f t="shared" si="37"/>
        <v>8283.2789743344165</v>
      </c>
      <c r="O82" s="289">
        <f t="shared" si="28"/>
        <v>80484</v>
      </c>
      <c r="P82" s="285">
        <f t="shared" si="45"/>
        <v>68400.683076946341</v>
      </c>
      <c r="Q82" s="202">
        <f t="shared" si="38"/>
        <v>7847.3169230536587</v>
      </c>
      <c r="R82" s="203">
        <f t="shared" si="47"/>
        <v>76248</v>
      </c>
      <c r="S82" s="282">
        <f t="shared" si="39"/>
        <v>60800.607179507861</v>
      </c>
      <c r="T82" s="202">
        <f t="shared" si="40"/>
        <v>6975.3928204921413</v>
      </c>
      <c r="U82" s="289">
        <f t="shared" si="30"/>
        <v>67776</v>
      </c>
      <c r="V82" s="285">
        <f t="shared" si="41"/>
        <v>53200.531282069373</v>
      </c>
      <c r="W82" s="202">
        <f t="shared" si="42"/>
        <v>6103.4687179306229</v>
      </c>
      <c r="X82" s="203">
        <f t="shared" si="31"/>
        <v>59303.999999999993</v>
      </c>
      <c r="Y82" s="282">
        <f t="shared" si="43"/>
        <v>45600.455384630892</v>
      </c>
      <c r="Z82" s="202">
        <f t="shared" si="44"/>
        <v>5231.5446153691055</v>
      </c>
      <c r="AA82" s="203">
        <f t="shared" si="32"/>
        <v>50832</v>
      </c>
      <c r="AB82" s="381"/>
    </row>
    <row r="83" spans="1:36" ht="13.5" customHeight="1">
      <c r="A83" s="190">
        <v>96</v>
      </c>
      <c r="B83" s="136">
        <v>42370</v>
      </c>
      <c r="C83" s="120">
        <f>VLOOKUP(B83,'base(indices)'!$A$4:$C$183,3,FALSE)</f>
        <v>880</v>
      </c>
      <c r="D83" s="193">
        <f>'base(indices)'!G76</f>
        <v>1.35223581</v>
      </c>
      <c r="E83" s="78">
        <f>C83*D83</f>
        <v>1189.9675128000001</v>
      </c>
      <c r="F83" s="79">
        <f>'base(indices)'!$I$147</f>
        <v>0.29920000000000002</v>
      </c>
      <c r="G83" s="78">
        <f t="shared" si="33"/>
        <v>356.03827982976009</v>
      </c>
      <c r="H83" s="266">
        <f t="shared" si="34"/>
        <v>1546.0057926297602</v>
      </c>
      <c r="I83" s="413">
        <f t="shared" ref="I83:I140" si="48">I82-H82</f>
        <v>156055.6879222891</v>
      </c>
      <c r="J83" s="48">
        <f>IF((I83-H$93+(H$93))+K83-(H83/2)&gt;$I$197,$I$197-K83,(I83-H$93+(H$93)-(H83/2)))</f>
        <v>76000.758974384822</v>
      </c>
      <c r="K83" s="109">
        <f t="shared" si="35"/>
        <v>8719.2410256151761</v>
      </c>
      <c r="L83" s="49">
        <f>J83+K83</f>
        <v>84720</v>
      </c>
      <c r="M83" s="138">
        <f>J83*M$9</f>
        <v>72200.721025665582</v>
      </c>
      <c r="N83" s="109">
        <f>K83*M$9</f>
        <v>8283.2789743344165</v>
      </c>
      <c r="O83" s="139">
        <f>M83+N83</f>
        <v>80484</v>
      </c>
      <c r="P83" s="291">
        <f>J83*$P$9</f>
        <v>68400.683076946341</v>
      </c>
      <c r="Q83" s="109">
        <f>K83*P$9</f>
        <v>7847.3169230536587</v>
      </c>
      <c r="R83" s="49">
        <f>P83+Q83</f>
        <v>76248</v>
      </c>
      <c r="S83" s="138">
        <f>J83*S$9</f>
        <v>60800.607179507861</v>
      </c>
      <c r="T83" s="109">
        <f>K83*S$9</f>
        <v>6975.3928204921413</v>
      </c>
      <c r="U83" s="139">
        <f>S83+T83</f>
        <v>67776</v>
      </c>
      <c r="V83" s="48">
        <f>J83*V$9</f>
        <v>53200.531282069373</v>
      </c>
      <c r="W83" s="109">
        <f>K83*V$9</f>
        <v>6103.4687179306229</v>
      </c>
      <c r="X83" s="49">
        <f>V83+W83</f>
        <v>59303.999999999993</v>
      </c>
      <c r="Y83" s="138">
        <f>J83*Y$9</f>
        <v>45600.455384630892</v>
      </c>
      <c r="Z83" s="109">
        <f>K83*Y$9</f>
        <v>5231.5446153691055</v>
      </c>
      <c r="AA83" s="49">
        <f>Y83+Z83</f>
        <v>50832</v>
      </c>
      <c r="AB83" s="380"/>
      <c r="AC83" s="16"/>
      <c r="AD83" s="16"/>
      <c r="AE83" s="16"/>
      <c r="AF83" s="16"/>
      <c r="AG83" s="16"/>
      <c r="AH83" s="17"/>
      <c r="AI83" s="16"/>
      <c r="AJ83" s="16"/>
    </row>
    <row r="84" spans="1:36" s="26" customFormat="1" ht="13.5" customHeight="1">
      <c r="A84" s="187">
        <v>95</v>
      </c>
      <c r="B84" s="50">
        <v>42401</v>
      </c>
      <c r="C84" s="61">
        <f>VLOOKUP(B84,'base(indices)'!$A$4:$C$183,3,FALSE)</f>
        <v>880</v>
      </c>
      <c r="D84" s="192">
        <f>'base(indices)'!G77</f>
        <v>1.3399086499999999</v>
      </c>
      <c r="E84" s="54">
        <f t="shared" ref="E84:E94" si="49">C84*D84</f>
        <v>1179.119612</v>
      </c>
      <c r="F84" s="82">
        <f>'base(indices)'!$I$147</f>
        <v>0.29920000000000002</v>
      </c>
      <c r="G84" s="54">
        <f t="shared" si="33"/>
        <v>352.79258791040002</v>
      </c>
      <c r="H84" s="267">
        <f t="shared" si="34"/>
        <v>1531.9121999104</v>
      </c>
      <c r="I84" s="414">
        <f t="shared" si="48"/>
        <v>154509.68212965934</v>
      </c>
      <c r="J84" s="58">
        <f>IF((I84-H$93+(H$93/12*11))+K84-(H84/2)&gt;$I$197,$I$197-K84,(I84-H$93+(H$93/12*11)-(H84/2)))</f>
        <v>76000.758974384822</v>
      </c>
      <c r="K84" s="91">
        <f t="shared" si="35"/>
        <v>8719.2410256151761</v>
      </c>
      <c r="L84" s="284">
        <f t="shared" ref="L84:L147" si="50">J84+K84</f>
        <v>84720</v>
      </c>
      <c r="M84" s="57">
        <f t="shared" ref="M84:M147" si="51">J84*M$9</f>
        <v>72200.721025665582</v>
      </c>
      <c r="N84" s="91">
        <f t="shared" ref="N84:N147" si="52">K84*M$9</f>
        <v>8283.2789743344165</v>
      </c>
      <c r="O84" s="60">
        <f t="shared" ref="O84:O147" si="53">M84+N84</f>
        <v>80484</v>
      </c>
      <c r="P84" s="58">
        <f t="shared" ref="P84:P85" si="54">J84*$P$9</f>
        <v>68400.683076946341</v>
      </c>
      <c r="Q84" s="91">
        <f t="shared" ref="Q84:Q147" si="55">K84*P$9</f>
        <v>7847.3169230536587</v>
      </c>
      <c r="R84" s="59">
        <f t="shared" ref="R84:R89" si="56">P84+Q84</f>
        <v>76248</v>
      </c>
      <c r="S84" s="57">
        <f t="shared" ref="S84:S129" si="57">J84*S$9</f>
        <v>60800.607179507861</v>
      </c>
      <c r="T84" s="91">
        <f t="shared" ref="T84:T147" si="58">K84*S$9</f>
        <v>6975.3928204921413</v>
      </c>
      <c r="U84" s="60">
        <f t="shared" ref="U84:U129" si="59">S84+T84</f>
        <v>67776</v>
      </c>
      <c r="V84" s="58">
        <f t="shared" ref="V84:V147" si="60">J84*V$9</f>
        <v>53200.531282069373</v>
      </c>
      <c r="W84" s="91">
        <f t="shared" ref="W84:W147" si="61">K84*V$9</f>
        <v>6103.4687179306229</v>
      </c>
      <c r="X84" s="59">
        <f t="shared" ref="X84:X147" si="62">V84+W84</f>
        <v>59303.999999999993</v>
      </c>
      <c r="Y84" s="57">
        <f t="shared" ref="Y84:Y147" si="63">J84*Y$9</f>
        <v>45600.455384630892</v>
      </c>
      <c r="Z84" s="91">
        <f t="shared" ref="Z84:Z147" si="64">K84*Y$9</f>
        <v>5231.5446153691055</v>
      </c>
      <c r="AA84" s="59">
        <f t="shared" ref="AA84:AA147" si="65">Y84+Z84</f>
        <v>50832</v>
      </c>
      <c r="AB84" s="381"/>
      <c r="AC84" s="32"/>
      <c r="AD84" s="32"/>
      <c r="AE84" s="32"/>
      <c r="AF84" s="32"/>
      <c r="AG84" s="32"/>
      <c r="AH84" s="33"/>
      <c r="AI84" s="32"/>
      <c r="AJ84" s="32"/>
    </row>
    <row r="85" spans="1:36" ht="13.5" customHeight="1">
      <c r="A85" s="187">
        <v>94</v>
      </c>
      <c r="B85" s="50">
        <v>42430</v>
      </c>
      <c r="C85" s="61">
        <f>VLOOKUP(B85,'base(indices)'!$A$4:$C$183,3,FALSE)</f>
        <v>880</v>
      </c>
      <c r="D85" s="192">
        <f>'base(indices)'!G78</f>
        <v>1.3211483399999999</v>
      </c>
      <c r="E85" s="63">
        <f t="shared" si="49"/>
        <v>1162.6105391999999</v>
      </c>
      <c r="F85" s="82">
        <f>'base(indices)'!$I$147</f>
        <v>0.29920000000000002</v>
      </c>
      <c r="G85" s="63">
        <f t="shared" si="33"/>
        <v>347.85307332863999</v>
      </c>
      <c r="H85" s="268">
        <f t="shared" si="34"/>
        <v>1510.4636125286399</v>
      </c>
      <c r="I85" s="415">
        <f t="shared" si="48"/>
        <v>152977.76992974893</v>
      </c>
      <c r="J85" s="45">
        <f>IF((I85-H$93+(H$93/12*10))+K85-(H85/2)&gt;$I$197,$I$197-K85,(I85-H$93+(H$93/12*10)-(H85/2)))</f>
        <v>76000.758974384822</v>
      </c>
      <c r="K85" s="108">
        <f t="shared" si="35"/>
        <v>8719.2410256151761</v>
      </c>
      <c r="L85" s="46">
        <f t="shared" si="50"/>
        <v>84720</v>
      </c>
      <c r="M85" s="43">
        <f t="shared" si="51"/>
        <v>72200.721025665582</v>
      </c>
      <c r="N85" s="108">
        <f t="shared" si="52"/>
        <v>8283.2789743344165</v>
      </c>
      <c r="O85" s="47">
        <f t="shared" si="53"/>
        <v>80484</v>
      </c>
      <c r="P85" s="119">
        <f t="shared" si="54"/>
        <v>68400.683076946341</v>
      </c>
      <c r="Q85" s="108">
        <f t="shared" si="55"/>
        <v>7847.3169230536587</v>
      </c>
      <c r="R85" s="46">
        <f t="shared" si="56"/>
        <v>76248</v>
      </c>
      <c r="S85" s="43">
        <f t="shared" si="57"/>
        <v>60800.607179507861</v>
      </c>
      <c r="T85" s="108">
        <f t="shared" si="58"/>
        <v>6975.3928204921413</v>
      </c>
      <c r="U85" s="47">
        <f t="shared" si="59"/>
        <v>67776</v>
      </c>
      <c r="V85" s="45">
        <f t="shared" si="60"/>
        <v>53200.531282069373</v>
      </c>
      <c r="W85" s="108">
        <f t="shared" si="61"/>
        <v>6103.4687179306229</v>
      </c>
      <c r="X85" s="46">
        <f t="shared" si="62"/>
        <v>59303.999999999993</v>
      </c>
      <c r="Y85" s="43">
        <f t="shared" si="63"/>
        <v>45600.455384630892</v>
      </c>
      <c r="Z85" s="108">
        <f t="shared" si="64"/>
        <v>5231.5446153691055</v>
      </c>
      <c r="AA85" s="46">
        <f t="shared" si="65"/>
        <v>50832</v>
      </c>
      <c r="AB85" s="380"/>
      <c r="AC85" s="16"/>
      <c r="AD85" s="16"/>
      <c r="AE85" s="16"/>
      <c r="AF85" s="16"/>
      <c r="AG85" s="16"/>
      <c r="AH85" s="17"/>
      <c r="AI85" s="16"/>
      <c r="AJ85" s="16"/>
    </row>
    <row r="86" spans="1:36" s="26" customFormat="1" ht="13.5" customHeight="1">
      <c r="A86" s="187">
        <v>93</v>
      </c>
      <c r="B86" s="50">
        <v>42461</v>
      </c>
      <c r="C86" s="61">
        <f>VLOOKUP(B86,'base(indices)'!$A$4:$C$183,3,FALSE)</f>
        <v>880</v>
      </c>
      <c r="D86" s="192">
        <f>'base(indices)'!G79</f>
        <v>1.31549173</v>
      </c>
      <c r="E86" s="54">
        <f t="shared" si="49"/>
        <v>1157.6327223999999</v>
      </c>
      <c r="F86" s="82">
        <f>'base(indices)'!$I$147</f>
        <v>0.29920000000000002</v>
      </c>
      <c r="G86" s="54">
        <f t="shared" si="33"/>
        <v>346.36371054208001</v>
      </c>
      <c r="H86" s="267">
        <f t="shared" si="34"/>
        <v>1503.99643294208</v>
      </c>
      <c r="I86" s="414">
        <f t="shared" si="48"/>
        <v>151467.3063172203</v>
      </c>
      <c r="J86" s="58">
        <f>IF((I86-H$93+(H$93/12*9))+K86-(H86/2)&gt;$I$197,$I$197-K86,(I86-H$93+(H$93/12*9)-(H86/2)))</f>
        <v>76000.758974384822</v>
      </c>
      <c r="K86" s="91">
        <f t="shared" si="35"/>
        <v>8719.2410256151761</v>
      </c>
      <c r="L86" s="284">
        <f t="shared" si="50"/>
        <v>84720</v>
      </c>
      <c r="M86" s="57">
        <f t="shared" si="51"/>
        <v>72200.721025665582</v>
      </c>
      <c r="N86" s="91">
        <f t="shared" si="52"/>
        <v>8283.2789743344165</v>
      </c>
      <c r="O86" s="60">
        <f t="shared" si="53"/>
        <v>80484</v>
      </c>
      <c r="P86" s="58">
        <f>J86*$P$9</f>
        <v>68400.683076946341</v>
      </c>
      <c r="Q86" s="91">
        <f t="shared" si="55"/>
        <v>7847.3169230536587</v>
      </c>
      <c r="R86" s="59">
        <f t="shared" si="56"/>
        <v>76248</v>
      </c>
      <c r="S86" s="57">
        <f t="shared" si="57"/>
        <v>60800.607179507861</v>
      </c>
      <c r="T86" s="91">
        <f t="shared" si="58"/>
        <v>6975.3928204921413</v>
      </c>
      <c r="U86" s="60">
        <f t="shared" si="59"/>
        <v>67776</v>
      </c>
      <c r="V86" s="58">
        <f t="shared" si="60"/>
        <v>53200.531282069373</v>
      </c>
      <c r="W86" s="91">
        <f t="shared" si="61"/>
        <v>6103.4687179306229</v>
      </c>
      <c r="X86" s="59">
        <f t="shared" si="62"/>
        <v>59303.999999999993</v>
      </c>
      <c r="Y86" s="57">
        <f t="shared" si="63"/>
        <v>45600.455384630892</v>
      </c>
      <c r="Z86" s="91">
        <f t="shared" si="64"/>
        <v>5231.5446153691055</v>
      </c>
      <c r="AA86" s="59">
        <f t="shared" si="65"/>
        <v>50832</v>
      </c>
      <c r="AB86" s="381"/>
      <c r="AC86" s="32"/>
      <c r="AD86" s="32"/>
      <c r="AE86" s="32"/>
      <c r="AF86" s="32"/>
      <c r="AG86" s="32"/>
      <c r="AH86" s="33"/>
      <c r="AI86" s="32"/>
      <c r="AJ86" s="32"/>
    </row>
    <row r="87" spans="1:36" ht="13.5" customHeight="1">
      <c r="A87" s="187">
        <v>92</v>
      </c>
      <c r="B87" s="50">
        <v>42491</v>
      </c>
      <c r="C87" s="61">
        <f>VLOOKUP(B87,'base(indices)'!$A$4:$C$183,3,FALSE)</f>
        <v>880</v>
      </c>
      <c r="D87" s="192">
        <f>'base(indices)'!G80</f>
        <v>1.30881676</v>
      </c>
      <c r="E87" s="63">
        <f t="shared" si="49"/>
        <v>1151.7587487999999</v>
      </c>
      <c r="F87" s="82">
        <f>'base(indices)'!$I$147</f>
        <v>0.29920000000000002</v>
      </c>
      <c r="G87" s="63">
        <f t="shared" si="33"/>
        <v>344.60621764095998</v>
      </c>
      <c r="H87" s="268">
        <f t="shared" si="34"/>
        <v>1496.36496644096</v>
      </c>
      <c r="I87" s="415">
        <f t="shared" si="48"/>
        <v>149963.30988427822</v>
      </c>
      <c r="J87" s="45">
        <f>IF((I87-H$93+(H$93/12*8))+K87-(H87/2)&gt;$I$197,$I$197-K87,(I87-H$93+(H$93/12*8)-(H87/2)))</f>
        <v>76000.758974384822</v>
      </c>
      <c r="K87" s="108">
        <f t="shared" si="35"/>
        <v>8719.2410256151761</v>
      </c>
      <c r="L87" s="46">
        <f t="shared" si="50"/>
        <v>84720</v>
      </c>
      <c r="M87" s="43">
        <f t="shared" si="51"/>
        <v>72200.721025665582</v>
      </c>
      <c r="N87" s="108">
        <f t="shared" si="52"/>
        <v>8283.2789743344165</v>
      </c>
      <c r="O87" s="47">
        <f t="shared" si="53"/>
        <v>80484</v>
      </c>
      <c r="P87" s="119">
        <f>J87*$P$9</f>
        <v>68400.683076946341</v>
      </c>
      <c r="Q87" s="108">
        <f t="shared" si="55"/>
        <v>7847.3169230536587</v>
      </c>
      <c r="R87" s="46">
        <f t="shared" si="56"/>
        <v>76248</v>
      </c>
      <c r="S87" s="43">
        <f t="shared" si="57"/>
        <v>60800.607179507861</v>
      </c>
      <c r="T87" s="108">
        <f t="shared" si="58"/>
        <v>6975.3928204921413</v>
      </c>
      <c r="U87" s="47">
        <f t="shared" si="59"/>
        <v>67776</v>
      </c>
      <c r="V87" s="45">
        <f t="shared" si="60"/>
        <v>53200.531282069373</v>
      </c>
      <c r="W87" s="108">
        <f t="shared" si="61"/>
        <v>6103.4687179306229</v>
      </c>
      <c r="X87" s="46">
        <f t="shared" si="62"/>
        <v>59303.999999999993</v>
      </c>
      <c r="Y87" s="43">
        <f t="shared" si="63"/>
        <v>45600.455384630892</v>
      </c>
      <c r="Z87" s="108">
        <f t="shared" si="64"/>
        <v>5231.5446153691055</v>
      </c>
      <c r="AA87" s="46">
        <f t="shared" si="65"/>
        <v>50832</v>
      </c>
      <c r="AB87" s="380"/>
      <c r="AC87" s="16"/>
      <c r="AD87" s="16"/>
      <c r="AE87" s="16"/>
      <c r="AF87" s="16"/>
      <c r="AG87" s="16"/>
      <c r="AH87" s="17"/>
      <c r="AI87" s="16"/>
      <c r="AJ87" s="16"/>
    </row>
    <row r="88" spans="1:36" s="26" customFormat="1" ht="13.5" customHeight="1">
      <c r="A88" s="187">
        <v>91</v>
      </c>
      <c r="B88" s="50">
        <v>42522</v>
      </c>
      <c r="C88" s="61">
        <f>VLOOKUP(B88,'base(indices)'!$A$4:$C$183,3,FALSE)</f>
        <v>880</v>
      </c>
      <c r="D88" s="192">
        <f>'base(indices)'!G81</f>
        <v>1.2976569099999999</v>
      </c>
      <c r="E88" s="54">
        <f t="shared" si="49"/>
        <v>1141.9380807999999</v>
      </c>
      <c r="F88" s="82">
        <f>'base(indices)'!$I$147</f>
        <v>0.29920000000000002</v>
      </c>
      <c r="G88" s="54">
        <f t="shared" si="33"/>
        <v>341.66787377535996</v>
      </c>
      <c r="H88" s="267">
        <f t="shared" si="34"/>
        <v>1483.6059545753599</v>
      </c>
      <c r="I88" s="414">
        <f t="shared" si="48"/>
        <v>148466.94491783727</v>
      </c>
      <c r="J88" s="58">
        <f>IF((I88-H$93+(H$93/12*7))+K88-(H88/2)&gt;$I$197,$I$197-K88,(I88-H$93+(H$93/12*7)-(H88/2)))</f>
        <v>76000.758974384822</v>
      </c>
      <c r="K88" s="91">
        <f t="shared" si="35"/>
        <v>8719.2410256151761</v>
      </c>
      <c r="L88" s="284">
        <f t="shared" si="50"/>
        <v>84720</v>
      </c>
      <c r="M88" s="57">
        <f t="shared" si="51"/>
        <v>72200.721025665582</v>
      </c>
      <c r="N88" s="91">
        <f t="shared" si="52"/>
        <v>8283.2789743344165</v>
      </c>
      <c r="O88" s="60">
        <f t="shared" si="53"/>
        <v>80484</v>
      </c>
      <c r="P88" s="58">
        <f t="shared" ref="P88:P107" si="66">J88*$P$9</f>
        <v>68400.683076946341</v>
      </c>
      <c r="Q88" s="91">
        <f t="shared" si="55"/>
        <v>7847.3169230536587</v>
      </c>
      <c r="R88" s="59">
        <f t="shared" si="56"/>
        <v>76248</v>
      </c>
      <c r="S88" s="57">
        <f t="shared" si="57"/>
        <v>60800.607179507861</v>
      </c>
      <c r="T88" s="91">
        <f t="shared" si="58"/>
        <v>6975.3928204921413</v>
      </c>
      <c r="U88" s="60">
        <f t="shared" si="59"/>
        <v>67776</v>
      </c>
      <c r="V88" s="58">
        <f t="shared" si="60"/>
        <v>53200.531282069373</v>
      </c>
      <c r="W88" s="91">
        <f t="shared" si="61"/>
        <v>6103.4687179306229</v>
      </c>
      <c r="X88" s="59">
        <f t="shared" si="62"/>
        <v>59303.999999999993</v>
      </c>
      <c r="Y88" s="57">
        <f t="shared" si="63"/>
        <v>45600.455384630892</v>
      </c>
      <c r="Z88" s="91">
        <f t="shared" si="64"/>
        <v>5231.5446153691055</v>
      </c>
      <c r="AA88" s="59">
        <f t="shared" si="65"/>
        <v>50832</v>
      </c>
      <c r="AB88" s="381"/>
      <c r="AC88" s="32"/>
      <c r="AD88" s="32"/>
      <c r="AE88" s="32"/>
      <c r="AF88" s="32"/>
      <c r="AG88" s="32"/>
      <c r="AH88" s="33"/>
      <c r="AI88" s="32"/>
      <c r="AJ88" s="32"/>
    </row>
    <row r="89" spans="1:36" ht="13.5" customHeight="1">
      <c r="A89" s="187">
        <v>90</v>
      </c>
      <c r="B89" s="50">
        <v>42552</v>
      </c>
      <c r="C89" s="61">
        <f>VLOOKUP(B89,'base(indices)'!$A$4:$C$183,3,FALSE)</f>
        <v>880</v>
      </c>
      <c r="D89" s="192">
        <f>'base(indices)'!G82</f>
        <v>1.2924869699999999</v>
      </c>
      <c r="E89" s="63">
        <f t="shared" si="49"/>
        <v>1137.3885335999998</v>
      </c>
      <c r="F89" s="82">
        <f>'base(indices)'!$I$147</f>
        <v>0.29920000000000002</v>
      </c>
      <c r="G89" s="63">
        <f t="shared" si="33"/>
        <v>340.30664925311999</v>
      </c>
      <c r="H89" s="268">
        <f t="shared" si="34"/>
        <v>1477.6951828531198</v>
      </c>
      <c r="I89" s="415">
        <f t="shared" si="48"/>
        <v>146983.33896326192</v>
      </c>
      <c r="J89" s="45">
        <f>IF((I89-H$93+(H$93/12*6))+K89-(H89/2)&gt;$I$197,$I$197-K89,(I89-H$93+(H$93/12*6)-(H89/2)))</f>
        <v>76000.758974384822</v>
      </c>
      <c r="K89" s="108">
        <f t="shared" si="35"/>
        <v>8719.2410256151761</v>
      </c>
      <c r="L89" s="46">
        <f t="shared" si="50"/>
        <v>84720</v>
      </c>
      <c r="M89" s="43">
        <f t="shared" si="51"/>
        <v>72200.721025665582</v>
      </c>
      <c r="N89" s="108">
        <f t="shared" si="52"/>
        <v>8283.2789743344165</v>
      </c>
      <c r="O89" s="47">
        <f t="shared" si="53"/>
        <v>80484</v>
      </c>
      <c r="P89" s="119">
        <f t="shared" si="66"/>
        <v>68400.683076946341</v>
      </c>
      <c r="Q89" s="108">
        <f t="shared" si="55"/>
        <v>7847.3169230536587</v>
      </c>
      <c r="R89" s="46">
        <f t="shared" si="56"/>
        <v>76248</v>
      </c>
      <c r="S89" s="43">
        <f t="shared" si="57"/>
        <v>60800.607179507861</v>
      </c>
      <c r="T89" s="108">
        <f t="shared" si="58"/>
        <v>6975.3928204921413</v>
      </c>
      <c r="U89" s="47">
        <f t="shared" si="59"/>
        <v>67776</v>
      </c>
      <c r="V89" s="45">
        <f t="shared" si="60"/>
        <v>53200.531282069373</v>
      </c>
      <c r="W89" s="108">
        <f t="shared" si="61"/>
        <v>6103.4687179306229</v>
      </c>
      <c r="X89" s="46">
        <f t="shared" si="62"/>
        <v>59303.999999999993</v>
      </c>
      <c r="Y89" s="43">
        <f t="shared" si="63"/>
        <v>45600.455384630892</v>
      </c>
      <c r="Z89" s="108">
        <f t="shared" si="64"/>
        <v>5231.5446153691055</v>
      </c>
      <c r="AA89" s="46">
        <f t="shared" si="65"/>
        <v>50832</v>
      </c>
      <c r="AB89" s="380"/>
      <c r="AC89" s="16"/>
      <c r="AD89" s="16"/>
      <c r="AE89" s="16"/>
      <c r="AF89" s="16"/>
      <c r="AG89" s="16"/>
      <c r="AH89" s="17"/>
      <c r="AI89" s="16"/>
      <c r="AJ89" s="16"/>
    </row>
    <row r="90" spans="1:36" s="26" customFormat="1" ht="13.5" customHeight="1">
      <c r="A90" s="187">
        <v>89</v>
      </c>
      <c r="B90" s="50">
        <v>42583</v>
      </c>
      <c r="C90" s="61">
        <f>VLOOKUP(B90,'base(indices)'!$A$4:$C$183,3,FALSE)</f>
        <v>880</v>
      </c>
      <c r="D90" s="192">
        <f>'base(indices)'!G83</f>
        <v>1.28554502</v>
      </c>
      <c r="E90" s="54">
        <f t="shared" si="49"/>
        <v>1131.2796175999999</v>
      </c>
      <c r="F90" s="82">
        <f>'base(indices)'!$I$147</f>
        <v>0.29920000000000002</v>
      </c>
      <c r="G90" s="54">
        <f t="shared" si="33"/>
        <v>338.47886158592001</v>
      </c>
      <c r="H90" s="267">
        <f t="shared" si="34"/>
        <v>1469.7584791859199</v>
      </c>
      <c r="I90" s="414">
        <f t="shared" si="48"/>
        <v>145505.64378040881</v>
      </c>
      <c r="J90" s="58">
        <f>IF((I90-H$93+(H$93/12*5))+K90-(H90/2)&gt;$I$197,$I$197-K90,(I90-H$93+(H$93/12*5)-(H90/2)))</f>
        <v>76000.758974384822</v>
      </c>
      <c r="K90" s="91">
        <f t="shared" si="35"/>
        <v>8719.2410256151761</v>
      </c>
      <c r="L90" s="284">
        <f t="shared" si="50"/>
        <v>84720</v>
      </c>
      <c r="M90" s="57">
        <f t="shared" si="51"/>
        <v>72200.721025665582</v>
      </c>
      <c r="N90" s="91">
        <f t="shared" si="52"/>
        <v>8283.2789743344165</v>
      </c>
      <c r="O90" s="60">
        <f t="shared" si="53"/>
        <v>80484</v>
      </c>
      <c r="P90" s="58">
        <f t="shared" si="66"/>
        <v>68400.683076946341</v>
      </c>
      <c r="Q90" s="91">
        <f t="shared" si="55"/>
        <v>7847.3169230536587</v>
      </c>
      <c r="R90" s="59">
        <f>P90+Q90</f>
        <v>76248</v>
      </c>
      <c r="S90" s="57">
        <f t="shared" si="57"/>
        <v>60800.607179507861</v>
      </c>
      <c r="T90" s="91">
        <f t="shared" si="58"/>
        <v>6975.3928204921413</v>
      </c>
      <c r="U90" s="60">
        <f t="shared" si="59"/>
        <v>67776</v>
      </c>
      <c r="V90" s="58">
        <f t="shared" si="60"/>
        <v>53200.531282069373</v>
      </c>
      <c r="W90" s="91">
        <f t="shared" si="61"/>
        <v>6103.4687179306229</v>
      </c>
      <c r="X90" s="59">
        <f t="shared" si="62"/>
        <v>59303.999999999993</v>
      </c>
      <c r="Y90" s="57">
        <f t="shared" si="63"/>
        <v>45600.455384630892</v>
      </c>
      <c r="Z90" s="91">
        <f t="shared" si="64"/>
        <v>5231.5446153691055</v>
      </c>
      <c r="AA90" s="59">
        <f t="shared" si="65"/>
        <v>50832</v>
      </c>
      <c r="AB90" s="381"/>
      <c r="AC90" s="32"/>
      <c r="AD90" s="32"/>
      <c r="AE90" s="32"/>
      <c r="AF90" s="32"/>
      <c r="AG90" s="32"/>
      <c r="AH90" s="33"/>
      <c r="AI90" s="32"/>
      <c r="AJ90" s="32"/>
    </row>
    <row r="91" spans="1:36" ht="13.5" customHeight="1">
      <c r="A91" s="187">
        <v>88</v>
      </c>
      <c r="B91" s="50">
        <v>42614</v>
      </c>
      <c r="C91" s="61">
        <f>VLOOKUP(B91,'base(indices)'!$A$4:$C$183,3,FALSE)</f>
        <v>880</v>
      </c>
      <c r="D91" s="192">
        <f>'base(indices)'!G84</f>
        <v>1.2797859899999999</v>
      </c>
      <c r="E91" s="63">
        <f t="shared" si="49"/>
        <v>1126.2116712</v>
      </c>
      <c r="F91" s="82">
        <f>'base(indices)'!$I$147</f>
        <v>0.29920000000000002</v>
      </c>
      <c r="G91" s="63">
        <f t="shared" si="33"/>
        <v>336.96253202304001</v>
      </c>
      <c r="H91" s="268">
        <f t="shared" si="34"/>
        <v>1463.17420322304</v>
      </c>
      <c r="I91" s="415">
        <f t="shared" si="48"/>
        <v>144035.88530122288</v>
      </c>
      <c r="J91" s="45">
        <f>IF((I91-H$93+(H$93/12*4))+K91-(H91/2)&gt;$I$197,$I$197-K91,(I91-H$93+(H$93/12*4)-(H91/2)))</f>
        <v>76000.758974384822</v>
      </c>
      <c r="K91" s="108">
        <f t="shared" si="35"/>
        <v>8719.2410256151761</v>
      </c>
      <c r="L91" s="46">
        <f t="shared" si="50"/>
        <v>84720</v>
      </c>
      <c r="M91" s="43">
        <f t="shared" si="51"/>
        <v>72200.721025665582</v>
      </c>
      <c r="N91" s="108">
        <f t="shared" si="52"/>
        <v>8283.2789743344165</v>
      </c>
      <c r="O91" s="47">
        <f t="shared" si="53"/>
        <v>80484</v>
      </c>
      <c r="P91" s="119">
        <f t="shared" si="66"/>
        <v>68400.683076946341</v>
      </c>
      <c r="Q91" s="108">
        <f t="shared" si="55"/>
        <v>7847.3169230536587</v>
      </c>
      <c r="R91" s="46">
        <f t="shared" ref="R91:R109" si="67">P91+Q91</f>
        <v>76248</v>
      </c>
      <c r="S91" s="43">
        <f t="shared" si="57"/>
        <v>60800.607179507861</v>
      </c>
      <c r="T91" s="108">
        <f t="shared" si="58"/>
        <v>6975.3928204921413</v>
      </c>
      <c r="U91" s="47">
        <f t="shared" si="59"/>
        <v>67776</v>
      </c>
      <c r="V91" s="45">
        <f t="shared" si="60"/>
        <v>53200.531282069373</v>
      </c>
      <c r="W91" s="108">
        <f t="shared" si="61"/>
        <v>6103.4687179306229</v>
      </c>
      <c r="X91" s="46">
        <f t="shared" si="62"/>
        <v>59303.999999999993</v>
      </c>
      <c r="Y91" s="43">
        <f t="shared" si="63"/>
        <v>45600.455384630892</v>
      </c>
      <c r="Z91" s="108">
        <f t="shared" si="64"/>
        <v>5231.5446153691055</v>
      </c>
      <c r="AA91" s="46">
        <f t="shared" si="65"/>
        <v>50832</v>
      </c>
      <c r="AB91" s="380"/>
      <c r="AC91" s="16"/>
      <c r="AD91" s="16"/>
      <c r="AE91" s="16"/>
      <c r="AF91" s="16"/>
      <c r="AG91" s="16"/>
      <c r="AH91" s="17"/>
      <c r="AI91" s="16"/>
      <c r="AJ91" s="16"/>
    </row>
    <row r="92" spans="1:36" s="26" customFormat="1" ht="13.5" customHeight="1">
      <c r="A92" s="187">
        <v>87</v>
      </c>
      <c r="B92" s="50">
        <v>42644</v>
      </c>
      <c r="C92" s="61">
        <f>VLOOKUP(B92,'base(indices)'!$A$4:$C$183,3,FALSE)</f>
        <v>880</v>
      </c>
      <c r="D92" s="192">
        <f>'base(indices)'!G85</f>
        <v>1.2768492300000001</v>
      </c>
      <c r="E92" s="54">
        <f t="shared" si="49"/>
        <v>1123.6273224000001</v>
      </c>
      <c r="F92" s="82">
        <f>'base(indices)'!$I$147</f>
        <v>0.29920000000000002</v>
      </c>
      <c r="G92" s="54">
        <f t="shared" si="33"/>
        <v>336.18929486208009</v>
      </c>
      <c r="H92" s="267">
        <f t="shared" si="34"/>
        <v>1459.8166172620802</v>
      </c>
      <c r="I92" s="414">
        <f t="shared" si="48"/>
        <v>142572.71109799983</v>
      </c>
      <c r="J92" s="58">
        <f>IF((I92-H$93+(H$93/12*3))+K92-(H92/2)&gt;$I$197,$I$197-K92,(I92-H$93+(H$93/12*3)-(H92/2)))</f>
        <v>76000.758974384822</v>
      </c>
      <c r="K92" s="91">
        <f t="shared" si="35"/>
        <v>8719.2410256151761</v>
      </c>
      <c r="L92" s="284">
        <f t="shared" si="50"/>
        <v>84720</v>
      </c>
      <c r="M92" s="57">
        <f t="shared" si="51"/>
        <v>72200.721025665582</v>
      </c>
      <c r="N92" s="91">
        <f t="shared" si="52"/>
        <v>8283.2789743344165</v>
      </c>
      <c r="O92" s="60">
        <f t="shared" si="53"/>
        <v>80484</v>
      </c>
      <c r="P92" s="58">
        <f t="shared" si="66"/>
        <v>68400.683076946341</v>
      </c>
      <c r="Q92" s="91">
        <f t="shared" si="55"/>
        <v>7847.3169230536587</v>
      </c>
      <c r="R92" s="59">
        <f t="shared" si="67"/>
        <v>76248</v>
      </c>
      <c r="S92" s="57">
        <f t="shared" si="57"/>
        <v>60800.607179507861</v>
      </c>
      <c r="T92" s="91">
        <f t="shared" si="58"/>
        <v>6975.3928204921413</v>
      </c>
      <c r="U92" s="60">
        <f t="shared" si="59"/>
        <v>67776</v>
      </c>
      <c r="V92" s="58">
        <f t="shared" si="60"/>
        <v>53200.531282069373</v>
      </c>
      <c r="W92" s="91">
        <f t="shared" si="61"/>
        <v>6103.4687179306229</v>
      </c>
      <c r="X92" s="59">
        <f t="shared" si="62"/>
        <v>59303.999999999993</v>
      </c>
      <c r="Y92" s="57">
        <f t="shared" si="63"/>
        <v>45600.455384630892</v>
      </c>
      <c r="Z92" s="91">
        <f t="shared" si="64"/>
        <v>5231.5446153691055</v>
      </c>
      <c r="AA92" s="59">
        <f t="shared" si="65"/>
        <v>50832</v>
      </c>
      <c r="AB92" s="381"/>
      <c r="AC92" s="32"/>
      <c r="AD92" s="32"/>
      <c r="AE92" s="32"/>
      <c r="AF92" s="32"/>
      <c r="AG92" s="32"/>
      <c r="AH92" s="33"/>
      <c r="AI92" s="32"/>
      <c r="AJ92" s="32"/>
    </row>
    <row r="93" spans="1:36" ht="13.5" customHeight="1">
      <c r="A93" s="187">
        <v>86</v>
      </c>
      <c r="B93" s="50">
        <v>42675</v>
      </c>
      <c r="C93" s="61">
        <f>VLOOKUP(B93,'base(indices)'!$A$4:$C$183,3,FALSE)</f>
        <v>880</v>
      </c>
      <c r="D93" s="192">
        <f>'base(indices)'!G86</f>
        <v>1.2744278200000001</v>
      </c>
      <c r="E93" s="63">
        <f t="shared" si="49"/>
        <v>1121.4964816000002</v>
      </c>
      <c r="F93" s="82">
        <f>'base(indices)'!$I$147</f>
        <v>0.29920000000000002</v>
      </c>
      <c r="G93" s="63">
        <f t="shared" si="33"/>
        <v>335.55174729472009</v>
      </c>
      <c r="H93" s="268">
        <f t="shared" si="34"/>
        <v>1457.0482288947203</v>
      </c>
      <c r="I93" s="415">
        <f t="shared" si="48"/>
        <v>141112.89448073774</v>
      </c>
      <c r="J93" s="45">
        <f>IF((I93-H$93+(H$93/12*2))+K93-(H93/2)&gt;$I$197,$I$197-K93,(I93-H$93+(H$93/12*2)-(H93/2)))</f>
        <v>76000.758974384822</v>
      </c>
      <c r="K93" s="108">
        <f t="shared" si="35"/>
        <v>8719.2410256151761</v>
      </c>
      <c r="L93" s="46">
        <f t="shared" si="50"/>
        <v>84720</v>
      </c>
      <c r="M93" s="43">
        <f t="shared" si="51"/>
        <v>72200.721025665582</v>
      </c>
      <c r="N93" s="108">
        <f t="shared" si="52"/>
        <v>8283.2789743344165</v>
      </c>
      <c r="O93" s="47">
        <f t="shared" si="53"/>
        <v>80484</v>
      </c>
      <c r="P93" s="119">
        <f t="shared" si="66"/>
        <v>68400.683076946341</v>
      </c>
      <c r="Q93" s="108">
        <f t="shared" si="55"/>
        <v>7847.3169230536587</v>
      </c>
      <c r="R93" s="46">
        <f t="shared" si="67"/>
        <v>76248</v>
      </c>
      <c r="S93" s="43">
        <f t="shared" si="57"/>
        <v>60800.607179507861</v>
      </c>
      <c r="T93" s="108">
        <f t="shared" si="58"/>
        <v>6975.3928204921413</v>
      </c>
      <c r="U93" s="47">
        <f t="shared" si="59"/>
        <v>67776</v>
      </c>
      <c r="V93" s="45">
        <f t="shared" si="60"/>
        <v>53200.531282069373</v>
      </c>
      <c r="W93" s="108">
        <f t="shared" si="61"/>
        <v>6103.4687179306229</v>
      </c>
      <c r="X93" s="46">
        <f t="shared" si="62"/>
        <v>59303.999999999993</v>
      </c>
      <c r="Y93" s="43">
        <f t="shared" si="63"/>
        <v>45600.455384630892</v>
      </c>
      <c r="Z93" s="108">
        <f t="shared" si="64"/>
        <v>5231.5446153691055</v>
      </c>
      <c r="AA93" s="46">
        <f t="shared" si="65"/>
        <v>50832</v>
      </c>
      <c r="AB93" s="380"/>
      <c r="AC93" s="16"/>
      <c r="AD93" s="16"/>
      <c r="AE93" s="16"/>
      <c r="AF93" s="16"/>
      <c r="AG93" s="16"/>
      <c r="AH93" s="17"/>
      <c r="AI93" s="16"/>
      <c r="AJ93" s="16"/>
    </row>
    <row r="94" spans="1:36" s="26" customFormat="1" ht="13.5" customHeight="1" thickBot="1">
      <c r="A94" s="188">
        <v>85</v>
      </c>
      <c r="B94" s="300">
        <v>42705</v>
      </c>
      <c r="C94" s="69">
        <f>C93*2</f>
        <v>1760</v>
      </c>
      <c r="D94" s="335">
        <f>'base(indices)'!G87</f>
        <v>1.2711228999999999</v>
      </c>
      <c r="E94" s="163">
        <f t="shared" si="49"/>
        <v>2237.1763040000001</v>
      </c>
      <c r="F94" s="304">
        <f>'base(indices)'!$I$147</f>
        <v>0.29920000000000002</v>
      </c>
      <c r="G94" s="163">
        <f t="shared" si="33"/>
        <v>669.36315015680009</v>
      </c>
      <c r="H94" s="355">
        <f t="shared" si="34"/>
        <v>2906.5394541568003</v>
      </c>
      <c r="I94" s="416">
        <f t="shared" si="48"/>
        <v>139655.84625184303</v>
      </c>
      <c r="J94" s="175">
        <f>IF((I94-H$93+(H$93/12*1))+K94-(H94/4)&gt;$I$197,$I$197-K94,(I94-H$93+(H$93/12*1)-(H94/4)))</f>
        <v>76000.758974384822</v>
      </c>
      <c r="K94" s="86">
        <f t="shared" si="35"/>
        <v>8719.2410256151761</v>
      </c>
      <c r="L94" s="287">
        <f t="shared" si="50"/>
        <v>84720</v>
      </c>
      <c r="M94" s="85">
        <f t="shared" si="51"/>
        <v>72200.721025665582</v>
      </c>
      <c r="N94" s="86">
        <f t="shared" si="52"/>
        <v>8283.2789743344165</v>
      </c>
      <c r="O94" s="107">
        <f t="shared" si="53"/>
        <v>80484</v>
      </c>
      <c r="P94" s="175">
        <f t="shared" si="66"/>
        <v>68400.683076946341</v>
      </c>
      <c r="Q94" s="86">
        <f t="shared" si="55"/>
        <v>7847.3169230536587</v>
      </c>
      <c r="R94" s="165">
        <f t="shared" si="67"/>
        <v>76248</v>
      </c>
      <c r="S94" s="85">
        <f t="shared" si="57"/>
        <v>60800.607179507861</v>
      </c>
      <c r="T94" s="86">
        <f t="shared" si="58"/>
        <v>6975.3928204921413</v>
      </c>
      <c r="U94" s="107">
        <f t="shared" si="59"/>
        <v>67776</v>
      </c>
      <c r="V94" s="175">
        <f t="shared" si="60"/>
        <v>53200.531282069373</v>
      </c>
      <c r="W94" s="86">
        <f t="shared" si="61"/>
        <v>6103.4687179306229</v>
      </c>
      <c r="X94" s="165">
        <f t="shared" si="62"/>
        <v>59303.999999999993</v>
      </c>
      <c r="Y94" s="85">
        <f t="shared" si="63"/>
        <v>45600.455384630892</v>
      </c>
      <c r="Z94" s="86">
        <f t="shared" si="64"/>
        <v>5231.5446153691055</v>
      </c>
      <c r="AA94" s="165">
        <f t="shared" si="65"/>
        <v>50832</v>
      </c>
      <c r="AB94" s="381"/>
      <c r="AC94" s="32"/>
      <c r="AD94" s="32"/>
      <c r="AE94" s="32"/>
      <c r="AF94" s="32"/>
      <c r="AG94" s="32"/>
      <c r="AH94" s="33"/>
      <c r="AI94" s="32"/>
      <c r="AJ94" s="32"/>
    </row>
    <row r="95" spans="1:36" ht="13.5" customHeight="1">
      <c r="A95" s="217">
        <v>84</v>
      </c>
      <c r="B95" s="246">
        <v>42736</v>
      </c>
      <c r="C95" s="273">
        <f>VLOOKUP(B95,'base(indices)'!$A$4:$C$183,3,FALSE)</f>
        <v>937</v>
      </c>
      <c r="D95" s="195">
        <f>'base(indices)'!G88</f>
        <v>1.2687123499999999</v>
      </c>
      <c r="E95" s="154">
        <f>C95*D95</f>
        <v>1188.7834719499999</v>
      </c>
      <c r="F95" s="42">
        <f>'base(indices)'!$I$147</f>
        <v>0.29920000000000002</v>
      </c>
      <c r="G95" s="154">
        <f t="shared" si="33"/>
        <v>355.68401480744001</v>
      </c>
      <c r="H95" s="362">
        <f t="shared" si="34"/>
        <v>1544.4674867574399</v>
      </c>
      <c r="I95" s="401">
        <f t="shared" si="48"/>
        <v>136749.30679768624</v>
      </c>
      <c r="J95" s="288">
        <f>IF((I95-H$105+(H$105))+K95-(H95/2)&gt;$I$197,$I$197-K95,(I95-H$105+(H$105)-(H95/2)))</f>
        <v>76000.758974384822</v>
      </c>
      <c r="K95" s="156">
        <f t="shared" si="35"/>
        <v>8719.2410256151761</v>
      </c>
      <c r="L95" s="150">
        <f t="shared" si="50"/>
        <v>84720</v>
      </c>
      <c r="M95" s="283">
        <f t="shared" si="51"/>
        <v>72200.721025665582</v>
      </c>
      <c r="N95" s="156">
        <f t="shared" si="52"/>
        <v>8283.2789743344165</v>
      </c>
      <c r="O95" s="290">
        <f t="shared" si="53"/>
        <v>80484</v>
      </c>
      <c r="P95" s="292">
        <f t="shared" si="66"/>
        <v>68400.683076946341</v>
      </c>
      <c r="Q95" s="156">
        <f t="shared" si="55"/>
        <v>7847.3169230536587</v>
      </c>
      <c r="R95" s="150">
        <f t="shared" si="67"/>
        <v>76248</v>
      </c>
      <c r="S95" s="283">
        <f t="shared" si="57"/>
        <v>60800.607179507861</v>
      </c>
      <c r="T95" s="156">
        <f t="shared" si="58"/>
        <v>6975.3928204921413</v>
      </c>
      <c r="U95" s="290">
        <f t="shared" si="59"/>
        <v>67776</v>
      </c>
      <c r="V95" s="288">
        <f t="shared" si="60"/>
        <v>53200.531282069373</v>
      </c>
      <c r="W95" s="156">
        <f t="shared" si="61"/>
        <v>6103.4687179306229</v>
      </c>
      <c r="X95" s="150">
        <f t="shared" si="62"/>
        <v>59303.999999999993</v>
      </c>
      <c r="Y95" s="283">
        <f t="shared" si="63"/>
        <v>45600.455384630892</v>
      </c>
      <c r="Z95" s="156">
        <f t="shared" si="64"/>
        <v>5231.5446153691055</v>
      </c>
      <c r="AA95" s="150">
        <f t="shared" si="65"/>
        <v>50832</v>
      </c>
      <c r="AB95" s="380"/>
      <c r="AC95" s="16"/>
      <c r="AD95" s="16"/>
      <c r="AE95" s="16"/>
      <c r="AF95" s="16"/>
      <c r="AG95" s="16"/>
      <c r="AH95" s="17"/>
      <c r="AI95" s="16"/>
      <c r="AJ95" s="16"/>
    </row>
    <row r="96" spans="1:36" s="26" customFormat="1" ht="13.5" customHeight="1">
      <c r="A96" s="187">
        <v>83</v>
      </c>
      <c r="B96" s="50">
        <v>42767</v>
      </c>
      <c r="C96" s="61">
        <f>VLOOKUP(B96,'base(indices)'!$A$4:$C$183,3,FALSE)</f>
        <v>937</v>
      </c>
      <c r="D96" s="192">
        <f>'base(indices)'!G89</f>
        <v>1.2647914899999999</v>
      </c>
      <c r="E96" s="54">
        <f t="shared" ref="E96:E106" si="68">C96*D96</f>
        <v>1185.1096261299999</v>
      </c>
      <c r="F96" s="82">
        <f>'base(indices)'!$I$147</f>
        <v>0.29920000000000002</v>
      </c>
      <c r="G96" s="54">
        <f t="shared" si="33"/>
        <v>354.584800138096</v>
      </c>
      <c r="H96" s="267">
        <f t="shared" si="34"/>
        <v>1539.6944262680959</v>
      </c>
      <c r="I96" s="359">
        <f t="shared" si="48"/>
        <v>135204.8393109288</v>
      </c>
      <c r="J96" s="58">
        <f>IF((I96-H$105+(H$105/12*11))+K96-(H96/2)&gt;$I$197,$I$197-K96,(I96-H$105+(H$105/12*11)-(H96/2)))</f>
        <v>76000.758974384822</v>
      </c>
      <c r="K96" s="91">
        <f t="shared" si="35"/>
        <v>8719.2410256151761</v>
      </c>
      <c r="L96" s="284">
        <f t="shared" si="50"/>
        <v>84720</v>
      </c>
      <c r="M96" s="57">
        <f t="shared" si="51"/>
        <v>72200.721025665582</v>
      </c>
      <c r="N96" s="91">
        <f t="shared" si="52"/>
        <v>8283.2789743344165</v>
      </c>
      <c r="O96" s="60">
        <f t="shared" si="53"/>
        <v>80484</v>
      </c>
      <c r="P96" s="58">
        <f t="shared" si="66"/>
        <v>68400.683076946341</v>
      </c>
      <c r="Q96" s="91">
        <f t="shared" si="55"/>
        <v>7847.3169230536587</v>
      </c>
      <c r="R96" s="59">
        <f t="shared" si="67"/>
        <v>76248</v>
      </c>
      <c r="S96" s="57">
        <f t="shared" si="57"/>
        <v>60800.607179507861</v>
      </c>
      <c r="T96" s="91">
        <f t="shared" si="58"/>
        <v>6975.3928204921413</v>
      </c>
      <c r="U96" s="60">
        <f t="shared" si="59"/>
        <v>67776</v>
      </c>
      <c r="V96" s="58">
        <f t="shared" si="60"/>
        <v>53200.531282069373</v>
      </c>
      <c r="W96" s="91">
        <f t="shared" si="61"/>
        <v>6103.4687179306229</v>
      </c>
      <c r="X96" s="59">
        <f t="shared" si="62"/>
        <v>59303.999999999993</v>
      </c>
      <c r="Y96" s="57">
        <f t="shared" si="63"/>
        <v>45600.455384630892</v>
      </c>
      <c r="Z96" s="91">
        <f t="shared" si="64"/>
        <v>5231.5446153691055</v>
      </c>
      <c r="AA96" s="59">
        <f t="shared" si="65"/>
        <v>50832</v>
      </c>
      <c r="AB96" s="381"/>
      <c r="AC96" s="32"/>
      <c r="AD96" s="32"/>
      <c r="AE96" s="32"/>
      <c r="AF96" s="32"/>
      <c r="AG96" s="32"/>
      <c r="AH96" s="33"/>
      <c r="AI96" s="32"/>
      <c r="AJ96" s="32"/>
    </row>
    <row r="97" spans="1:36" ht="13.5" customHeight="1">
      <c r="A97" s="187">
        <v>82</v>
      </c>
      <c r="B97" s="50">
        <v>42795</v>
      </c>
      <c r="C97" s="61">
        <f>VLOOKUP(B97,'base(indices)'!$A$4:$C$183,3,FALSE)</f>
        <v>937</v>
      </c>
      <c r="D97" s="192">
        <f>'base(indices)'!G90</f>
        <v>1.2579982999999999</v>
      </c>
      <c r="E97" s="63">
        <f t="shared" si="68"/>
        <v>1178.7444071</v>
      </c>
      <c r="F97" s="82">
        <f>'base(indices)'!$I$147</f>
        <v>0.29920000000000002</v>
      </c>
      <c r="G97" s="63">
        <f t="shared" si="33"/>
        <v>352.68032660432004</v>
      </c>
      <c r="H97" s="268">
        <f t="shared" si="34"/>
        <v>1531.42473370432</v>
      </c>
      <c r="I97" s="360">
        <f t="shared" si="48"/>
        <v>133665.14488466069</v>
      </c>
      <c r="J97" s="45">
        <f>IF((I97-H$105+(H$105/12*10))+K97-(H97/2)&gt;$I$197,$I$197-K97,(I97-H$105+(H$105/12*10)-(H97/2)))</f>
        <v>76000.758974384822</v>
      </c>
      <c r="K97" s="108">
        <f t="shared" si="35"/>
        <v>8719.2410256151761</v>
      </c>
      <c r="L97" s="46">
        <f t="shared" si="50"/>
        <v>84720</v>
      </c>
      <c r="M97" s="43">
        <f t="shared" si="51"/>
        <v>72200.721025665582</v>
      </c>
      <c r="N97" s="108">
        <f t="shared" si="52"/>
        <v>8283.2789743344165</v>
      </c>
      <c r="O97" s="47">
        <f t="shared" si="53"/>
        <v>80484</v>
      </c>
      <c r="P97" s="119">
        <f t="shared" si="66"/>
        <v>68400.683076946341</v>
      </c>
      <c r="Q97" s="108">
        <f t="shared" si="55"/>
        <v>7847.3169230536587</v>
      </c>
      <c r="R97" s="46">
        <f t="shared" si="67"/>
        <v>76248</v>
      </c>
      <c r="S97" s="43">
        <f t="shared" si="57"/>
        <v>60800.607179507861</v>
      </c>
      <c r="T97" s="108">
        <f t="shared" si="58"/>
        <v>6975.3928204921413</v>
      </c>
      <c r="U97" s="47">
        <f t="shared" si="59"/>
        <v>67776</v>
      </c>
      <c r="V97" s="45">
        <f t="shared" si="60"/>
        <v>53200.531282069373</v>
      </c>
      <c r="W97" s="108">
        <f t="shared" si="61"/>
        <v>6103.4687179306229</v>
      </c>
      <c r="X97" s="46">
        <f t="shared" si="62"/>
        <v>59303.999999999993</v>
      </c>
      <c r="Y97" s="43">
        <f t="shared" si="63"/>
        <v>45600.455384630892</v>
      </c>
      <c r="Z97" s="108">
        <f t="shared" si="64"/>
        <v>5231.5446153691055</v>
      </c>
      <c r="AA97" s="46">
        <f t="shared" si="65"/>
        <v>50832</v>
      </c>
      <c r="AB97" s="380"/>
      <c r="AC97" s="16"/>
      <c r="AD97" s="16"/>
      <c r="AE97" s="16"/>
      <c r="AF97" s="16"/>
      <c r="AG97" s="16"/>
      <c r="AH97" s="17"/>
      <c r="AI97" s="16"/>
      <c r="AJ97" s="16"/>
    </row>
    <row r="98" spans="1:36" s="26" customFormat="1" ht="13.5" customHeight="1">
      <c r="A98" s="187">
        <v>81</v>
      </c>
      <c r="B98" s="50">
        <v>42826</v>
      </c>
      <c r="C98" s="61">
        <f>VLOOKUP(B98,'base(indices)'!$A$4:$C$183,3,FALSE)</f>
        <v>937</v>
      </c>
      <c r="D98" s="192">
        <f>'base(indices)'!G91</f>
        <v>1.2561141300000001</v>
      </c>
      <c r="E98" s="54">
        <f t="shared" si="68"/>
        <v>1176.9789398100002</v>
      </c>
      <c r="F98" s="82">
        <f>'base(indices)'!$I$147</f>
        <v>0.29920000000000002</v>
      </c>
      <c r="G98" s="54">
        <f t="shared" si="33"/>
        <v>352.15209879115207</v>
      </c>
      <c r="H98" s="267">
        <f t="shared" si="34"/>
        <v>1529.1310386011523</v>
      </c>
      <c r="I98" s="359">
        <f t="shared" si="48"/>
        <v>132133.72015095636</v>
      </c>
      <c r="J98" s="58">
        <f>IF((I98-H$105+(H$105/12*9))+K98-(H98/2)&gt;$I$197,$I$197-K98,(I98-H$105+(H$105/12*9)-(H98/2)))</f>
        <v>76000.758974384822</v>
      </c>
      <c r="K98" s="91">
        <f t="shared" si="35"/>
        <v>8719.2410256151761</v>
      </c>
      <c r="L98" s="284">
        <f t="shared" si="50"/>
        <v>84720</v>
      </c>
      <c r="M98" s="57">
        <f t="shared" si="51"/>
        <v>72200.721025665582</v>
      </c>
      <c r="N98" s="91">
        <f t="shared" si="52"/>
        <v>8283.2789743344165</v>
      </c>
      <c r="O98" s="60">
        <f t="shared" si="53"/>
        <v>80484</v>
      </c>
      <c r="P98" s="58">
        <f t="shared" si="66"/>
        <v>68400.683076946341</v>
      </c>
      <c r="Q98" s="91">
        <f t="shared" si="55"/>
        <v>7847.3169230536587</v>
      </c>
      <c r="R98" s="59">
        <f t="shared" si="67"/>
        <v>76248</v>
      </c>
      <c r="S98" s="57">
        <f t="shared" si="57"/>
        <v>60800.607179507861</v>
      </c>
      <c r="T98" s="91">
        <f t="shared" si="58"/>
        <v>6975.3928204921413</v>
      </c>
      <c r="U98" s="60">
        <f t="shared" si="59"/>
        <v>67776</v>
      </c>
      <c r="V98" s="58">
        <f t="shared" si="60"/>
        <v>53200.531282069373</v>
      </c>
      <c r="W98" s="91">
        <f t="shared" si="61"/>
        <v>6103.4687179306229</v>
      </c>
      <c r="X98" s="59">
        <f t="shared" si="62"/>
        <v>59303.999999999993</v>
      </c>
      <c r="Y98" s="57">
        <f t="shared" si="63"/>
        <v>45600.455384630892</v>
      </c>
      <c r="Z98" s="91">
        <f t="shared" si="64"/>
        <v>5231.5446153691055</v>
      </c>
      <c r="AA98" s="59">
        <f t="shared" si="65"/>
        <v>50832</v>
      </c>
      <c r="AB98" s="381"/>
      <c r="AC98" s="32"/>
      <c r="AD98" s="32"/>
      <c r="AE98" s="32"/>
      <c r="AF98" s="32"/>
      <c r="AG98" s="32"/>
      <c r="AH98" s="33"/>
      <c r="AI98" s="32"/>
      <c r="AJ98" s="32"/>
    </row>
    <row r="99" spans="1:36" ht="13.5" customHeight="1">
      <c r="A99" s="187">
        <v>80</v>
      </c>
      <c r="B99" s="50">
        <v>42856</v>
      </c>
      <c r="C99" s="61">
        <f>VLOOKUP(B99,'base(indices)'!$A$4:$C$183,3,FALSE)</f>
        <v>937</v>
      </c>
      <c r="D99" s="192">
        <f>'base(indices)'!G92</f>
        <v>1.25348182</v>
      </c>
      <c r="E99" s="63">
        <f t="shared" si="68"/>
        <v>1174.5124653400001</v>
      </c>
      <c r="F99" s="82">
        <f>'base(indices)'!$I$147</f>
        <v>0.29920000000000002</v>
      </c>
      <c r="G99" s="63">
        <f t="shared" si="33"/>
        <v>351.41412962972805</v>
      </c>
      <c r="H99" s="268">
        <f t="shared" si="34"/>
        <v>1525.9265949697281</v>
      </c>
      <c r="I99" s="360">
        <f t="shared" si="48"/>
        <v>130604.58911235521</v>
      </c>
      <c r="J99" s="45">
        <f>IF((I99-H$105+(H$105/12*8))+K99-(H99/2)&gt;$I$197,$I$197-K99,(I99-H$105+(H$105/12*8)-(H99/2)))</f>
        <v>76000.758974384822</v>
      </c>
      <c r="K99" s="108">
        <f t="shared" si="35"/>
        <v>8719.2410256151761</v>
      </c>
      <c r="L99" s="46">
        <f t="shared" si="50"/>
        <v>84720</v>
      </c>
      <c r="M99" s="43">
        <f t="shared" si="51"/>
        <v>72200.721025665582</v>
      </c>
      <c r="N99" s="108">
        <f t="shared" si="52"/>
        <v>8283.2789743344165</v>
      </c>
      <c r="O99" s="47">
        <f t="shared" si="53"/>
        <v>80484</v>
      </c>
      <c r="P99" s="119">
        <f t="shared" si="66"/>
        <v>68400.683076946341</v>
      </c>
      <c r="Q99" s="108">
        <f t="shared" si="55"/>
        <v>7847.3169230536587</v>
      </c>
      <c r="R99" s="46">
        <f t="shared" si="67"/>
        <v>76248</v>
      </c>
      <c r="S99" s="43">
        <f t="shared" si="57"/>
        <v>60800.607179507861</v>
      </c>
      <c r="T99" s="108">
        <f t="shared" si="58"/>
        <v>6975.3928204921413</v>
      </c>
      <c r="U99" s="47">
        <f t="shared" si="59"/>
        <v>67776</v>
      </c>
      <c r="V99" s="45">
        <f t="shared" si="60"/>
        <v>53200.531282069373</v>
      </c>
      <c r="W99" s="108">
        <f t="shared" si="61"/>
        <v>6103.4687179306229</v>
      </c>
      <c r="X99" s="46">
        <f t="shared" si="62"/>
        <v>59303.999999999993</v>
      </c>
      <c r="Y99" s="43">
        <f t="shared" si="63"/>
        <v>45600.455384630892</v>
      </c>
      <c r="Z99" s="108">
        <f t="shared" si="64"/>
        <v>5231.5446153691055</v>
      </c>
      <c r="AA99" s="46">
        <f t="shared" si="65"/>
        <v>50832</v>
      </c>
      <c r="AB99" s="380"/>
      <c r="AC99" s="16"/>
      <c r="AD99" s="16"/>
      <c r="AE99" s="16"/>
      <c r="AF99" s="16"/>
      <c r="AG99" s="16"/>
      <c r="AH99" s="17"/>
      <c r="AI99" s="16"/>
      <c r="AJ99" s="16"/>
    </row>
    <row r="100" spans="1:36" s="26" customFormat="1" ht="13.5" customHeight="1">
      <c r="A100" s="187">
        <v>79</v>
      </c>
      <c r="B100" s="50">
        <v>42887</v>
      </c>
      <c r="C100" s="61">
        <f>VLOOKUP(B100,'base(indices)'!$A$4:$C$183,3,FALSE)</f>
        <v>937</v>
      </c>
      <c r="D100" s="192">
        <f>'base(indices)'!G93</f>
        <v>1.25048067</v>
      </c>
      <c r="E100" s="54">
        <f t="shared" si="68"/>
        <v>1171.7003877899999</v>
      </c>
      <c r="F100" s="82">
        <f>'base(indices)'!$I$147</f>
        <v>0.29920000000000002</v>
      </c>
      <c r="G100" s="54">
        <f t="shared" si="33"/>
        <v>350.57275602676799</v>
      </c>
      <c r="H100" s="267">
        <f t="shared" si="34"/>
        <v>1522.273143816768</v>
      </c>
      <c r="I100" s="359">
        <f t="shared" si="48"/>
        <v>129078.66251738548</v>
      </c>
      <c r="J100" s="58">
        <f>IF((I100-H$105+(H$105/12*7))+K100-(H100/2)&gt;$I$197,$I$197-K100,(I100-H$105+(H$105/12*7)-(H100/2)))</f>
        <v>76000.758974384822</v>
      </c>
      <c r="K100" s="91">
        <f t="shared" si="35"/>
        <v>8719.2410256151761</v>
      </c>
      <c r="L100" s="284">
        <f t="shared" si="50"/>
        <v>84720</v>
      </c>
      <c r="M100" s="57">
        <f t="shared" si="51"/>
        <v>72200.721025665582</v>
      </c>
      <c r="N100" s="91">
        <f t="shared" si="52"/>
        <v>8283.2789743344165</v>
      </c>
      <c r="O100" s="60">
        <f t="shared" si="53"/>
        <v>80484</v>
      </c>
      <c r="P100" s="58">
        <f t="shared" si="66"/>
        <v>68400.683076946341</v>
      </c>
      <c r="Q100" s="91">
        <f t="shared" si="55"/>
        <v>7847.3169230536587</v>
      </c>
      <c r="R100" s="59">
        <f t="shared" si="67"/>
        <v>76248</v>
      </c>
      <c r="S100" s="57">
        <f t="shared" si="57"/>
        <v>60800.607179507861</v>
      </c>
      <c r="T100" s="91">
        <f t="shared" si="58"/>
        <v>6975.3928204921413</v>
      </c>
      <c r="U100" s="60">
        <f t="shared" si="59"/>
        <v>67776</v>
      </c>
      <c r="V100" s="58">
        <f t="shared" si="60"/>
        <v>53200.531282069373</v>
      </c>
      <c r="W100" s="91">
        <f t="shared" si="61"/>
        <v>6103.4687179306229</v>
      </c>
      <c r="X100" s="59">
        <f t="shared" si="62"/>
        <v>59303.999999999993</v>
      </c>
      <c r="Y100" s="57">
        <f t="shared" si="63"/>
        <v>45600.455384630892</v>
      </c>
      <c r="Z100" s="91">
        <f t="shared" si="64"/>
        <v>5231.5446153691055</v>
      </c>
      <c r="AA100" s="59">
        <f t="shared" si="65"/>
        <v>50832</v>
      </c>
      <c r="AB100" s="381"/>
      <c r="AC100" s="32"/>
      <c r="AD100" s="32"/>
      <c r="AE100" s="32"/>
      <c r="AF100" s="32"/>
      <c r="AG100" s="32"/>
      <c r="AH100" s="33"/>
      <c r="AI100" s="32"/>
      <c r="AJ100" s="32"/>
    </row>
    <row r="101" spans="1:36" ht="13.5" customHeight="1">
      <c r="A101" s="187">
        <v>78</v>
      </c>
      <c r="B101" s="50">
        <v>42917</v>
      </c>
      <c r="C101" s="61">
        <f>VLOOKUP(B101,'base(indices)'!$A$4:$C$183,3,FALSE)</f>
        <v>937</v>
      </c>
      <c r="D101" s="192">
        <f>'base(indices)'!G94</f>
        <v>1.2484830899999999</v>
      </c>
      <c r="E101" s="63">
        <f t="shared" si="68"/>
        <v>1169.8286553299999</v>
      </c>
      <c r="F101" s="82">
        <f>'base(indices)'!$I$147</f>
        <v>0.29920000000000002</v>
      </c>
      <c r="G101" s="63">
        <f t="shared" si="33"/>
        <v>350.01273367473601</v>
      </c>
      <c r="H101" s="268">
        <f t="shared" si="34"/>
        <v>1519.8413890047359</v>
      </c>
      <c r="I101" s="360">
        <f t="shared" si="48"/>
        <v>127556.38937356872</v>
      </c>
      <c r="J101" s="45">
        <f>IF((I101-H$105+(H$105/12*6))+K101-(H101/2)&gt;$I$197,$I$197-K101,(I101-H$105+(H$105/12*6)-(H101/2)))</f>
        <v>76000.758974384822</v>
      </c>
      <c r="K101" s="108">
        <f t="shared" si="35"/>
        <v>8719.2410256151761</v>
      </c>
      <c r="L101" s="46">
        <f t="shared" si="50"/>
        <v>84720</v>
      </c>
      <c r="M101" s="43">
        <f t="shared" si="51"/>
        <v>72200.721025665582</v>
      </c>
      <c r="N101" s="108">
        <f t="shared" si="52"/>
        <v>8283.2789743344165</v>
      </c>
      <c r="O101" s="47">
        <f t="shared" si="53"/>
        <v>80484</v>
      </c>
      <c r="P101" s="119">
        <f t="shared" si="66"/>
        <v>68400.683076946341</v>
      </c>
      <c r="Q101" s="108">
        <f t="shared" si="55"/>
        <v>7847.3169230536587</v>
      </c>
      <c r="R101" s="46">
        <f t="shared" si="67"/>
        <v>76248</v>
      </c>
      <c r="S101" s="43">
        <f t="shared" si="57"/>
        <v>60800.607179507861</v>
      </c>
      <c r="T101" s="108">
        <f t="shared" si="58"/>
        <v>6975.3928204921413</v>
      </c>
      <c r="U101" s="47">
        <f t="shared" si="59"/>
        <v>67776</v>
      </c>
      <c r="V101" s="45">
        <f t="shared" si="60"/>
        <v>53200.531282069373</v>
      </c>
      <c r="W101" s="108">
        <f t="shared" si="61"/>
        <v>6103.4687179306229</v>
      </c>
      <c r="X101" s="46">
        <f t="shared" si="62"/>
        <v>59303.999999999993</v>
      </c>
      <c r="Y101" s="43">
        <f t="shared" si="63"/>
        <v>45600.455384630892</v>
      </c>
      <c r="Z101" s="108">
        <f t="shared" si="64"/>
        <v>5231.5446153691055</v>
      </c>
      <c r="AA101" s="46">
        <f t="shared" si="65"/>
        <v>50832</v>
      </c>
      <c r="AB101" s="380"/>
      <c r="AC101" s="16"/>
      <c r="AD101" s="16"/>
      <c r="AE101" s="16"/>
      <c r="AF101" s="16"/>
      <c r="AG101" s="16"/>
      <c r="AH101" s="17"/>
      <c r="AI101" s="16"/>
      <c r="AJ101" s="16"/>
    </row>
    <row r="102" spans="1:36" s="26" customFormat="1" ht="13.5" customHeight="1">
      <c r="A102" s="187">
        <v>77</v>
      </c>
      <c r="B102" s="50">
        <v>42948</v>
      </c>
      <c r="C102" s="61">
        <f>VLOOKUP(B102,'base(indices)'!$A$4:$C$183,3,FALSE)</f>
        <v>937</v>
      </c>
      <c r="D102" s="192">
        <f>'base(indices)'!G95</f>
        <v>1.2507344199999999</v>
      </c>
      <c r="E102" s="54">
        <f t="shared" si="68"/>
        <v>1171.9381515399998</v>
      </c>
      <c r="F102" s="82">
        <f>'base(indices)'!$I$147</f>
        <v>0.29920000000000002</v>
      </c>
      <c r="G102" s="54">
        <f t="shared" si="33"/>
        <v>350.64389494076795</v>
      </c>
      <c r="H102" s="267">
        <f t="shared" si="34"/>
        <v>1522.5820464807678</v>
      </c>
      <c r="I102" s="359">
        <f t="shared" si="48"/>
        <v>126036.54798456398</v>
      </c>
      <c r="J102" s="58">
        <f>IF((I102-H$105+(H$105/12*5))+K102-(H102/2)&gt;$I$197,$I$197-K102,(I102-H$105+(H$105/12*5)-(H102/2)))</f>
        <v>76000.758974384822</v>
      </c>
      <c r="K102" s="91">
        <f t="shared" si="35"/>
        <v>8719.2410256151761</v>
      </c>
      <c r="L102" s="284">
        <f t="shared" si="50"/>
        <v>84720</v>
      </c>
      <c r="M102" s="57">
        <f t="shared" si="51"/>
        <v>72200.721025665582</v>
      </c>
      <c r="N102" s="91">
        <f t="shared" si="52"/>
        <v>8283.2789743344165</v>
      </c>
      <c r="O102" s="60">
        <f t="shared" si="53"/>
        <v>80484</v>
      </c>
      <c r="P102" s="58">
        <f t="shared" si="66"/>
        <v>68400.683076946341</v>
      </c>
      <c r="Q102" s="91">
        <f t="shared" si="55"/>
        <v>7847.3169230536587</v>
      </c>
      <c r="R102" s="59">
        <f t="shared" si="67"/>
        <v>76248</v>
      </c>
      <c r="S102" s="57">
        <f t="shared" si="57"/>
        <v>60800.607179507861</v>
      </c>
      <c r="T102" s="91">
        <f t="shared" si="58"/>
        <v>6975.3928204921413</v>
      </c>
      <c r="U102" s="60">
        <f t="shared" si="59"/>
        <v>67776</v>
      </c>
      <c r="V102" s="58">
        <f t="shared" si="60"/>
        <v>53200.531282069373</v>
      </c>
      <c r="W102" s="91">
        <f t="shared" si="61"/>
        <v>6103.4687179306229</v>
      </c>
      <c r="X102" s="59">
        <f t="shared" si="62"/>
        <v>59303.999999999993</v>
      </c>
      <c r="Y102" s="57">
        <f t="shared" si="63"/>
        <v>45600.455384630892</v>
      </c>
      <c r="Z102" s="91">
        <f t="shared" si="64"/>
        <v>5231.5446153691055</v>
      </c>
      <c r="AA102" s="59">
        <f t="shared" si="65"/>
        <v>50832</v>
      </c>
      <c r="AB102" s="381"/>
      <c r="AC102" s="32"/>
      <c r="AD102" s="32"/>
      <c r="AE102" s="32"/>
      <c r="AF102" s="32"/>
      <c r="AG102" s="32"/>
      <c r="AH102" s="33"/>
      <c r="AI102" s="32"/>
      <c r="AJ102" s="32"/>
    </row>
    <row r="103" spans="1:36" ht="13.5" customHeight="1">
      <c r="A103" s="187">
        <v>76</v>
      </c>
      <c r="B103" s="50">
        <v>42979</v>
      </c>
      <c r="C103" s="61">
        <f>VLOOKUP(B103,'base(indices)'!$A$4:$C$183,3,FALSE)</f>
        <v>937</v>
      </c>
      <c r="D103" s="192">
        <f>'base(indices)'!G96</f>
        <v>1.24637211</v>
      </c>
      <c r="E103" s="63">
        <f t="shared" si="68"/>
        <v>1167.8506670700001</v>
      </c>
      <c r="F103" s="82">
        <f>'base(indices)'!$I$147</f>
        <v>0.29920000000000002</v>
      </c>
      <c r="G103" s="63">
        <f t="shared" si="33"/>
        <v>349.42091958734403</v>
      </c>
      <c r="H103" s="268">
        <f t="shared" si="34"/>
        <v>1517.2715866573442</v>
      </c>
      <c r="I103" s="360">
        <f t="shared" si="48"/>
        <v>124513.96593808322</v>
      </c>
      <c r="J103" s="45">
        <f>IF((I103-H$105+(H$105/12*4))+K103-(H103/2)&gt;$I$197,$I$197-K103,(I103-H$105+(H$105/12*4)-(H103/2)))</f>
        <v>76000.758974384822</v>
      </c>
      <c r="K103" s="108">
        <f t="shared" si="35"/>
        <v>8719.2410256151761</v>
      </c>
      <c r="L103" s="46">
        <f t="shared" si="50"/>
        <v>84720</v>
      </c>
      <c r="M103" s="43">
        <f t="shared" si="51"/>
        <v>72200.721025665582</v>
      </c>
      <c r="N103" s="108">
        <f t="shared" si="52"/>
        <v>8283.2789743344165</v>
      </c>
      <c r="O103" s="47">
        <f t="shared" si="53"/>
        <v>80484</v>
      </c>
      <c r="P103" s="119">
        <f t="shared" si="66"/>
        <v>68400.683076946341</v>
      </c>
      <c r="Q103" s="108">
        <f t="shared" si="55"/>
        <v>7847.3169230536587</v>
      </c>
      <c r="R103" s="46">
        <f t="shared" si="67"/>
        <v>76248</v>
      </c>
      <c r="S103" s="43">
        <f t="shared" si="57"/>
        <v>60800.607179507861</v>
      </c>
      <c r="T103" s="108">
        <f t="shared" si="58"/>
        <v>6975.3928204921413</v>
      </c>
      <c r="U103" s="47">
        <f t="shared" si="59"/>
        <v>67776</v>
      </c>
      <c r="V103" s="45">
        <f t="shared" si="60"/>
        <v>53200.531282069373</v>
      </c>
      <c r="W103" s="108">
        <f t="shared" si="61"/>
        <v>6103.4687179306229</v>
      </c>
      <c r="X103" s="46">
        <f t="shared" si="62"/>
        <v>59303.999999999993</v>
      </c>
      <c r="Y103" s="43">
        <f t="shared" si="63"/>
        <v>45600.455384630892</v>
      </c>
      <c r="Z103" s="108">
        <f t="shared" si="64"/>
        <v>5231.5446153691055</v>
      </c>
      <c r="AA103" s="46">
        <f t="shared" si="65"/>
        <v>50832</v>
      </c>
      <c r="AB103" s="380"/>
      <c r="AC103" s="16"/>
      <c r="AD103" s="16"/>
      <c r="AE103" s="16"/>
      <c r="AF103" s="16"/>
      <c r="AG103" s="16"/>
      <c r="AH103" s="17"/>
      <c r="AI103" s="16"/>
      <c r="AJ103" s="16"/>
    </row>
    <row r="104" spans="1:36" s="26" customFormat="1" ht="13.5" customHeight="1">
      <c r="A104" s="187">
        <v>75</v>
      </c>
      <c r="B104" s="50">
        <v>43009</v>
      </c>
      <c r="C104" s="61">
        <f>VLOOKUP(B104,'base(indices)'!$A$4:$C$183,3,FALSE)</f>
        <v>937</v>
      </c>
      <c r="D104" s="192">
        <f>'base(indices)'!G97</f>
        <v>1.24500261</v>
      </c>
      <c r="E104" s="54">
        <f t="shared" si="68"/>
        <v>1166.56744557</v>
      </c>
      <c r="F104" s="82">
        <f>'base(indices)'!$I$147</f>
        <v>0.29920000000000002</v>
      </c>
      <c r="G104" s="54">
        <f t="shared" si="33"/>
        <v>349.03697971454403</v>
      </c>
      <c r="H104" s="267">
        <f t="shared" si="34"/>
        <v>1515.604425284544</v>
      </c>
      <c r="I104" s="359">
        <f t="shared" si="48"/>
        <v>122996.69435142587</v>
      </c>
      <c r="J104" s="58">
        <f>IF((I104-H$105+(H$105/12*3))+K104-(H104/2)&gt;$I$197,$I$197-K104,(I104-H$105+(H$105/12*3)-(H104/2)))</f>
        <v>76000.758974384822</v>
      </c>
      <c r="K104" s="91">
        <f t="shared" si="35"/>
        <v>8719.2410256151761</v>
      </c>
      <c r="L104" s="284">
        <f t="shared" si="50"/>
        <v>84720</v>
      </c>
      <c r="M104" s="57">
        <f t="shared" si="51"/>
        <v>72200.721025665582</v>
      </c>
      <c r="N104" s="91">
        <f t="shared" si="52"/>
        <v>8283.2789743344165</v>
      </c>
      <c r="O104" s="60">
        <f t="shared" si="53"/>
        <v>80484</v>
      </c>
      <c r="P104" s="58">
        <f t="shared" si="66"/>
        <v>68400.683076946341</v>
      </c>
      <c r="Q104" s="91">
        <f t="shared" si="55"/>
        <v>7847.3169230536587</v>
      </c>
      <c r="R104" s="59">
        <f t="shared" si="67"/>
        <v>76248</v>
      </c>
      <c r="S104" s="57">
        <f t="shared" si="57"/>
        <v>60800.607179507861</v>
      </c>
      <c r="T104" s="91">
        <f t="shared" si="58"/>
        <v>6975.3928204921413</v>
      </c>
      <c r="U104" s="60">
        <f t="shared" si="59"/>
        <v>67776</v>
      </c>
      <c r="V104" s="58">
        <f t="shared" si="60"/>
        <v>53200.531282069373</v>
      </c>
      <c r="W104" s="91">
        <f t="shared" si="61"/>
        <v>6103.4687179306229</v>
      </c>
      <c r="X104" s="59">
        <f t="shared" si="62"/>
        <v>59303.999999999993</v>
      </c>
      <c r="Y104" s="57">
        <f t="shared" si="63"/>
        <v>45600.455384630892</v>
      </c>
      <c r="Z104" s="91">
        <f t="shared" si="64"/>
        <v>5231.5446153691055</v>
      </c>
      <c r="AA104" s="59">
        <f t="shared" si="65"/>
        <v>50832</v>
      </c>
      <c r="AB104" s="381"/>
      <c r="AC104" s="32"/>
      <c r="AD104" s="32"/>
      <c r="AE104" s="32"/>
      <c r="AF104" s="32"/>
      <c r="AG104" s="32"/>
      <c r="AH104" s="33"/>
      <c r="AI104" s="32"/>
      <c r="AJ104" s="32"/>
    </row>
    <row r="105" spans="1:36" ht="13.5" customHeight="1">
      <c r="A105" s="187">
        <v>74</v>
      </c>
      <c r="B105" s="50">
        <v>43040</v>
      </c>
      <c r="C105" s="61">
        <f>VLOOKUP(B105,'base(indices)'!$A$4:$C$183,3,FALSE)</f>
        <v>937</v>
      </c>
      <c r="D105" s="192">
        <f>'base(indices)'!G98</f>
        <v>1.24078394</v>
      </c>
      <c r="E105" s="63">
        <f t="shared" si="68"/>
        <v>1162.6145517800001</v>
      </c>
      <c r="F105" s="82">
        <f>'base(indices)'!$I$147</f>
        <v>0.29920000000000002</v>
      </c>
      <c r="G105" s="63">
        <f t="shared" si="33"/>
        <v>347.85427389257603</v>
      </c>
      <c r="H105" s="268">
        <f t="shared" si="34"/>
        <v>1510.468825672576</v>
      </c>
      <c r="I105" s="360">
        <f t="shared" si="48"/>
        <v>121481.08992614133</v>
      </c>
      <c r="J105" s="45">
        <f>IF((I105-H$105+(H$105/12*2))+K105-(H105/2)&gt;$I$197,$I$197-K105,(I105-H$105+(H$105/12*2)-(H105/2)))</f>
        <v>76000.758974384822</v>
      </c>
      <c r="K105" s="108">
        <f t="shared" si="35"/>
        <v>8719.2410256151761</v>
      </c>
      <c r="L105" s="46">
        <f t="shared" si="50"/>
        <v>84720</v>
      </c>
      <c r="M105" s="43">
        <f t="shared" si="51"/>
        <v>72200.721025665582</v>
      </c>
      <c r="N105" s="108">
        <f>K105*M$9</f>
        <v>8283.2789743344165</v>
      </c>
      <c r="O105" s="47">
        <f t="shared" si="53"/>
        <v>80484</v>
      </c>
      <c r="P105" s="119">
        <f t="shared" si="66"/>
        <v>68400.683076946341</v>
      </c>
      <c r="Q105" s="108">
        <f t="shared" si="55"/>
        <v>7847.3169230536587</v>
      </c>
      <c r="R105" s="46">
        <f t="shared" si="67"/>
        <v>76248</v>
      </c>
      <c r="S105" s="43">
        <f t="shared" si="57"/>
        <v>60800.607179507861</v>
      </c>
      <c r="T105" s="108">
        <f t="shared" si="58"/>
        <v>6975.3928204921413</v>
      </c>
      <c r="U105" s="47">
        <f t="shared" si="59"/>
        <v>67776</v>
      </c>
      <c r="V105" s="45">
        <f t="shared" si="60"/>
        <v>53200.531282069373</v>
      </c>
      <c r="W105" s="108">
        <f t="shared" si="61"/>
        <v>6103.4687179306229</v>
      </c>
      <c r="X105" s="46">
        <f t="shared" si="62"/>
        <v>59303.999999999993</v>
      </c>
      <c r="Y105" s="43">
        <f t="shared" si="63"/>
        <v>45600.455384630892</v>
      </c>
      <c r="Z105" s="108">
        <f t="shared" si="64"/>
        <v>5231.5446153691055</v>
      </c>
      <c r="AA105" s="46">
        <f t="shared" si="65"/>
        <v>50832</v>
      </c>
      <c r="AB105" s="380"/>
      <c r="AC105" s="16"/>
      <c r="AD105" s="16"/>
      <c r="AE105" s="16"/>
      <c r="AF105" s="16"/>
      <c r="AG105" s="16"/>
      <c r="AH105" s="17"/>
      <c r="AI105" s="16"/>
      <c r="AJ105" s="16"/>
    </row>
    <row r="106" spans="1:36" s="26" customFormat="1" ht="13.5" customHeight="1" thickBot="1">
      <c r="A106" s="305">
        <v>73</v>
      </c>
      <c r="B106" s="247">
        <v>43070</v>
      </c>
      <c r="C106" s="142">
        <f>C105*2</f>
        <v>1874</v>
      </c>
      <c r="D106" s="343">
        <f>'base(indices)'!G99</f>
        <v>1.2368261</v>
      </c>
      <c r="E106" s="170">
        <f t="shared" si="68"/>
        <v>2317.8121114</v>
      </c>
      <c r="F106" s="307">
        <f>'base(indices)'!$I$147</f>
        <v>0.29920000000000002</v>
      </c>
      <c r="G106" s="170">
        <f t="shared" si="33"/>
        <v>693.48938373088004</v>
      </c>
      <c r="H106" s="368">
        <f t="shared" si="34"/>
        <v>3011.3014951308801</v>
      </c>
      <c r="I106" s="384">
        <f t="shared" si="48"/>
        <v>119970.62110046875</v>
      </c>
      <c r="J106" s="285">
        <f>IF((I106-H$105+(H$105/12*1))+K106-(H106/4)&gt;$I$197,$I$197-K106,(I106-H$105+(H$105/12*1)-(H106/4)))</f>
        <v>76000.758974384822</v>
      </c>
      <c r="K106" s="202">
        <f t="shared" si="35"/>
        <v>8719.2410256151761</v>
      </c>
      <c r="L106" s="286">
        <f t="shared" si="50"/>
        <v>84720</v>
      </c>
      <c r="M106" s="282">
        <f t="shared" si="51"/>
        <v>72200.721025665582</v>
      </c>
      <c r="N106" s="202">
        <f t="shared" si="52"/>
        <v>8283.2789743344165</v>
      </c>
      <c r="O106" s="289">
        <f t="shared" si="53"/>
        <v>80484</v>
      </c>
      <c r="P106" s="285">
        <f t="shared" si="66"/>
        <v>68400.683076946341</v>
      </c>
      <c r="Q106" s="202">
        <f t="shared" si="55"/>
        <v>7847.3169230536587</v>
      </c>
      <c r="R106" s="203">
        <f t="shared" si="67"/>
        <v>76248</v>
      </c>
      <c r="S106" s="282">
        <f t="shared" si="57"/>
        <v>60800.607179507861</v>
      </c>
      <c r="T106" s="202">
        <f t="shared" si="58"/>
        <v>6975.3928204921413</v>
      </c>
      <c r="U106" s="289">
        <f t="shared" si="59"/>
        <v>67776</v>
      </c>
      <c r="V106" s="285">
        <f t="shared" si="60"/>
        <v>53200.531282069373</v>
      </c>
      <c r="W106" s="202">
        <f t="shared" si="61"/>
        <v>6103.4687179306229</v>
      </c>
      <c r="X106" s="203">
        <f t="shared" si="62"/>
        <v>59303.999999999993</v>
      </c>
      <c r="Y106" s="282">
        <f t="shared" si="63"/>
        <v>45600.455384630892</v>
      </c>
      <c r="Z106" s="202">
        <f t="shared" si="64"/>
        <v>5231.5446153691055</v>
      </c>
      <c r="AA106" s="203">
        <f t="shared" si="65"/>
        <v>50832</v>
      </c>
      <c r="AB106" s="381"/>
      <c r="AC106" s="32"/>
      <c r="AD106" s="32"/>
      <c r="AE106" s="32"/>
      <c r="AF106" s="32"/>
      <c r="AG106" s="32"/>
      <c r="AH106" s="33"/>
      <c r="AI106" s="32"/>
      <c r="AJ106" s="32"/>
    </row>
    <row r="107" spans="1:36" ht="13.5" customHeight="1">
      <c r="A107" s="190">
        <v>72</v>
      </c>
      <c r="B107" s="136">
        <v>43101</v>
      </c>
      <c r="C107" s="120">
        <f>VLOOKUP(B107,'base(indices)'!$A$4:$C$183,3,FALSE)</f>
        <v>954</v>
      </c>
      <c r="D107" s="193">
        <f>'base(indices)'!G100</f>
        <v>1.2325123099999999</v>
      </c>
      <c r="E107" s="78">
        <f>C107*D107</f>
        <v>1175.81674374</v>
      </c>
      <c r="F107" s="79">
        <f>'base(indices)'!$I$147</f>
        <v>0.29920000000000002</v>
      </c>
      <c r="G107" s="78">
        <f t="shared" si="33"/>
        <v>351.80436972700801</v>
      </c>
      <c r="H107" s="266">
        <f t="shared" si="34"/>
        <v>1527.6211134670079</v>
      </c>
      <c r="I107" s="413">
        <f t="shared" si="48"/>
        <v>116959.31960533786</v>
      </c>
      <c r="J107" s="48">
        <f>IF((I107-H$117+(H$117))+K107-(H107/2)&gt;$I$197,$I$197-K107,(I107-H$117+(H$117)-(H107/2)))</f>
        <v>76000.758974384822</v>
      </c>
      <c r="K107" s="109">
        <f t="shared" ref="K107:K138" si="69">I$196</f>
        <v>8719.2410256151761</v>
      </c>
      <c r="L107" s="49">
        <f t="shared" si="50"/>
        <v>84720</v>
      </c>
      <c r="M107" s="138">
        <f t="shared" si="51"/>
        <v>72200.721025665582</v>
      </c>
      <c r="N107" s="109">
        <f t="shared" si="52"/>
        <v>8283.2789743344165</v>
      </c>
      <c r="O107" s="139">
        <f t="shared" si="53"/>
        <v>80484</v>
      </c>
      <c r="P107" s="291">
        <f t="shared" si="66"/>
        <v>68400.683076946341</v>
      </c>
      <c r="Q107" s="109">
        <f t="shared" si="55"/>
        <v>7847.3169230536587</v>
      </c>
      <c r="R107" s="49">
        <f t="shared" si="67"/>
        <v>76248</v>
      </c>
      <c r="S107" s="138">
        <f t="shared" si="57"/>
        <v>60800.607179507861</v>
      </c>
      <c r="T107" s="109">
        <f t="shared" si="58"/>
        <v>6975.3928204921413</v>
      </c>
      <c r="U107" s="139">
        <f t="shared" si="59"/>
        <v>67776</v>
      </c>
      <c r="V107" s="48">
        <f t="shared" si="60"/>
        <v>53200.531282069373</v>
      </c>
      <c r="W107" s="109">
        <f t="shared" si="61"/>
        <v>6103.4687179306229</v>
      </c>
      <c r="X107" s="49">
        <f t="shared" si="62"/>
        <v>59303.999999999993</v>
      </c>
      <c r="Y107" s="138">
        <f t="shared" si="63"/>
        <v>45600.455384630892</v>
      </c>
      <c r="Z107" s="109">
        <f t="shared" si="64"/>
        <v>5231.5446153691055</v>
      </c>
      <c r="AA107" s="49">
        <f t="shared" si="65"/>
        <v>50832</v>
      </c>
      <c r="AB107" s="380"/>
      <c r="AC107" s="16"/>
      <c r="AD107" s="16"/>
      <c r="AE107" s="16"/>
      <c r="AF107" s="16"/>
      <c r="AG107" s="16"/>
      <c r="AH107" s="17"/>
      <c r="AI107" s="16"/>
      <c r="AJ107" s="16"/>
    </row>
    <row r="108" spans="1:36" s="26" customFormat="1" ht="13.5" customHeight="1">
      <c r="A108" s="187">
        <v>71</v>
      </c>
      <c r="B108" s="50">
        <v>43132</v>
      </c>
      <c r="C108" s="61">
        <f>VLOOKUP(B108,'base(indices)'!$A$4:$C$183,3,FALSE)</f>
        <v>954</v>
      </c>
      <c r="D108" s="192">
        <f>'base(indices)'!G101</f>
        <v>1.2277241800000001</v>
      </c>
      <c r="E108" s="54">
        <f t="shared" ref="E108:E118" si="70">C108*D108</f>
        <v>1171.2488677200001</v>
      </c>
      <c r="F108" s="82">
        <f>'base(indices)'!$I$147</f>
        <v>0.29920000000000002</v>
      </c>
      <c r="G108" s="54">
        <f t="shared" si="33"/>
        <v>350.43766122182404</v>
      </c>
      <c r="H108" s="267">
        <f t="shared" si="34"/>
        <v>1521.6865289418242</v>
      </c>
      <c r="I108" s="414">
        <f t="shared" si="48"/>
        <v>115431.69849187086</v>
      </c>
      <c r="J108" s="58">
        <f>IF((I108-H$117+(H$117/12*11))+K108-(H108/2)&gt;$I$197,$I$197-K108,(I108-H$117+(H$117/12*11)-(H108/2)))</f>
        <v>76000.758974384822</v>
      </c>
      <c r="K108" s="91">
        <f t="shared" si="69"/>
        <v>8719.2410256151761</v>
      </c>
      <c r="L108" s="284">
        <f t="shared" si="50"/>
        <v>84720</v>
      </c>
      <c r="M108" s="57">
        <f t="shared" si="51"/>
        <v>72200.721025665582</v>
      </c>
      <c r="N108" s="91">
        <f t="shared" si="52"/>
        <v>8283.2789743344165</v>
      </c>
      <c r="O108" s="60">
        <f t="shared" si="53"/>
        <v>80484</v>
      </c>
      <c r="P108" s="58">
        <f>J108*$P$9</f>
        <v>68400.683076946341</v>
      </c>
      <c r="Q108" s="91">
        <f t="shared" si="55"/>
        <v>7847.3169230536587</v>
      </c>
      <c r="R108" s="59">
        <f t="shared" si="67"/>
        <v>76248</v>
      </c>
      <c r="S108" s="57">
        <f t="shared" si="57"/>
        <v>60800.607179507861</v>
      </c>
      <c r="T108" s="91">
        <f t="shared" si="58"/>
        <v>6975.3928204921413</v>
      </c>
      <c r="U108" s="60">
        <f t="shared" si="59"/>
        <v>67776</v>
      </c>
      <c r="V108" s="58">
        <f t="shared" si="60"/>
        <v>53200.531282069373</v>
      </c>
      <c r="W108" s="91">
        <f t="shared" si="61"/>
        <v>6103.4687179306229</v>
      </c>
      <c r="X108" s="59">
        <f t="shared" si="62"/>
        <v>59303.999999999993</v>
      </c>
      <c r="Y108" s="57">
        <f t="shared" si="63"/>
        <v>45600.455384630892</v>
      </c>
      <c r="Z108" s="91">
        <f t="shared" si="64"/>
        <v>5231.5446153691055</v>
      </c>
      <c r="AA108" s="59">
        <f t="shared" si="65"/>
        <v>50832</v>
      </c>
      <c r="AB108" s="381"/>
      <c r="AC108" s="32"/>
      <c r="AD108" s="32"/>
      <c r="AE108" s="32"/>
      <c r="AF108" s="32"/>
      <c r="AG108" s="32"/>
      <c r="AH108" s="33"/>
      <c r="AI108" s="32"/>
      <c r="AJ108" s="32"/>
    </row>
    <row r="109" spans="1:36" ht="13.5" customHeight="1">
      <c r="A109" s="187">
        <v>70</v>
      </c>
      <c r="B109" s="50">
        <v>43160</v>
      </c>
      <c r="C109" s="61">
        <f>VLOOKUP(B109,'base(indices)'!$A$4:$C$183,3,FALSE)</f>
        <v>954</v>
      </c>
      <c r="D109" s="192">
        <f>'base(indices)'!G102</f>
        <v>1.22307649</v>
      </c>
      <c r="E109" s="63">
        <f t="shared" si="70"/>
        <v>1166.8149714599999</v>
      </c>
      <c r="F109" s="82">
        <f>'base(indices)'!$I$147</f>
        <v>0.29920000000000002</v>
      </c>
      <c r="G109" s="63">
        <f t="shared" si="33"/>
        <v>349.11103946083199</v>
      </c>
      <c r="H109" s="268">
        <f t="shared" si="34"/>
        <v>1515.9260109208319</v>
      </c>
      <c r="I109" s="415">
        <f t="shared" si="48"/>
        <v>113910.01196292904</v>
      </c>
      <c r="J109" s="45">
        <f>IF((I109-H$117+(H$117/12*10))+K109-(H109/2)&gt;$I$197,$I$197-K109,(I109-H$117+(H$117/12*10)-(H109/2)))</f>
        <v>76000.758974384822</v>
      </c>
      <c r="K109" s="108">
        <f t="shared" si="69"/>
        <v>8719.2410256151761</v>
      </c>
      <c r="L109" s="46">
        <f t="shared" si="50"/>
        <v>84720</v>
      </c>
      <c r="M109" s="43">
        <f t="shared" si="51"/>
        <v>72200.721025665582</v>
      </c>
      <c r="N109" s="108">
        <f t="shared" si="52"/>
        <v>8283.2789743344165</v>
      </c>
      <c r="O109" s="47">
        <f t="shared" si="53"/>
        <v>80484</v>
      </c>
      <c r="P109" s="119">
        <f>J109*$P$9</f>
        <v>68400.683076946341</v>
      </c>
      <c r="Q109" s="108">
        <f t="shared" si="55"/>
        <v>7847.3169230536587</v>
      </c>
      <c r="R109" s="46">
        <f t="shared" si="67"/>
        <v>76248</v>
      </c>
      <c r="S109" s="43">
        <f t="shared" si="57"/>
        <v>60800.607179507861</v>
      </c>
      <c r="T109" s="108">
        <f t="shared" si="58"/>
        <v>6975.3928204921413</v>
      </c>
      <c r="U109" s="47">
        <f t="shared" si="59"/>
        <v>67776</v>
      </c>
      <c r="V109" s="45">
        <f t="shared" si="60"/>
        <v>53200.531282069373</v>
      </c>
      <c r="W109" s="108">
        <f t="shared" si="61"/>
        <v>6103.4687179306229</v>
      </c>
      <c r="X109" s="46">
        <f t="shared" si="62"/>
        <v>59303.999999999993</v>
      </c>
      <c r="Y109" s="43">
        <f t="shared" si="63"/>
        <v>45600.455384630892</v>
      </c>
      <c r="Z109" s="108">
        <f t="shared" si="64"/>
        <v>5231.5446153691055</v>
      </c>
      <c r="AA109" s="46">
        <f t="shared" si="65"/>
        <v>50832</v>
      </c>
      <c r="AB109" s="380"/>
      <c r="AC109" s="16"/>
      <c r="AD109" s="16"/>
      <c r="AE109" s="16"/>
      <c r="AF109" s="16"/>
      <c r="AG109" s="16"/>
      <c r="AH109" s="17"/>
      <c r="AI109" s="16"/>
      <c r="AJ109" s="16"/>
    </row>
    <row r="110" spans="1:36" s="26" customFormat="1" ht="13.5" customHeight="1">
      <c r="A110" s="187">
        <v>69</v>
      </c>
      <c r="B110" s="50">
        <v>43191</v>
      </c>
      <c r="C110" s="61">
        <f>VLOOKUP(B110,'base(indices)'!$A$4:$C$183,3,FALSE)</f>
        <v>954</v>
      </c>
      <c r="D110" s="192">
        <f>'base(indices)'!G103</f>
        <v>1.2218546400000001</v>
      </c>
      <c r="E110" s="54">
        <f t="shared" si="70"/>
        <v>1165.6493265600002</v>
      </c>
      <c r="F110" s="82">
        <f>'base(indices)'!$I$147</f>
        <v>0.29920000000000002</v>
      </c>
      <c r="G110" s="54">
        <f t="shared" si="33"/>
        <v>348.76227850675207</v>
      </c>
      <c r="H110" s="267">
        <f t="shared" si="34"/>
        <v>1514.4116050667521</v>
      </c>
      <c r="I110" s="414">
        <f t="shared" si="48"/>
        <v>112394.08595200822</v>
      </c>
      <c r="J110" s="58">
        <f>IF((I110-H$117+(H$117/12*9))+K110-(H110/2)&gt;$I$197,$I$197-K110,(I110-H$117+(H$117/12*9)-(H110/2)))</f>
        <v>76000.758974384822</v>
      </c>
      <c r="K110" s="91">
        <f t="shared" si="69"/>
        <v>8719.2410256151761</v>
      </c>
      <c r="L110" s="284">
        <f t="shared" si="50"/>
        <v>84720</v>
      </c>
      <c r="M110" s="57">
        <f t="shared" si="51"/>
        <v>72200.721025665582</v>
      </c>
      <c r="N110" s="91">
        <f t="shared" si="52"/>
        <v>8283.2789743344165</v>
      </c>
      <c r="O110" s="60">
        <f t="shared" si="53"/>
        <v>80484</v>
      </c>
      <c r="P110" s="58">
        <f t="shared" ref="P110:P166" si="71">J110*$P$9</f>
        <v>68400.683076946341</v>
      </c>
      <c r="Q110" s="91">
        <f t="shared" si="55"/>
        <v>7847.3169230536587</v>
      </c>
      <c r="R110" s="59">
        <f>P110+Q110</f>
        <v>76248</v>
      </c>
      <c r="S110" s="57">
        <f t="shared" si="57"/>
        <v>60800.607179507861</v>
      </c>
      <c r="T110" s="91">
        <f t="shared" si="58"/>
        <v>6975.3928204921413</v>
      </c>
      <c r="U110" s="60">
        <f t="shared" si="59"/>
        <v>67776</v>
      </c>
      <c r="V110" s="58">
        <f t="shared" si="60"/>
        <v>53200.531282069373</v>
      </c>
      <c r="W110" s="91">
        <f t="shared" si="61"/>
        <v>6103.4687179306229</v>
      </c>
      <c r="X110" s="59">
        <f t="shared" si="62"/>
        <v>59303.999999999993</v>
      </c>
      <c r="Y110" s="57">
        <f t="shared" si="63"/>
        <v>45600.455384630892</v>
      </c>
      <c r="Z110" s="91">
        <f t="shared" si="64"/>
        <v>5231.5446153691055</v>
      </c>
      <c r="AA110" s="59">
        <f t="shared" si="65"/>
        <v>50832</v>
      </c>
      <c r="AB110" s="381"/>
      <c r="AC110" s="32"/>
      <c r="AD110" s="32"/>
      <c r="AE110" s="32"/>
      <c r="AF110" s="32"/>
      <c r="AG110" s="32"/>
      <c r="AH110" s="33"/>
      <c r="AI110" s="32"/>
      <c r="AJ110" s="32"/>
    </row>
    <row r="111" spans="1:36" ht="13.5" customHeight="1">
      <c r="A111" s="187">
        <v>68</v>
      </c>
      <c r="B111" s="50">
        <v>43221</v>
      </c>
      <c r="C111" s="61">
        <f>VLOOKUP(B111,'base(indices)'!$A$4:$C$183,3,FALSE)</f>
        <v>954</v>
      </c>
      <c r="D111" s="192">
        <f>'base(indices)'!G104</f>
        <v>1.21929412</v>
      </c>
      <c r="E111" s="63">
        <f t="shared" si="70"/>
        <v>1163.2065904799999</v>
      </c>
      <c r="F111" s="82">
        <f>'base(indices)'!$I$147</f>
        <v>0.29920000000000002</v>
      </c>
      <c r="G111" s="63">
        <f t="shared" si="33"/>
        <v>348.031411871616</v>
      </c>
      <c r="H111" s="268">
        <f t="shared" si="34"/>
        <v>1511.2380023516159</v>
      </c>
      <c r="I111" s="415">
        <f t="shared" si="48"/>
        <v>110879.67434694147</v>
      </c>
      <c r="J111" s="45">
        <f>IF((I111-H$117+(H$117/12*8))+K111-(H111/2)&gt;$I$197,$I$197-K111,(I111-H$117+(H$117/12*8)-(H111/2)))</f>
        <v>76000.758974384822</v>
      </c>
      <c r="K111" s="108">
        <f t="shared" si="69"/>
        <v>8719.2410256151761</v>
      </c>
      <c r="L111" s="46">
        <f t="shared" si="50"/>
        <v>84720</v>
      </c>
      <c r="M111" s="43">
        <f t="shared" si="51"/>
        <v>72200.721025665582</v>
      </c>
      <c r="N111" s="108">
        <f t="shared" si="52"/>
        <v>8283.2789743344165</v>
      </c>
      <c r="O111" s="47">
        <f t="shared" si="53"/>
        <v>80484</v>
      </c>
      <c r="P111" s="119">
        <f t="shared" si="71"/>
        <v>68400.683076946341</v>
      </c>
      <c r="Q111" s="108">
        <f t="shared" si="55"/>
        <v>7847.3169230536587</v>
      </c>
      <c r="R111" s="46">
        <f t="shared" ref="R111:R166" si="72">P111+Q111</f>
        <v>76248</v>
      </c>
      <c r="S111" s="43">
        <f t="shared" si="57"/>
        <v>60800.607179507861</v>
      </c>
      <c r="T111" s="108">
        <f t="shared" si="58"/>
        <v>6975.3928204921413</v>
      </c>
      <c r="U111" s="47">
        <f t="shared" si="59"/>
        <v>67776</v>
      </c>
      <c r="V111" s="45">
        <f t="shared" si="60"/>
        <v>53200.531282069373</v>
      </c>
      <c r="W111" s="108">
        <f t="shared" si="61"/>
        <v>6103.4687179306229</v>
      </c>
      <c r="X111" s="46">
        <f t="shared" si="62"/>
        <v>59303.999999999993</v>
      </c>
      <c r="Y111" s="43">
        <f t="shared" si="63"/>
        <v>45600.455384630892</v>
      </c>
      <c r="Z111" s="108">
        <f t="shared" si="64"/>
        <v>5231.5446153691055</v>
      </c>
      <c r="AA111" s="46">
        <f t="shared" si="65"/>
        <v>50832</v>
      </c>
      <c r="AB111" s="380"/>
      <c r="AC111" s="16"/>
      <c r="AD111" s="16"/>
      <c r="AE111" s="16"/>
      <c r="AF111" s="16"/>
      <c r="AG111" s="16"/>
      <c r="AH111" s="17"/>
      <c r="AI111" s="16"/>
      <c r="AJ111" s="16"/>
    </row>
    <row r="112" spans="1:36" s="26" customFormat="1" ht="13.5" customHeight="1">
      <c r="A112" s="187">
        <v>67</v>
      </c>
      <c r="B112" s="50">
        <v>43252</v>
      </c>
      <c r="C112" s="61">
        <f>VLOOKUP(B112,'base(indices)'!$A$4:$C$183,3,FALSE)</f>
        <v>954</v>
      </c>
      <c r="D112" s="192">
        <f>'base(indices)'!G105</f>
        <v>1.2175895000000001</v>
      </c>
      <c r="E112" s="54">
        <f t="shared" si="70"/>
        <v>1161.5803830000002</v>
      </c>
      <c r="F112" s="82">
        <f>'base(indices)'!$I$147</f>
        <v>0.29920000000000002</v>
      </c>
      <c r="G112" s="54">
        <f t="shared" si="33"/>
        <v>347.54485059360007</v>
      </c>
      <c r="H112" s="267">
        <f t="shared" si="34"/>
        <v>1509.1252335936003</v>
      </c>
      <c r="I112" s="414">
        <f t="shared" si="48"/>
        <v>109368.43634458985</v>
      </c>
      <c r="J112" s="58">
        <f>IF((I112-H$117+(H$117/12*7))+K112-(H112/2)&gt;$I$197,$I$197-K112,(I112-H$117+(H$117/12*7)-(H112/2)))</f>
        <v>76000.758974384822</v>
      </c>
      <c r="K112" s="91">
        <f t="shared" si="69"/>
        <v>8719.2410256151761</v>
      </c>
      <c r="L112" s="284">
        <f t="shared" si="50"/>
        <v>84720</v>
      </c>
      <c r="M112" s="57">
        <f t="shared" si="51"/>
        <v>72200.721025665582</v>
      </c>
      <c r="N112" s="91">
        <f t="shared" si="52"/>
        <v>8283.2789743344165</v>
      </c>
      <c r="O112" s="60">
        <f t="shared" si="53"/>
        <v>80484</v>
      </c>
      <c r="P112" s="58">
        <f t="shared" si="71"/>
        <v>68400.683076946341</v>
      </c>
      <c r="Q112" s="91">
        <f t="shared" si="55"/>
        <v>7847.3169230536587</v>
      </c>
      <c r="R112" s="59">
        <f t="shared" si="72"/>
        <v>76248</v>
      </c>
      <c r="S112" s="57">
        <f t="shared" si="57"/>
        <v>60800.607179507861</v>
      </c>
      <c r="T112" s="91">
        <f t="shared" si="58"/>
        <v>6975.3928204921413</v>
      </c>
      <c r="U112" s="60">
        <f t="shared" si="59"/>
        <v>67776</v>
      </c>
      <c r="V112" s="58">
        <f t="shared" si="60"/>
        <v>53200.531282069373</v>
      </c>
      <c r="W112" s="91">
        <f t="shared" si="61"/>
        <v>6103.4687179306229</v>
      </c>
      <c r="X112" s="59">
        <f t="shared" si="62"/>
        <v>59303.999999999993</v>
      </c>
      <c r="Y112" s="57">
        <f t="shared" si="63"/>
        <v>45600.455384630892</v>
      </c>
      <c r="Z112" s="91">
        <f t="shared" si="64"/>
        <v>5231.5446153691055</v>
      </c>
      <c r="AA112" s="59">
        <f t="shared" si="65"/>
        <v>50832</v>
      </c>
      <c r="AB112" s="381"/>
      <c r="AC112" s="32"/>
      <c r="AD112" s="32"/>
      <c r="AE112" s="32"/>
      <c r="AF112" s="32"/>
      <c r="AG112" s="32"/>
      <c r="AH112" s="33"/>
      <c r="AI112" s="32"/>
      <c r="AJ112" s="32"/>
    </row>
    <row r="113" spans="1:36" ht="13.5" customHeight="1">
      <c r="A113" s="187">
        <v>66</v>
      </c>
      <c r="B113" s="50">
        <v>43282</v>
      </c>
      <c r="C113" s="61">
        <f>VLOOKUP(B113,'base(indices)'!$A$4:$C$183,3,FALSE)</f>
        <v>954</v>
      </c>
      <c r="D113" s="192">
        <f>'base(indices)'!G106</f>
        <v>1.2042226199999999</v>
      </c>
      <c r="E113" s="63">
        <f t="shared" si="70"/>
        <v>1148.82837948</v>
      </c>
      <c r="F113" s="82">
        <f>'base(indices)'!$I$147</f>
        <v>0.29920000000000002</v>
      </c>
      <c r="G113" s="63">
        <f t="shared" si="33"/>
        <v>343.72945114041602</v>
      </c>
      <c r="H113" s="268">
        <f t="shared" si="34"/>
        <v>1492.5578306204161</v>
      </c>
      <c r="I113" s="415">
        <f t="shared" si="48"/>
        <v>107859.31111099625</v>
      </c>
      <c r="J113" s="45">
        <f>IF((I113-H$117+(H$117/12*6))+K113-(H113/2)&gt;$I$197,$I$197-K113,(I113-H$117+(H$117/12*6)-(H113/2)))</f>
        <v>76000.758974384822</v>
      </c>
      <c r="K113" s="108">
        <f t="shared" si="69"/>
        <v>8719.2410256151761</v>
      </c>
      <c r="L113" s="46">
        <f t="shared" si="50"/>
        <v>84720</v>
      </c>
      <c r="M113" s="43">
        <f t="shared" si="51"/>
        <v>72200.721025665582</v>
      </c>
      <c r="N113" s="108">
        <f t="shared" si="52"/>
        <v>8283.2789743344165</v>
      </c>
      <c r="O113" s="47">
        <f t="shared" si="53"/>
        <v>80484</v>
      </c>
      <c r="P113" s="119">
        <f t="shared" si="71"/>
        <v>68400.683076946341</v>
      </c>
      <c r="Q113" s="108">
        <f t="shared" si="55"/>
        <v>7847.3169230536587</v>
      </c>
      <c r="R113" s="46">
        <f t="shared" si="72"/>
        <v>76248</v>
      </c>
      <c r="S113" s="43">
        <f t="shared" si="57"/>
        <v>60800.607179507861</v>
      </c>
      <c r="T113" s="108">
        <f t="shared" si="58"/>
        <v>6975.3928204921413</v>
      </c>
      <c r="U113" s="47">
        <f t="shared" si="59"/>
        <v>67776</v>
      </c>
      <c r="V113" s="45">
        <f t="shared" si="60"/>
        <v>53200.531282069373</v>
      </c>
      <c r="W113" s="108">
        <f t="shared" si="61"/>
        <v>6103.4687179306229</v>
      </c>
      <c r="X113" s="46">
        <f t="shared" si="62"/>
        <v>59303.999999999993</v>
      </c>
      <c r="Y113" s="43">
        <f t="shared" si="63"/>
        <v>45600.455384630892</v>
      </c>
      <c r="Z113" s="108">
        <f t="shared" si="64"/>
        <v>5231.5446153691055</v>
      </c>
      <c r="AA113" s="46">
        <f t="shared" si="65"/>
        <v>50832</v>
      </c>
      <c r="AB113" s="380"/>
      <c r="AC113" s="16"/>
      <c r="AD113" s="16"/>
      <c r="AE113" s="16"/>
      <c r="AF113" s="16"/>
      <c r="AG113" s="16"/>
      <c r="AH113" s="17"/>
      <c r="AI113" s="16"/>
      <c r="AJ113" s="16"/>
    </row>
    <row r="114" spans="1:36" s="26" customFormat="1" ht="13.5" customHeight="1">
      <c r="A114" s="187">
        <v>65</v>
      </c>
      <c r="B114" s="50">
        <v>43313</v>
      </c>
      <c r="C114" s="61">
        <f>VLOOKUP(B114,'base(indices)'!$A$4:$C$183,3,FALSE)</f>
        <v>954</v>
      </c>
      <c r="D114" s="192">
        <f>'base(indices)'!G107</f>
        <v>1.19656461</v>
      </c>
      <c r="E114" s="54">
        <f t="shared" si="70"/>
        <v>1141.5226379400001</v>
      </c>
      <c r="F114" s="82">
        <f>'base(indices)'!$I$147</f>
        <v>0.29920000000000002</v>
      </c>
      <c r="G114" s="54">
        <f t="shared" si="33"/>
        <v>341.54357327164803</v>
      </c>
      <c r="H114" s="267">
        <f t="shared" si="34"/>
        <v>1483.0662112116481</v>
      </c>
      <c r="I114" s="414">
        <f t="shared" si="48"/>
        <v>106366.75328037584</v>
      </c>
      <c r="J114" s="58">
        <f>IF((I114-H$117+(H$117/12*5))+K114-(H114/2)&gt;$I$197,$I$197-K114,(I114-H$117+(H$117/12*5)-(H114/2)))</f>
        <v>76000.758974384822</v>
      </c>
      <c r="K114" s="91">
        <f t="shared" si="69"/>
        <v>8719.2410256151761</v>
      </c>
      <c r="L114" s="284">
        <f t="shared" si="50"/>
        <v>84720</v>
      </c>
      <c r="M114" s="57">
        <f t="shared" si="51"/>
        <v>72200.721025665582</v>
      </c>
      <c r="N114" s="91">
        <f t="shared" si="52"/>
        <v>8283.2789743344165</v>
      </c>
      <c r="O114" s="60">
        <f t="shared" si="53"/>
        <v>80484</v>
      </c>
      <c r="P114" s="58">
        <f t="shared" si="71"/>
        <v>68400.683076946341</v>
      </c>
      <c r="Q114" s="91">
        <f t="shared" si="55"/>
        <v>7847.3169230536587</v>
      </c>
      <c r="R114" s="59">
        <f t="shared" si="72"/>
        <v>76248</v>
      </c>
      <c r="S114" s="57">
        <f t="shared" si="57"/>
        <v>60800.607179507861</v>
      </c>
      <c r="T114" s="91">
        <f t="shared" si="58"/>
        <v>6975.3928204921413</v>
      </c>
      <c r="U114" s="60">
        <f t="shared" si="59"/>
        <v>67776</v>
      </c>
      <c r="V114" s="58">
        <f t="shared" si="60"/>
        <v>53200.531282069373</v>
      </c>
      <c r="W114" s="91">
        <f t="shared" si="61"/>
        <v>6103.4687179306229</v>
      </c>
      <c r="X114" s="59">
        <f t="shared" si="62"/>
        <v>59303.999999999993</v>
      </c>
      <c r="Y114" s="57">
        <f t="shared" si="63"/>
        <v>45600.455384630892</v>
      </c>
      <c r="Z114" s="91">
        <f t="shared" si="64"/>
        <v>5231.5446153691055</v>
      </c>
      <c r="AA114" s="59">
        <f t="shared" si="65"/>
        <v>50832</v>
      </c>
      <c r="AB114" s="381"/>
      <c r="AC114" s="32"/>
      <c r="AD114" s="32"/>
      <c r="AE114" s="32"/>
      <c r="AF114" s="32"/>
      <c r="AG114" s="32"/>
      <c r="AH114" s="33"/>
      <c r="AI114" s="32"/>
      <c r="AJ114" s="32"/>
    </row>
    <row r="115" spans="1:36" ht="13.5" customHeight="1">
      <c r="A115" s="187">
        <v>64</v>
      </c>
      <c r="B115" s="50">
        <v>43344</v>
      </c>
      <c r="C115" s="61">
        <f>VLOOKUP(B115,'base(indices)'!$A$4:$C$183,3,FALSE)</f>
        <v>954</v>
      </c>
      <c r="D115" s="192">
        <f>'base(indices)'!G108</f>
        <v>1.1950111000000001</v>
      </c>
      <c r="E115" s="63">
        <f t="shared" si="70"/>
        <v>1140.0405894</v>
      </c>
      <c r="F115" s="82">
        <f>'base(indices)'!$I$147</f>
        <v>0.29920000000000002</v>
      </c>
      <c r="G115" s="63">
        <f t="shared" si="33"/>
        <v>341.10014434848006</v>
      </c>
      <c r="H115" s="268">
        <f t="shared" si="34"/>
        <v>1481.1407337484802</v>
      </c>
      <c r="I115" s="415">
        <f t="shared" si="48"/>
        <v>104883.68706916418</v>
      </c>
      <c r="J115" s="45">
        <f>IF((I115-H$117+(H$117/12*4))+K115-(H115/2)&gt;$I$197,$I$197-K115,(I115-H$117+(H$117/12*4)-(H115/2)))</f>
        <v>76000.758974384822</v>
      </c>
      <c r="K115" s="108">
        <f t="shared" si="69"/>
        <v>8719.2410256151761</v>
      </c>
      <c r="L115" s="46">
        <f t="shared" si="50"/>
        <v>84720</v>
      </c>
      <c r="M115" s="43">
        <f t="shared" si="51"/>
        <v>72200.721025665582</v>
      </c>
      <c r="N115" s="108">
        <f t="shared" si="52"/>
        <v>8283.2789743344165</v>
      </c>
      <c r="O115" s="47">
        <f t="shared" si="53"/>
        <v>80484</v>
      </c>
      <c r="P115" s="119">
        <f t="shared" si="71"/>
        <v>68400.683076946341</v>
      </c>
      <c r="Q115" s="108">
        <f t="shared" si="55"/>
        <v>7847.3169230536587</v>
      </c>
      <c r="R115" s="46">
        <f t="shared" si="72"/>
        <v>76248</v>
      </c>
      <c r="S115" s="43">
        <f t="shared" si="57"/>
        <v>60800.607179507861</v>
      </c>
      <c r="T115" s="108">
        <f t="shared" si="58"/>
        <v>6975.3928204921413</v>
      </c>
      <c r="U115" s="47">
        <f t="shared" si="59"/>
        <v>67776</v>
      </c>
      <c r="V115" s="45">
        <f t="shared" si="60"/>
        <v>53200.531282069373</v>
      </c>
      <c r="W115" s="108">
        <f t="shared" si="61"/>
        <v>6103.4687179306229</v>
      </c>
      <c r="X115" s="46">
        <f t="shared" si="62"/>
        <v>59303.999999999993</v>
      </c>
      <c r="Y115" s="43">
        <f t="shared" si="63"/>
        <v>45600.455384630892</v>
      </c>
      <c r="Z115" s="108">
        <f t="shared" si="64"/>
        <v>5231.5446153691055</v>
      </c>
      <c r="AA115" s="46">
        <f t="shared" si="65"/>
        <v>50832</v>
      </c>
      <c r="AB115" s="380"/>
      <c r="AC115" s="16"/>
      <c r="AD115" s="16"/>
      <c r="AE115" s="16"/>
      <c r="AF115" s="16"/>
      <c r="AG115" s="16"/>
      <c r="AH115" s="17"/>
      <c r="AI115" s="16"/>
      <c r="AJ115" s="16"/>
    </row>
    <row r="116" spans="1:36" s="26" customFormat="1" ht="13.5" customHeight="1">
      <c r="A116" s="187">
        <v>63</v>
      </c>
      <c r="B116" s="50">
        <v>43374</v>
      </c>
      <c r="C116" s="61">
        <f>VLOOKUP(B116,'base(indices)'!$A$4:$C$183,3,FALSE)</f>
        <v>954</v>
      </c>
      <c r="D116" s="192">
        <f>'base(indices)'!G109</f>
        <v>1.1939365500000001</v>
      </c>
      <c r="E116" s="54">
        <f t="shared" si="70"/>
        <v>1139.0154687000002</v>
      </c>
      <c r="F116" s="82">
        <f>'base(indices)'!$I$147</f>
        <v>0.29920000000000002</v>
      </c>
      <c r="G116" s="54">
        <f t="shared" si="33"/>
        <v>340.7934282350401</v>
      </c>
      <c r="H116" s="267">
        <f t="shared" si="34"/>
        <v>1479.8088969350401</v>
      </c>
      <c r="I116" s="414">
        <f t="shared" si="48"/>
        <v>103402.5463354157</v>
      </c>
      <c r="J116" s="58">
        <f>IF((I116-H$117+(H$117/12*3))+K116-(H116/2)&gt;$I$197,$I$197-K116,(I116-H$117+(H$117/12*3)-(H116/2)))</f>
        <v>76000.758974384822</v>
      </c>
      <c r="K116" s="91">
        <f t="shared" si="69"/>
        <v>8719.2410256151761</v>
      </c>
      <c r="L116" s="284">
        <f t="shared" si="50"/>
        <v>84720</v>
      </c>
      <c r="M116" s="57">
        <f t="shared" si="51"/>
        <v>72200.721025665582</v>
      </c>
      <c r="N116" s="91">
        <f t="shared" si="52"/>
        <v>8283.2789743344165</v>
      </c>
      <c r="O116" s="60">
        <f t="shared" si="53"/>
        <v>80484</v>
      </c>
      <c r="P116" s="58">
        <f t="shared" si="71"/>
        <v>68400.683076946341</v>
      </c>
      <c r="Q116" s="91">
        <f t="shared" si="55"/>
        <v>7847.3169230536587</v>
      </c>
      <c r="R116" s="59">
        <f t="shared" si="72"/>
        <v>76248</v>
      </c>
      <c r="S116" s="57">
        <f t="shared" si="57"/>
        <v>60800.607179507861</v>
      </c>
      <c r="T116" s="91">
        <f t="shared" si="58"/>
        <v>6975.3928204921413</v>
      </c>
      <c r="U116" s="60">
        <f t="shared" si="59"/>
        <v>67776</v>
      </c>
      <c r="V116" s="58">
        <f t="shared" si="60"/>
        <v>53200.531282069373</v>
      </c>
      <c r="W116" s="91">
        <f t="shared" si="61"/>
        <v>6103.4687179306229</v>
      </c>
      <c r="X116" s="59">
        <f t="shared" si="62"/>
        <v>59303.999999999993</v>
      </c>
      <c r="Y116" s="57">
        <f t="shared" si="63"/>
        <v>45600.455384630892</v>
      </c>
      <c r="Z116" s="91">
        <f t="shared" si="64"/>
        <v>5231.5446153691055</v>
      </c>
      <c r="AA116" s="59">
        <f t="shared" si="65"/>
        <v>50832</v>
      </c>
      <c r="AB116" s="381"/>
      <c r="AC116" s="32"/>
      <c r="AD116" s="32"/>
      <c r="AE116" s="32"/>
      <c r="AF116" s="32"/>
      <c r="AG116" s="32"/>
      <c r="AH116" s="33"/>
      <c r="AI116" s="32"/>
      <c r="AJ116" s="32"/>
    </row>
    <row r="117" spans="1:36" ht="13.5" customHeight="1">
      <c r="A117" s="187">
        <v>62</v>
      </c>
      <c r="B117" s="50">
        <v>43405</v>
      </c>
      <c r="C117" s="61">
        <f>VLOOKUP(B117,'base(indices)'!$A$4:$C$183,3,FALSE)</f>
        <v>954</v>
      </c>
      <c r="D117" s="192">
        <f>'base(indices)'!G110</f>
        <v>1.1870516499999999</v>
      </c>
      <c r="E117" s="63">
        <f t="shared" si="70"/>
        <v>1132.4472741</v>
      </c>
      <c r="F117" s="82">
        <f>'base(indices)'!$I$147</f>
        <v>0.29920000000000002</v>
      </c>
      <c r="G117" s="63">
        <f t="shared" si="33"/>
        <v>338.82822441072</v>
      </c>
      <c r="H117" s="268">
        <f t="shared" si="34"/>
        <v>1471.2754985107199</v>
      </c>
      <c r="I117" s="415">
        <f t="shared" si="48"/>
        <v>101922.73743848066</v>
      </c>
      <c r="J117" s="45">
        <f>IF((I117-H$117+(H$117/12*2))+K117-(H117/2)&gt;$I$197,$I$197-K117,(I117-H$117+(H$117/12*2)-(H117/2)))</f>
        <v>76000.758974384822</v>
      </c>
      <c r="K117" s="108">
        <f t="shared" si="69"/>
        <v>8719.2410256151761</v>
      </c>
      <c r="L117" s="46">
        <f t="shared" si="50"/>
        <v>84720</v>
      </c>
      <c r="M117" s="43">
        <f t="shared" si="51"/>
        <v>72200.721025665582</v>
      </c>
      <c r="N117" s="108">
        <f t="shared" si="52"/>
        <v>8283.2789743344165</v>
      </c>
      <c r="O117" s="47">
        <f t="shared" si="53"/>
        <v>80484</v>
      </c>
      <c r="P117" s="119">
        <f t="shared" si="71"/>
        <v>68400.683076946341</v>
      </c>
      <c r="Q117" s="108">
        <f t="shared" si="55"/>
        <v>7847.3169230536587</v>
      </c>
      <c r="R117" s="46">
        <f t="shared" si="72"/>
        <v>76248</v>
      </c>
      <c r="S117" s="43">
        <f t="shared" si="57"/>
        <v>60800.607179507861</v>
      </c>
      <c r="T117" s="108">
        <f t="shared" si="58"/>
        <v>6975.3928204921413</v>
      </c>
      <c r="U117" s="47">
        <f t="shared" si="59"/>
        <v>67776</v>
      </c>
      <c r="V117" s="45">
        <f t="shared" si="60"/>
        <v>53200.531282069373</v>
      </c>
      <c r="W117" s="108">
        <f t="shared" si="61"/>
        <v>6103.4687179306229</v>
      </c>
      <c r="X117" s="46">
        <f t="shared" si="62"/>
        <v>59303.999999999993</v>
      </c>
      <c r="Y117" s="43">
        <f t="shared" si="63"/>
        <v>45600.455384630892</v>
      </c>
      <c r="Z117" s="108">
        <f t="shared" si="64"/>
        <v>5231.5446153691055</v>
      </c>
      <c r="AA117" s="46">
        <f t="shared" si="65"/>
        <v>50832</v>
      </c>
      <c r="AB117" s="380"/>
      <c r="AC117" s="16"/>
      <c r="AD117" s="16"/>
      <c r="AE117" s="16"/>
      <c r="AF117" s="16"/>
      <c r="AG117" s="16"/>
      <c r="AH117" s="17"/>
      <c r="AI117" s="16"/>
      <c r="AJ117" s="16"/>
    </row>
    <row r="118" spans="1:36" s="26" customFormat="1" ht="13.5" customHeight="1" thickBot="1">
      <c r="A118" s="188">
        <v>61</v>
      </c>
      <c r="B118" s="68">
        <v>43435</v>
      </c>
      <c r="C118" s="69">
        <f>C117*2</f>
        <v>1908</v>
      </c>
      <c r="D118" s="335">
        <f>'base(indices)'!G111</f>
        <v>1.18480053</v>
      </c>
      <c r="E118" s="163">
        <f t="shared" si="70"/>
        <v>2260.5994112399999</v>
      </c>
      <c r="F118" s="304">
        <f>'base(indices)'!$I$147</f>
        <v>0.29920000000000002</v>
      </c>
      <c r="G118" s="163">
        <f t="shared" si="33"/>
        <v>676.37134384300805</v>
      </c>
      <c r="H118" s="355">
        <f t="shared" si="34"/>
        <v>2936.970755083008</v>
      </c>
      <c r="I118" s="416">
        <f t="shared" si="48"/>
        <v>100451.46193996994</v>
      </c>
      <c r="J118" s="175">
        <f>IF((I118-H$117+(H$117/12*1))+K118-(H118/4)&gt;$I$197,$I$197-K118,(I118-H$117+(H$117/12*1)-(H118/4)))</f>
        <v>76000.758974384822</v>
      </c>
      <c r="K118" s="86">
        <f t="shared" si="69"/>
        <v>8719.2410256151761</v>
      </c>
      <c r="L118" s="287">
        <f t="shared" si="50"/>
        <v>84720</v>
      </c>
      <c r="M118" s="85">
        <f t="shared" si="51"/>
        <v>72200.721025665582</v>
      </c>
      <c r="N118" s="86">
        <f t="shared" si="52"/>
        <v>8283.2789743344165</v>
      </c>
      <c r="O118" s="107">
        <f t="shared" si="53"/>
        <v>80484</v>
      </c>
      <c r="P118" s="175">
        <f t="shared" si="71"/>
        <v>68400.683076946341</v>
      </c>
      <c r="Q118" s="86">
        <f t="shared" si="55"/>
        <v>7847.3169230536587</v>
      </c>
      <c r="R118" s="165">
        <f t="shared" si="72"/>
        <v>76248</v>
      </c>
      <c r="S118" s="85">
        <f t="shared" si="57"/>
        <v>60800.607179507861</v>
      </c>
      <c r="T118" s="86">
        <f t="shared" si="58"/>
        <v>6975.3928204921413</v>
      </c>
      <c r="U118" s="107">
        <f t="shared" si="59"/>
        <v>67776</v>
      </c>
      <c r="V118" s="175">
        <f t="shared" si="60"/>
        <v>53200.531282069373</v>
      </c>
      <c r="W118" s="86">
        <f t="shared" si="61"/>
        <v>6103.4687179306229</v>
      </c>
      <c r="X118" s="165">
        <f t="shared" si="62"/>
        <v>59303.999999999993</v>
      </c>
      <c r="Y118" s="85">
        <f t="shared" si="63"/>
        <v>45600.455384630892</v>
      </c>
      <c r="Z118" s="86">
        <f t="shared" si="64"/>
        <v>5231.5446153691055</v>
      </c>
      <c r="AA118" s="165">
        <f t="shared" si="65"/>
        <v>50832</v>
      </c>
      <c r="AB118" s="381"/>
      <c r="AC118" s="32"/>
      <c r="AD118" s="32"/>
      <c r="AE118" s="32"/>
      <c r="AF118" s="32"/>
      <c r="AG118" s="32"/>
      <c r="AH118" s="33"/>
      <c r="AI118" s="32"/>
      <c r="AJ118" s="32"/>
    </row>
    <row r="119" spans="1:36" ht="13.5" customHeight="1">
      <c r="A119" s="217">
        <v>60</v>
      </c>
      <c r="B119" s="246">
        <v>43466</v>
      </c>
      <c r="C119" s="273">
        <f>VLOOKUP(B119,'base(indices)'!$A$4:$C$183,3,FALSE)</f>
        <v>998</v>
      </c>
      <c r="D119" s="195">
        <f>'base(indices)'!G112</f>
        <v>1.18669925</v>
      </c>
      <c r="E119" s="154">
        <f>C119*D119</f>
        <v>1184.3258515</v>
      </c>
      <c r="F119" s="42">
        <f>'base(indices)'!$I$147</f>
        <v>0.29920000000000002</v>
      </c>
      <c r="G119" s="154">
        <f t="shared" si="33"/>
        <v>354.35029476880004</v>
      </c>
      <c r="H119" s="362">
        <f t="shared" si="34"/>
        <v>1538.6761462688</v>
      </c>
      <c r="I119" s="401">
        <f t="shared" si="48"/>
        <v>97514.491184886938</v>
      </c>
      <c r="J119" s="288">
        <f>IF((I119-H$129+(H$129))+K119-(H119/2)&gt;$I$197,$I$197-K119,(I119-H$129+(H$129)-(H119/2)))</f>
        <v>76000.758974384822</v>
      </c>
      <c r="K119" s="156">
        <f t="shared" si="69"/>
        <v>8719.2410256151761</v>
      </c>
      <c r="L119" s="150">
        <f t="shared" si="50"/>
        <v>84720</v>
      </c>
      <c r="M119" s="283">
        <f t="shared" si="51"/>
        <v>72200.721025665582</v>
      </c>
      <c r="N119" s="156">
        <f t="shared" si="52"/>
        <v>8283.2789743344165</v>
      </c>
      <c r="O119" s="290">
        <f t="shared" si="53"/>
        <v>80484</v>
      </c>
      <c r="P119" s="292">
        <f t="shared" si="71"/>
        <v>68400.683076946341</v>
      </c>
      <c r="Q119" s="156">
        <f t="shared" si="55"/>
        <v>7847.3169230536587</v>
      </c>
      <c r="R119" s="150">
        <f t="shared" si="72"/>
        <v>76248</v>
      </c>
      <c r="S119" s="283">
        <f t="shared" si="57"/>
        <v>60800.607179507861</v>
      </c>
      <c r="T119" s="156">
        <f t="shared" si="58"/>
        <v>6975.3928204921413</v>
      </c>
      <c r="U119" s="290">
        <f t="shared" si="59"/>
        <v>67776</v>
      </c>
      <c r="V119" s="288">
        <f t="shared" si="60"/>
        <v>53200.531282069373</v>
      </c>
      <c r="W119" s="156">
        <f t="shared" si="61"/>
        <v>6103.4687179306229</v>
      </c>
      <c r="X119" s="150">
        <f t="shared" si="62"/>
        <v>59303.999999999993</v>
      </c>
      <c r="Y119" s="283">
        <f t="shared" si="63"/>
        <v>45600.455384630892</v>
      </c>
      <c r="Z119" s="156">
        <f t="shared" si="64"/>
        <v>5231.5446153691055</v>
      </c>
      <c r="AA119" s="150">
        <f t="shared" si="65"/>
        <v>50832</v>
      </c>
      <c r="AB119" s="380"/>
      <c r="AC119" s="16"/>
      <c r="AD119" s="16"/>
      <c r="AE119" s="16"/>
      <c r="AF119" s="16"/>
      <c r="AG119" s="16"/>
      <c r="AH119" s="17"/>
      <c r="AI119" s="16"/>
      <c r="AJ119" s="16"/>
    </row>
    <row r="120" spans="1:36" s="26" customFormat="1" ht="13.5" customHeight="1">
      <c r="A120" s="187">
        <v>59</v>
      </c>
      <c r="B120" s="50">
        <v>43497</v>
      </c>
      <c r="C120" s="61">
        <f>VLOOKUP(B120,'base(indices)'!$A$4:$C$183,3,FALSE)</f>
        <v>998</v>
      </c>
      <c r="D120" s="192">
        <f>'base(indices)'!G113</f>
        <v>1.1831498</v>
      </c>
      <c r="E120" s="54">
        <f t="shared" ref="E120:E130" si="73">C120*D120</f>
        <v>1180.7835004000001</v>
      </c>
      <c r="F120" s="82">
        <f>'base(indices)'!$I$147</f>
        <v>0.29920000000000002</v>
      </c>
      <c r="G120" s="54">
        <f t="shared" si="33"/>
        <v>353.29042331968003</v>
      </c>
      <c r="H120" s="267">
        <f t="shared" si="34"/>
        <v>1534.0739237196801</v>
      </c>
      <c r="I120" s="359">
        <f t="shared" si="48"/>
        <v>95975.815038618137</v>
      </c>
      <c r="J120" s="58">
        <f>IF((I120-H$129+(H$129/12*11))+K120-(H120/2)&gt;$I$197,$I$197-K120,(I120-H$129+(H$129/12*11)-(H120/2)))</f>
        <v>76000.758974384822</v>
      </c>
      <c r="K120" s="91">
        <f t="shared" si="69"/>
        <v>8719.2410256151761</v>
      </c>
      <c r="L120" s="284">
        <f t="shared" si="50"/>
        <v>84720</v>
      </c>
      <c r="M120" s="57">
        <f t="shared" si="51"/>
        <v>72200.721025665582</v>
      </c>
      <c r="N120" s="91">
        <f t="shared" si="52"/>
        <v>8283.2789743344165</v>
      </c>
      <c r="O120" s="60">
        <f t="shared" si="53"/>
        <v>80484</v>
      </c>
      <c r="P120" s="58">
        <f t="shared" si="71"/>
        <v>68400.683076946341</v>
      </c>
      <c r="Q120" s="91">
        <f t="shared" si="55"/>
        <v>7847.3169230536587</v>
      </c>
      <c r="R120" s="59">
        <f t="shared" si="72"/>
        <v>76248</v>
      </c>
      <c r="S120" s="57">
        <f t="shared" si="57"/>
        <v>60800.607179507861</v>
      </c>
      <c r="T120" s="91">
        <f t="shared" si="58"/>
        <v>6975.3928204921413</v>
      </c>
      <c r="U120" s="60">
        <f t="shared" si="59"/>
        <v>67776</v>
      </c>
      <c r="V120" s="58">
        <f t="shared" si="60"/>
        <v>53200.531282069373</v>
      </c>
      <c r="W120" s="91">
        <f t="shared" si="61"/>
        <v>6103.4687179306229</v>
      </c>
      <c r="X120" s="59">
        <f t="shared" si="62"/>
        <v>59303.999999999993</v>
      </c>
      <c r="Y120" s="57">
        <f t="shared" si="63"/>
        <v>45600.455384630892</v>
      </c>
      <c r="Z120" s="91">
        <f t="shared" si="64"/>
        <v>5231.5446153691055</v>
      </c>
      <c r="AA120" s="59">
        <f t="shared" si="65"/>
        <v>50832</v>
      </c>
      <c r="AB120" s="381"/>
      <c r="AC120" s="32"/>
      <c r="AD120" s="32"/>
      <c r="AE120" s="32"/>
      <c r="AF120" s="32"/>
      <c r="AG120" s="32"/>
      <c r="AH120" s="33"/>
      <c r="AI120" s="32"/>
      <c r="AJ120" s="32"/>
    </row>
    <row r="121" spans="1:36" ht="13.5" customHeight="1">
      <c r="A121" s="187">
        <v>58</v>
      </c>
      <c r="B121" s="50">
        <v>43525</v>
      </c>
      <c r="C121" s="61">
        <f>VLOOKUP(B121,'base(indices)'!$A$4:$C$183,3,FALSE)</f>
        <v>998</v>
      </c>
      <c r="D121" s="192">
        <f>'base(indices)'!G114</f>
        <v>1.1791407199999999</v>
      </c>
      <c r="E121" s="63">
        <f t="shared" si="73"/>
        <v>1176.7824385599999</v>
      </c>
      <c r="F121" s="82">
        <f>'base(indices)'!$I$147</f>
        <v>0.29920000000000002</v>
      </c>
      <c r="G121" s="63">
        <f t="shared" si="33"/>
        <v>352.093305617152</v>
      </c>
      <c r="H121" s="268">
        <f t="shared" si="34"/>
        <v>1528.875744177152</v>
      </c>
      <c r="I121" s="360">
        <f t="shared" si="48"/>
        <v>94441.741114898454</v>
      </c>
      <c r="J121" s="45">
        <f>IF((I121-H$129+(H$129/12*10))+K121-(H121/2)&gt;$I$197,$I$197-K121,(I121-H$129+(H$129/12*10)-(H121/2)))</f>
        <v>76000.758974384822</v>
      </c>
      <c r="K121" s="108">
        <f t="shared" si="69"/>
        <v>8719.2410256151761</v>
      </c>
      <c r="L121" s="46">
        <f t="shared" si="50"/>
        <v>84720</v>
      </c>
      <c r="M121" s="43">
        <f t="shared" si="51"/>
        <v>72200.721025665582</v>
      </c>
      <c r="N121" s="108">
        <f t="shared" si="52"/>
        <v>8283.2789743344165</v>
      </c>
      <c r="O121" s="47">
        <f t="shared" si="53"/>
        <v>80484</v>
      </c>
      <c r="P121" s="119">
        <f t="shared" si="71"/>
        <v>68400.683076946341</v>
      </c>
      <c r="Q121" s="108">
        <f t="shared" si="55"/>
        <v>7847.3169230536587</v>
      </c>
      <c r="R121" s="46">
        <f t="shared" si="72"/>
        <v>76248</v>
      </c>
      <c r="S121" s="43">
        <f t="shared" si="57"/>
        <v>60800.607179507861</v>
      </c>
      <c r="T121" s="108">
        <f t="shared" si="58"/>
        <v>6975.3928204921413</v>
      </c>
      <c r="U121" s="47">
        <f t="shared" si="59"/>
        <v>67776</v>
      </c>
      <c r="V121" s="45">
        <f t="shared" si="60"/>
        <v>53200.531282069373</v>
      </c>
      <c r="W121" s="108">
        <f t="shared" si="61"/>
        <v>6103.4687179306229</v>
      </c>
      <c r="X121" s="46">
        <f t="shared" si="62"/>
        <v>59303.999999999993</v>
      </c>
      <c r="Y121" s="43">
        <f t="shared" si="63"/>
        <v>45600.455384630892</v>
      </c>
      <c r="Z121" s="108">
        <f t="shared" si="64"/>
        <v>5231.5446153691055</v>
      </c>
      <c r="AA121" s="46">
        <f t="shared" si="65"/>
        <v>50832</v>
      </c>
      <c r="AB121" s="380"/>
      <c r="AC121" s="16"/>
      <c r="AD121" s="16"/>
      <c r="AE121" s="16"/>
      <c r="AF121" s="16"/>
      <c r="AG121" s="16"/>
      <c r="AH121" s="17"/>
      <c r="AI121" s="16"/>
      <c r="AJ121" s="16"/>
    </row>
    <row r="122" spans="1:36" s="26" customFormat="1" ht="13.5" customHeight="1">
      <c r="A122" s="187">
        <v>57</v>
      </c>
      <c r="B122" s="50">
        <v>43556</v>
      </c>
      <c r="C122" s="61">
        <f>VLOOKUP(B122,'base(indices)'!$A$4:$C$183,3,FALSE)</f>
        <v>998</v>
      </c>
      <c r="D122" s="192">
        <f>'base(indices)'!G115</f>
        <v>1.1728075600000001</v>
      </c>
      <c r="E122" s="54">
        <f t="shared" si="73"/>
        <v>1170.4619448800001</v>
      </c>
      <c r="F122" s="82">
        <f>'base(indices)'!$I$147</f>
        <v>0.29920000000000002</v>
      </c>
      <c r="G122" s="54">
        <f t="shared" si="33"/>
        <v>350.20221390809604</v>
      </c>
      <c r="H122" s="267">
        <f t="shared" si="34"/>
        <v>1520.6641587880963</v>
      </c>
      <c r="I122" s="359">
        <f t="shared" si="48"/>
        <v>92912.865370721309</v>
      </c>
      <c r="J122" s="58">
        <f>IF((I122-H$129+(H$129/12*9))+K122-(H122/2)&gt;$I$197,$I$197-K122,(I122-H$129+(H$129/12*9)-(H122/2)))</f>
        <v>76000.758974384822</v>
      </c>
      <c r="K122" s="91">
        <f t="shared" si="69"/>
        <v>8719.2410256151761</v>
      </c>
      <c r="L122" s="284">
        <f t="shared" si="50"/>
        <v>84720</v>
      </c>
      <c r="M122" s="57">
        <f t="shared" si="51"/>
        <v>72200.721025665582</v>
      </c>
      <c r="N122" s="91">
        <f t="shared" si="52"/>
        <v>8283.2789743344165</v>
      </c>
      <c r="O122" s="60">
        <f t="shared" si="53"/>
        <v>80484</v>
      </c>
      <c r="P122" s="58">
        <f t="shared" si="71"/>
        <v>68400.683076946341</v>
      </c>
      <c r="Q122" s="91">
        <f t="shared" si="55"/>
        <v>7847.3169230536587</v>
      </c>
      <c r="R122" s="59">
        <f t="shared" si="72"/>
        <v>76248</v>
      </c>
      <c r="S122" s="57">
        <f t="shared" si="57"/>
        <v>60800.607179507861</v>
      </c>
      <c r="T122" s="91">
        <f t="shared" si="58"/>
        <v>6975.3928204921413</v>
      </c>
      <c r="U122" s="60">
        <f t="shared" si="59"/>
        <v>67776</v>
      </c>
      <c r="V122" s="58">
        <f t="shared" si="60"/>
        <v>53200.531282069373</v>
      </c>
      <c r="W122" s="91">
        <f t="shared" si="61"/>
        <v>6103.4687179306229</v>
      </c>
      <c r="X122" s="59">
        <f t="shared" si="62"/>
        <v>59303.999999999993</v>
      </c>
      <c r="Y122" s="57">
        <f t="shared" si="63"/>
        <v>45600.455384630892</v>
      </c>
      <c r="Z122" s="91">
        <f t="shared" si="64"/>
        <v>5231.5446153691055</v>
      </c>
      <c r="AA122" s="59">
        <f t="shared" si="65"/>
        <v>50832</v>
      </c>
      <c r="AB122" s="381"/>
      <c r="AC122" s="32"/>
      <c r="AD122" s="32"/>
      <c r="AE122" s="32"/>
      <c r="AF122" s="32"/>
      <c r="AG122" s="32"/>
      <c r="AH122" s="33"/>
      <c r="AI122" s="32"/>
      <c r="AJ122" s="32"/>
    </row>
    <row r="123" spans="1:36" ht="13.5" customHeight="1">
      <c r="A123" s="187">
        <v>56</v>
      </c>
      <c r="B123" s="50">
        <v>43586</v>
      </c>
      <c r="C123" s="61">
        <f>VLOOKUP(B123,'base(indices)'!$A$4:$C$183,3,FALSE)</f>
        <v>998</v>
      </c>
      <c r="D123" s="192">
        <f>'base(indices)'!G116</f>
        <v>1.1644237099999999</v>
      </c>
      <c r="E123" s="63">
        <f t="shared" si="73"/>
        <v>1162.0948625799999</v>
      </c>
      <c r="F123" s="82">
        <f>'base(indices)'!$I$147</f>
        <v>0.29920000000000002</v>
      </c>
      <c r="G123" s="63">
        <f t="shared" si="33"/>
        <v>347.69878288393602</v>
      </c>
      <c r="H123" s="268">
        <f t="shared" si="34"/>
        <v>1509.7936454639359</v>
      </c>
      <c r="I123" s="360">
        <f t="shared" si="48"/>
        <v>91392.201211933207</v>
      </c>
      <c r="J123" s="45">
        <f>IF((I123-H$129+(H$129/12*8))+K123-(H123/2)&gt;$I$197,$I$197-K123,(I123-H$129+(H$129/12*8)-(H123/2)))</f>
        <v>76000.758974384822</v>
      </c>
      <c r="K123" s="108">
        <f t="shared" si="69"/>
        <v>8719.2410256151761</v>
      </c>
      <c r="L123" s="46">
        <f t="shared" si="50"/>
        <v>84720</v>
      </c>
      <c r="M123" s="43">
        <f t="shared" si="51"/>
        <v>72200.721025665582</v>
      </c>
      <c r="N123" s="108">
        <f t="shared" si="52"/>
        <v>8283.2789743344165</v>
      </c>
      <c r="O123" s="47">
        <f t="shared" si="53"/>
        <v>80484</v>
      </c>
      <c r="P123" s="119">
        <f t="shared" si="71"/>
        <v>68400.683076946341</v>
      </c>
      <c r="Q123" s="108">
        <f t="shared" si="55"/>
        <v>7847.3169230536587</v>
      </c>
      <c r="R123" s="46">
        <f t="shared" si="72"/>
        <v>76248</v>
      </c>
      <c r="S123" s="43">
        <f t="shared" si="57"/>
        <v>60800.607179507861</v>
      </c>
      <c r="T123" s="108">
        <f t="shared" si="58"/>
        <v>6975.3928204921413</v>
      </c>
      <c r="U123" s="47">
        <f t="shared" si="59"/>
        <v>67776</v>
      </c>
      <c r="V123" s="45">
        <f t="shared" si="60"/>
        <v>53200.531282069373</v>
      </c>
      <c r="W123" s="108">
        <f t="shared" si="61"/>
        <v>6103.4687179306229</v>
      </c>
      <c r="X123" s="46">
        <f t="shared" si="62"/>
        <v>59303.999999999993</v>
      </c>
      <c r="Y123" s="43">
        <f t="shared" si="63"/>
        <v>45600.455384630892</v>
      </c>
      <c r="Z123" s="108">
        <f t="shared" si="64"/>
        <v>5231.5446153691055</v>
      </c>
      <c r="AA123" s="46">
        <f t="shared" si="65"/>
        <v>50832</v>
      </c>
      <c r="AB123" s="380"/>
      <c r="AC123" s="16"/>
      <c r="AD123" s="16"/>
      <c r="AE123" s="16"/>
      <c r="AF123" s="16"/>
      <c r="AG123" s="16"/>
      <c r="AH123" s="17"/>
      <c r="AI123" s="16"/>
      <c r="AJ123" s="16"/>
    </row>
    <row r="124" spans="1:36" s="26" customFormat="1" ht="13.5" customHeight="1">
      <c r="A124" s="187">
        <v>55</v>
      </c>
      <c r="B124" s="50">
        <v>43617</v>
      </c>
      <c r="C124" s="61">
        <f>VLOOKUP(B124,'base(indices)'!$A$4:$C$183,3,FALSE)</f>
        <v>998</v>
      </c>
      <c r="D124" s="192">
        <f>'base(indices)'!G117</f>
        <v>1.1603624400000001</v>
      </c>
      <c r="E124" s="54">
        <f t="shared" si="73"/>
        <v>1158.0417151200002</v>
      </c>
      <c r="F124" s="82">
        <f>'base(indices)'!$I$147</f>
        <v>0.29920000000000002</v>
      </c>
      <c r="G124" s="54">
        <f t="shared" si="33"/>
        <v>346.48608116390409</v>
      </c>
      <c r="H124" s="267">
        <f t="shared" si="34"/>
        <v>1504.5277962839043</v>
      </c>
      <c r="I124" s="359">
        <f t="shared" si="48"/>
        <v>89882.407566469265</v>
      </c>
      <c r="J124" s="58">
        <f>IF((I124-H$129+(H$129/12*7))+K124-(H124/2)&gt;$I$197,$I$197-K124,(I124-H$129+(H$129/12*7)-(H124/2)))</f>
        <v>76000.758974384822</v>
      </c>
      <c r="K124" s="91">
        <f t="shared" si="69"/>
        <v>8719.2410256151761</v>
      </c>
      <c r="L124" s="284">
        <f t="shared" si="50"/>
        <v>84720</v>
      </c>
      <c r="M124" s="57">
        <f t="shared" si="51"/>
        <v>72200.721025665582</v>
      </c>
      <c r="N124" s="91">
        <f t="shared" si="52"/>
        <v>8283.2789743344165</v>
      </c>
      <c r="O124" s="60">
        <f t="shared" si="53"/>
        <v>80484</v>
      </c>
      <c r="P124" s="58">
        <f t="shared" si="71"/>
        <v>68400.683076946341</v>
      </c>
      <c r="Q124" s="91">
        <f t="shared" si="55"/>
        <v>7847.3169230536587</v>
      </c>
      <c r="R124" s="59">
        <f t="shared" si="72"/>
        <v>76248</v>
      </c>
      <c r="S124" s="57">
        <f t="shared" si="57"/>
        <v>60800.607179507861</v>
      </c>
      <c r="T124" s="91">
        <f t="shared" si="58"/>
        <v>6975.3928204921413</v>
      </c>
      <c r="U124" s="60">
        <f t="shared" si="59"/>
        <v>67776</v>
      </c>
      <c r="V124" s="58">
        <f t="shared" si="60"/>
        <v>53200.531282069373</v>
      </c>
      <c r="W124" s="91">
        <f t="shared" si="61"/>
        <v>6103.4687179306229</v>
      </c>
      <c r="X124" s="59">
        <f t="shared" si="62"/>
        <v>59303.999999999993</v>
      </c>
      <c r="Y124" s="57">
        <f t="shared" si="63"/>
        <v>45600.455384630892</v>
      </c>
      <c r="Z124" s="91">
        <f t="shared" si="64"/>
        <v>5231.5446153691055</v>
      </c>
      <c r="AA124" s="59">
        <f t="shared" si="65"/>
        <v>50832</v>
      </c>
      <c r="AB124" s="381"/>
      <c r="AC124" s="32"/>
      <c r="AD124" s="32"/>
      <c r="AE124" s="32"/>
      <c r="AF124" s="32"/>
      <c r="AG124" s="32"/>
      <c r="AH124" s="33"/>
      <c r="AI124" s="32"/>
      <c r="AJ124" s="32"/>
    </row>
    <row r="125" spans="1:36" ht="13.5" customHeight="1">
      <c r="A125" s="187">
        <v>54</v>
      </c>
      <c r="B125" s="50">
        <v>43647</v>
      </c>
      <c r="C125" s="61">
        <f>VLOOKUP(B125,'base(indices)'!$A$4:$C$183,3,FALSE)</f>
        <v>998</v>
      </c>
      <c r="D125" s="192">
        <f>'base(indices)'!G118</f>
        <v>1.15966664</v>
      </c>
      <c r="E125" s="63">
        <f t="shared" si="73"/>
        <v>1157.34730672</v>
      </c>
      <c r="F125" s="82">
        <f>'base(indices)'!$I$147</f>
        <v>0.29920000000000002</v>
      </c>
      <c r="G125" s="63">
        <f t="shared" si="33"/>
        <v>346.27831417062401</v>
      </c>
      <c r="H125" s="268">
        <f t="shared" si="34"/>
        <v>1503.6256208906241</v>
      </c>
      <c r="I125" s="360">
        <f t="shared" si="48"/>
        <v>88377.879770185362</v>
      </c>
      <c r="J125" s="45">
        <f>IF((I125-H$129+(H$129/12*6))+K125-(H125/2)&gt;$I$197,$I$197-K125,(I125-H$129+(H$129/12*6)-(H125/2)))</f>
        <v>76000.758974384822</v>
      </c>
      <c r="K125" s="108">
        <f t="shared" si="69"/>
        <v>8719.2410256151761</v>
      </c>
      <c r="L125" s="46">
        <f t="shared" si="50"/>
        <v>84720</v>
      </c>
      <c r="M125" s="43">
        <f t="shared" si="51"/>
        <v>72200.721025665582</v>
      </c>
      <c r="N125" s="108">
        <f t="shared" si="52"/>
        <v>8283.2789743344165</v>
      </c>
      <c r="O125" s="47">
        <f t="shared" si="53"/>
        <v>80484</v>
      </c>
      <c r="P125" s="119">
        <f t="shared" si="71"/>
        <v>68400.683076946341</v>
      </c>
      <c r="Q125" s="108">
        <f t="shared" si="55"/>
        <v>7847.3169230536587</v>
      </c>
      <c r="R125" s="46">
        <f t="shared" si="72"/>
        <v>76248</v>
      </c>
      <c r="S125" s="43">
        <f t="shared" si="57"/>
        <v>60800.607179507861</v>
      </c>
      <c r="T125" s="108">
        <f t="shared" si="58"/>
        <v>6975.3928204921413</v>
      </c>
      <c r="U125" s="47">
        <f t="shared" si="59"/>
        <v>67776</v>
      </c>
      <c r="V125" s="45">
        <f t="shared" si="60"/>
        <v>53200.531282069373</v>
      </c>
      <c r="W125" s="108">
        <f t="shared" si="61"/>
        <v>6103.4687179306229</v>
      </c>
      <c r="X125" s="46">
        <f t="shared" si="62"/>
        <v>59303.999999999993</v>
      </c>
      <c r="Y125" s="43">
        <f t="shared" si="63"/>
        <v>45600.455384630892</v>
      </c>
      <c r="Z125" s="108">
        <f t="shared" si="64"/>
        <v>5231.5446153691055</v>
      </c>
      <c r="AA125" s="46">
        <f t="shared" si="65"/>
        <v>50832</v>
      </c>
      <c r="AB125" s="380"/>
      <c r="AC125" s="16"/>
      <c r="AD125" s="16"/>
      <c r="AE125" s="16"/>
      <c r="AF125" s="16"/>
      <c r="AG125" s="16"/>
      <c r="AH125" s="17"/>
      <c r="AI125" s="16"/>
      <c r="AJ125" s="16"/>
    </row>
    <row r="126" spans="1:36" s="26" customFormat="1" ht="13.5" customHeight="1">
      <c r="A126" s="187">
        <v>53</v>
      </c>
      <c r="B126" s="50">
        <v>43678</v>
      </c>
      <c r="C126" s="61">
        <f>VLOOKUP(B126,'base(indices)'!$A$4:$C$183,3,FALSE)</f>
        <v>998</v>
      </c>
      <c r="D126" s="192">
        <f>'base(indices)'!G119</f>
        <v>1.1586238799999999</v>
      </c>
      <c r="E126" s="54">
        <f t="shared" si="73"/>
        <v>1156.30663224</v>
      </c>
      <c r="F126" s="82">
        <f>'base(indices)'!$I$147</f>
        <v>0.29920000000000002</v>
      </c>
      <c r="G126" s="54">
        <f t="shared" si="33"/>
        <v>345.966944366208</v>
      </c>
      <c r="H126" s="267">
        <f t="shared" si="34"/>
        <v>1502.2735766062081</v>
      </c>
      <c r="I126" s="359">
        <f t="shared" si="48"/>
        <v>86874.254149294735</v>
      </c>
      <c r="J126" s="58">
        <f>IF((I126-H$129+(H$129/12*5))+K126-(H126/2)&gt;$I$197,$I$197-K126,(I126-H$129+(H$129/12*5)-(H126/2)))</f>
        <v>76000.758974384822</v>
      </c>
      <c r="K126" s="91">
        <f t="shared" si="69"/>
        <v>8719.2410256151761</v>
      </c>
      <c r="L126" s="284">
        <f t="shared" si="50"/>
        <v>84720</v>
      </c>
      <c r="M126" s="57">
        <f t="shared" si="51"/>
        <v>72200.721025665582</v>
      </c>
      <c r="N126" s="91">
        <f t="shared" si="52"/>
        <v>8283.2789743344165</v>
      </c>
      <c r="O126" s="60">
        <f t="shared" si="53"/>
        <v>80484</v>
      </c>
      <c r="P126" s="58">
        <f t="shared" si="71"/>
        <v>68400.683076946341</v>
      </c>
      <c r="Q126" s="91">
        <f t="shared" si="55"/>
        <v>7847.3169230536587</v>
      </c>
      <c r="R126" s="59">
        <f t="shared" si="72"/>
        <v>76248</v>
      </c>
      <c r="S126" s="57">
        <f t="shared" si="57"/>
        <v>60800.607179507861</v>
      </c>
      <c r="T126" s="91">
        <f t="shared" si="58"/>
        <v>6975.3928204921413</v>
      </c>
      <c r="U126" s="60">
        <f t="shared" si="59"/>
        <v>67776</v>
      </c>
      <c r="V126" s="58">
        <f t="shared" si="60"/>
        <v>53200.531282069373</v>
      </c>
      <c r="W126" s="91">
        <f t="shared" si="61"/>
        <v>6103.4687179306229</v>
      </c>
      <c r="X126" s="59">
        <f t="shared" si="62"/>
        <v>59303.999999999993</v>
      </c>
      <c r="Y126" s="57">
        <f t="shared" si="63"/>
        <v>45600.455384630892</v>
      </c>
      <c r="Z126" s="91">
        <f t="shared" si="64"/>
        <v>5231.5446153691055</v>
      </c>
      <c r="AA126" s="59">
        <f t="shared" si="65"/>
        <v>50832</v>
      </c>
      <c r="AB126" s="381"/>
      <c r="AC126" s="32"/>
      <c r="AD126" s="32"/>
      <c r="AE126" s="32"/>
      <c r="AF126" s="32"/>
      <c r="AG126" s="32"/>
      <c r="AH126" s="33"/>
      <c r="AI126" s="32"/>
      <c r="AJ126" s="32"/>
    </row>
    <row r="127" spans="1:36" ht="13.5" customHeight="1">
      <c r="A127" s="187">
        <v>52</v>
      </c>
      <c r="B127" s="50">
        <v>43709</v>
      </c>
      <c r="C127" s="61">
        <f>VLOOKUP(B127,'base(indices)'!$A$4:$C$183,3,FALSE)</f>
        <v>998</v>
      </c>
      <c r="D127" s="192">
        <f>'base(indices)'!G120</f>
        <v>1.15769772</v>
      </c>
      <c r="E127" s="63">
        <f t="shared" si="73"/>
        <v>1155.3823245600001</v>
      </c>
      <c r="F127" s="82">
        <f>'base(indices)'!$I$147</f>
        <v>0.29920000000000002</v>
      </c>
      <c r="G127" s="63">
        <f t="shared" si="33"/>
        <v>345.69039150835209</v>
      </c>
      <c r="H127" s="268">
        <f t="shared" si="34"/>
        <v>1501.0727160683523</v>
      </c>
      <c r="I127" s="360">
        <f t="shared" si="48"/>
        <v>85371.980572688524</v>
      </c>
      <c r="J127" s="45">
        <f>IF((I127-H$129+(H$129/12*4))+K127-(H127/2)&gt;$I$197,$I$197-K127,(I127-H$129+(H$129/12*4)-(H127/2)))</f>
        <v>76000.758974384822</v>
      </c>
      <c r="K127" s="108">
        <f t="shared" si="69"/>
        <v>8719.2410256151761</v>
      </c>
      <c r="L127" s="46">
        <f t="shared" si="50"/>
        <v>84720</v>
      </c>
      <c r="M127" s="43">
        <f t="shared" si="51"/>
        <v>72200.721025665582</v>
      </c>
      <c r="N127" s="108">
        <f t="shared" si="52"/>
        <v>8283.2789743344165</v>
      </c>
      <c r="O127" s="47">
        <f t="shared" si="53"/>
        <v>80484</v>
      </c>
      <c r="P127" s="119">
        <f t="shared" si="71"/>
        <v>68400.683076946341</v>
      </c>
      <c r="Q127" s="108">
        <f t="shared" si="55"/>
        <v>7847.3169230536587</v>
      </c>
      <c r="R127" s="46">
        <f t="shared" si="72"/>
        <v>76248</v>
      </c>
      <c r="S127" s="43">
        <f t="shared" si="57"/>
        <v>60800.607179507861</v>
      </c>
      <c r="T127" s="108">
        <f t="shared" si="58"/>
        <v>6975.3928204921413</v>
      </c>
      <c r="U127" s="47">
        <f t="shared" si="59"/>
        <v>67776</v>
      </c>
      <c r="V127" s="45">
        <f t="shared" si="60"/>
        <v>53200.531282069373</v>
      </c>
      <c r="W127" s="108">
        <f t="shared" si="61"/>
        <v>6103.4687179306229</v>
      </c>
      <c r="X127" s="46">
        <f t="shared" si="62"/>
        <v>59303.999999999993</v>
      </c>
      <c r="Y127" s="43">
        <f t="shared" si="63"/>
        <v>45600.455384630892</v>
      </c>
      <c r="Z127" s="108">
        <f t="shared" si="64"/>
        <v>5231.5446153691055</v>
      </c>
      <c r="AA127" s="46">
        <f t="shared" si="65"/>
        <v>50832</v>
      </c>
      <c r="AB127" s="380"/>
      <c r="AC127" s="16"/>
      <c r="AD127" s="16"/>
      <c r="AE127" s="16"/>
      <c r="AF127" s="16"/>
      <c r="AG127" s="16"/>
      <c r="AH127" s="17"/>
      <c r="AI127" s="16"/>
      <c r="AJ127" s="16"/>
    </row>
    <row r="128" spans="1:36" s="26" customFormat="1" ht="13.5" customHeight="1">
      <c r="A128" s="187">
        <v>51</v>
      </c>
      <c r="B128" s="50">
        <v>43739</v>
      </c>
      <c r="C128" s="61">
        <f>VLOOKUP(B128,'base(indices)'!$A$4:$C$183,3,FALSE)</f>
        <v>998</v>
      </c>
      <c r="D128" s="192">
        <f>'base(indices)'!G121</f>
        <v>1.1566567299999999</v>
      </c>
      <c r="E128" s="54">
        <f t="shared" si="73"/>
        <v>1154.3434165399999</v>
      </c>
      <c r="F128" s="82">
        <f>'base(indices)'!$I$147</f>
        <v>0.29920000000000002</v>
      </c>
      <c r="G128" s="54">
        <f t="shared" si="33"/>
        <v>345.37955022876798</v>
      </c>
      <c r="H128" s="267">
        <f t="shared" si="34"/>
        <v>1499.7229667687679</v>
      </c>
      <c r="I128" s="359">
        <f t="shared" si="48"/>
        <v>83870.907856620179</v>
      </c>
      <c r="J128" s="58">
        <f>IF((I128-H$129+(H$129/12*3))+K128-(H128/2)&gt;$I$197,$I$197-K128,(I128-H$129+(H$129/12*3)-(H128/2)))</f>
        <v>76000.758974384822</v>
      </c>
      <c r="K128" s="91">
        <f t="shared" si="69"/>
        <v>8719.2410256151761</v>
      </c>
      <c r="L128" s="284">
        <f t="shared" si="50"/>
        <v>84720</v>
      </c>
      <c r="M128" s="57">
        <f t="shared" si="51"/>
        <v>72200.721025665582</v>
      </c>
      <c r="N128" s="91">
        <f t="shared" si="52"/>
        <v>8283.2789743344165</v>
      </c>
      <c r="O128" s="60">
        <f t="shared" si="53"/>
        <v>80484</v>
      </c>
      <c r="P128" s="58">
        <f t="shared" si="71"/>
        <v>68400.683076946341</v>
      </c>
      <c r="Q128" s="91">
        <f t="shared" si="55"/>
        <v>7847.3169230536587</v>
      </c>
      <c r="R128" s="59">
        <f t="shared" si="72"/>
        <v>76248</v>
      </c>
      <c r="S128" s="57">
        <f t="shared" si="57"/>
        <v>60800.607179507861</v>
      </c>
      <c r="T128" s="91">
        <f t="shared" si="58"/>
        <v>6975.3928204921413</v>
      </c>
      <c r="U128" s="60">
        <f t="shared" si="59"/>
        <v>67776</v>
      </c>
      <c r="V128" s="58">
        <f t="shared" si="60"/>
        <v>53200.531282069373</v>
      </c>
      <c r="W128" s="91">
        <f t="shared" si="61"/>
        <v>6103.4687179306229</v>
      </c>
      <c r="X128" s="59">
        <f t="shared" si="62"/>
        <v>59303.999999999993</v>
      </c>
      <c r="Y128" s="57">
        <f t="shared" si="63"/>
        <v>45600.455384630892</v>
      </c>
      <c r="Z128" s="91">
        <f t="shared" si="64"/>
        <v>5231.5446153691055</v>
      </c>
      <c r="AA128" s="59">
        <f t="shared" si="65"/>
        <v>50832</v>
      </c>
      <c r="AB128" s="381"/>
      <c r="AC128" s="32"/>
      <c r="AD128" s="32"/>
      <c r="AE128" s="32"/>
      <c r="AF128" s="32"/>
      <c r="AG128" s="32"/>
      <c r="AH128" s="33"/>
      <c r="AI128" s="32"/>
      <c r="AJ128" s="32"/>
    </row>
    <row r="129" spans="1:36" ht="13.5" customHeight="1">
      <c r="A129" s="187">
        <v>50</v>
      </c>
      <c r="B129" s="50">
        <v>43770</v>
      </c>
      <c r="C129" s="61">
        <f>VLOOKUP(B129,'base(indices)'!$A$4:$C$183,3,FALSE)</f>
        <v>998</v>
      </c>
      <c r="D129" s="192">
        <f>'base(indices)'!G122</f>
        <v>1.1556166800000001</v>
      </c>
      <c r="E129" s="63">
        <f t="shared" si="73"/>
        <v>1153.3054466400001</v>
      </c>
      <c r="F129" s="82">
        <f>'base(indices)'!$I$147</f>
        <v>0.29920000000000002</v>
      </c>
      <c r="G129" s="63">
        <f t="shared" si="33"/>
        <v>345.06898963468808</v>
      </c>
      <c r="H129" s="268">
        <f t="shared" si="34"/>
        <v>1498.3744362746882</v>
      </c>
      <c r="I129" s="360">
        <f t="shared" si="48"/>
        <v>82371.184889851414</v>
      </c>
      <c r="J129" s="45">
        <f>IF((I129-H$129+(H$129/12*2))+K129-(H129/2)&gt;$I$197,$I$197-K129,(I129-H$129+(H$129/12*2)-(H129/2)))</f>
        <v>76000.758974384822</v>
      </c>
      <c r="K129" s="108">
        <f t="shared" si="69"/>
        <v>8719.2410256151761</v>
      </c>
      <c r="L129" s="46">
        <f t="shared" si="50"/>
        <v>84720</v>
      </c>
      <c r="M129" s="43">
        <f t="shared" si="51"/>
        <v>72200.721025665582</v>
      </c>
      <c r="N129" s="108">
        <f t="shared" si="52"/>
        <v>8283.2789743344165</v>
      </c>
      <c r="O129" s="47">
        <f t="shared" si="53"/>
        <v>80484</v>
      </c>
      <c r="P129" s="119">
        <f t="shared" si="71"/>
        <v>68400.683076946341</v>
      </c>
      <c r="Q129" s="108">
        <f t="shared" si="55"/>
        <v>7847.3169230536587</v>
      </c>
      <c r="R129" s="46">
        <f t="shared" si="72"/>
        <v>76248</v>
      </c>
      <c r="S129" s="43">
        <f t="shared" si="57"/>
        <v>60800.607179507861</v>
      </c>
      <c r="T129" s="108">
        <f t="shared" si="58"/>
        <v>6975.3928204921413</v>
      </c>
      <c r="U129" s="47">
        <f t="shared" si="59"/>
        <v>67776</v>
      </c>
      <c r="V129" s="45">
        <f t="shared" si="60"/>
        <v>53200.531282069373</v>
      </c>
      <c r="W129" s="108">
        <f t="shared" si="61"/>
        <v>6103.4687179306229</v>
      </c>
      <c r="X129" s="46">
        <f t="shared" si="62"/>
        <v>59303.999999999993</v>
      </c>
      <c r="Y129" s="43">
        <f t="shared" si="63"/>
        <v>45600.455384630892</v>
      </c>
      <c r="Z129" s="108">
        <f t="shared" si="64"/>
        <v>5231.5446153691055</v>
      </c>
      <c r="AA129" s="46">
        <f t="shared" si="65"/>
        <v>50832</v>
      </c>
      <c r="AB129" s="380"/>
      <c r="AC129" s="16"/>
      <c r="AD129" s="16"/>
      <c r="AE129" s="16"/>
      <c r="AF129" s="16"/>
      <c r="AG129" s="16"/>
      <c r="AH129" s="17"/>
      <c r="AI129" s="16"/>
      <c r="AJ129" s="16"/>
    </row>
    <row r="130" spans="1:36" s="26" customFormat="1" ht="13.5" customHeight="1" thickBot="1">
      <c r="A130" s="305">
        <v>49</v>
      </c>
      <c r="B130" s="247">
        <v>43800</v>
      </c>
      <c r="C130" s="142">
        <f>C129*2</f>
        <v>1996</v>
      </c>
      <c r="D130" s="343">
        <f>'base(indices)'!G123</f>
        <v>1.15400108</v>
      </c>
      <c r="E130" s="170">
        <f t="shared" si="73"/>
        <v>2303.3861556800002</v>
      </c>
      <c r="F130" s="307">
        <f>'base(indices)'!$I$147</f>
        <v>0.29920000000000002</v>
      </c>
      <c r="G130" s="170">
        <f t="shared" si="33"/>
        <v>689.17313777945617</v>
      </c>
      <c r="H130" s="368">
        <f t="shared" si="34"/>
        <v>2992.5592934594565</v>
      </c>
      <c r="I130" s="384">
        <f t="shared" si="48"/>
        <v>80872.81045357672</v>
      </c>
      <c r="J130" s="285">
        <f>IF((I130-H$129+(H$129/12*1))+K130-(H130/4)&gt;$I$197,$I$197-K130,(I130-H$129+(H$129/12*1)-(H130/4)))</f>
        <v>76000.758974384822</v>
      </c>
      <c r="K130" s="202">
        <f t="shared" si="69"/>
        <v>8719.2410256151761</v>
      </c>
      <c r="L130" s="286">
        <f t="shared" si="50"/>
        <v>84720</v>
      </c>
      <c r="M130" s="282">
        <f t="shared" si="51"/>
        <v>72200.721025665582</v>
      </c>
      <c r="N130" s="202">
        <f t="shared" si="52"/>
        <v>8283.2789743344165</v>
      </c>
      <c r="O130" s="289">
        <f t="shared" si="53"/>
        <v>80484</v>
      </c>
      <c r="P130" s="285">
        <f t="shared" si="71"/>
        <v>68400.683076946341</v>
      </c>
      <c r="Q130" s="202">
        <f t="shared" si="55"/>
        <v>7847.3169230536587</v>
      </c>
      <c r="R130" s="203">
        <f t="shared" si="72"/>
        <v>76248</v>
      </c>
      <c r="S130" s="282">
        <f>J130*S$9</f>
        <v>60800.607179507861</v>
      </c>
      <c r="T130" s="202">
        <f t="shared" si="58"/>
        <v>6975.3928204921413</v>
      </c>
      <c r="U130" s="289">
        <f>S130+T130</f>
        <v>67776</v>
      </c>
      <c r="V130" s="285">
        <f t="shared" si="60"/>
        <v>53200.531282069373</v>
      </c>
      <c r="W130" s="202">
        <f t="shared" si="61"/>
        <v>6103.4687179306229</v>
      </c>
      <c r="X130" s="203">
        <f t="shared" si="62"/>
        <v>59303.999999999993</v>
      </c>
      <c r="Y130" s="282">
        <f t="shared" si="63"/>
        <v>45600.455384630892</v>
      </c>
      <c r="Z130" s="202">
        <f t="shared" si="64"/>
        <v>5231.5446153691055</v>
      </c>
      <c r="AA130" s="203">
        <f t="shared" si="65"/>
        <v>50832</v>
      </c>
      <c r="AB130" s="381"/>
      <c r="AC130" s="32"/>
      <c r="AD130" s="32"/>
      <c r="AE130" s="32"/>
      <c r="AF130" s="32"/>
      <c r="AG130" s="32"/>
      <c r="AH130" s="33"/>
      <c r="AI130" s="32"/>
      <c r="AJ130" s="32"/>
    </row>
    <row r="131" spans="1:36" s="26" customFormat="1" ht="13.5" customHeight="1">
      <c r="A131" s="190">
        <v>48</v>
      </c>
      <c r="B131" s="136">
        <v>43831</v>
      </c>
      <c r="C131" s="120">
        <f>VLOOKUP(B131,'base(indices)'!$A$4:$C$183,3,FALSE)</f>
        <v>1039</v>
      </c>
      <c r="D131" s="193">
        <f>'base(indices)'!G124</f>
        <v>1.1420099699999999</v>
      </c>
      <c r="E131" s="78">
        <f>C131*D131</f>
        <v>1186.5483588299999</v>
      </c>
      <c r="F131" s="79">
        <f>'base(indices)'!$I$147</f>
        <v>0.29920000000000002</v>
      </c>
      <c r="G131" s="78">
        <f t="shared" si="33"/>
        <v>355.01526896193599</v>
      </c>
      <c r="H131" s="266">
        <f t="shared" si="34"/>
        <v>1541.5636277919359</v>
      </c>
      <c r="I131" s="413">
        <f t="shared" si="48"/>
        <v>77880.251160117259</v>
      </c>
      <c r="J131" s="48">
        <f>IF((I131-H$141+(H$141))+K131-(H131/2)&gt;$I$197,$I$197-K131,(I131-H$141+(H$141)-(H131/2)))</f>
        <v>76000.758974384822</v>
      </c>
      <c r="K131" s="109">
        <f t="shared" si="69"/>
        <v>8719.2410256151761</v>
      </c>
      <c r="L131" s="49">
        <f t="shared" si="50"/>
        <v>84720</v>
      </c>
      <c r="M131" s="138">
        <f t="shared" si="51"/>
        <v>72200.721025665582</v>
      </c>
      <c r="N131" s="109">
        <f t="shared" si="52"/>
        <v>8283.2789743344165</v>
      </c>
      <c r="O131" s="139">
        <f t="shared" si="53"/>
        <v>80484</v>
      </c>
      <c r="P131" s="291">
        <f t="shared" si="71"/>
        <v>68400.683076946341</v>
      </c>
      <c r="Q131" s="109">
        <f t="shared" si="55"/>
        <v>7847.3169230536587</v>
      </c>
      <c r="R131" s="49">
        <f t="shared" si="72"/>
        <v>76248</v>
      </c>
      <c r="S131" s="138">
        <f t="shared" ref="S131:S141" si="74">J131*S$9</f>
        <v>60800.607179507861</v>
      </c>
      <c r="T131" s="109">
        <f t="shared" si="58"/>
        <v>6975.3928204921413</v>
      </c>
      <c r="U131" s="139">
        <f t="shared" ref="U131:U141" si="75">S131+T131</f>
        <v>67776</v>
      </c>
      <c r="V131" s="48">
        <f t="shared" si="60"/>
        <v>53200.531282069373</v>
      </c>
      <c r="W131" s="109">
        <f t="shared" si="61"/>
        <v>6103.4687179306229</v>
      </c>
      <c r="X131" s="49">
        <f t="shared" si="62"/>
        <v>59303.999999999993</v>
      </c>
      <c r="Y131" s="138">
        <f t="shared" si="63"/>
        <v>45600.455384630892</v>
      </c>
      <c r="Z131" s="109">
        <f t="shared" si="64"/>
        <v>5231.5446153691055</v>
      </c>
      <c r="AA131" s="49">
        <f t="shared" si="65"/>
        <v>50832</v>
      </c>
      <c r="AB131" s="380"/>
      <c r="AC131" s="32"/>
      <c r="AD131" s="32"/>
      <c r="AE131" s="32"/>
      <c r="AF131" s="32"/>
      <c r="AG131" s="32"/>
      <c r="AH131" s="33"/>
      <c r="AI131" s="32"/>
      <c r="AJ131" s="32"/>
    </row>
    <row r="132" spans="1:36" s="26" customFormat="1" ht="13.5" customHeight="1">
      <c r="A132" s="187">
        <v>47</v>
      </c>
      <c r="B132" s="50">
        <v>43862</v>
      </c>
      <c r="C132" s="61">
        <f>VLOOKUP(B132,'base(indices)'!$A$4:$C$183,3,FALSE)</f>
        <v>1045</v>
      </c>
      <c r="D132" s="192">
        <f>'base(indices)'!G125</f>
        <v>1.1339588599999999</v>
      </c>
      <c r="E132" s="54">
        <f t="shared" ref="E132:E142" si="76">C132*D132</f>
        <v>1184.9870086999999</v>
      </c>
      <c r="F132" s="82">
        <f>'base(indices)'!$I$147</f>
        <v>0.29920000000000002</v>
      </c>
      <c r="G132" s="54">
        <f t="shared" si="33"/>
        <v>354.54811300303999</v>
      </c>
      <c r="H132" s="267">
        <f t="shared" si="34"/>
        <v>1539.53512170304</v>
      </c>
      <c r="I132" s="414">
        <f t="shared" si="48"/>
        <v>76338.687532325319</v>
      </c>
      <c r="J132" s="58">
        <f>IF((I132-H$141+(H$141/12*11))+K132-(H132/2)&gt;$I$197,$I$197-K132,(I132-H$141+(H$141/12*11)-(H132/2)))</f>
        <v>75442.626264734601</v>
      </c>
      <c r="K132" s="91">
        <f t="shared" si="69"/>
        <v>8719.2410256151761</v>
      </c>
      <c r="L132" s="284">
        <f t="shared" si="50"/>
        <v>84161.867290349779</v>
      </c>
      <c r="M132" s="57">
        <f t="shared" si="51"/>
        <v>71670.494951497865</v>
      </c>
      <c r="N132" s="91">
        <f t="shared" si="52"/>
        <v>8283.2789743344165</v>
      </c>
      <c r="O132" s="60">
        <f t="shared" si="53"/>
        <v>79953.773925832284</v>
      </c>
      <c r="P132" s="58">
        <f t="shared" si="71"/>
        <v>67898.363638261144</v>
      </c>
      <c r="Q132" s="91">
        <f t="shared" si="55"/>
        <v>7847.3169230536587</v>
      </c>
      <c r="R132" s="59">
        <f t="shared" si="72"/>
        <v>75745.680561314803</v>
      </c>
      <c r="S132" s="57">
        <f t="shared" si="74"/>
        <v>60354.101011787687</v>
      </c>
      <c r="T132" s="91">
        <f t="shared" si="58"/>
        <v>6975.3928204921413</v>
      </c>
      <c r="U132" s="60">
        <f t="shared" si="75"/>
        <v>67329.493832279826</v>
      </c>
      <c r="V132" s="58">
        <f t="shared" si="60"/>
        <v>52809.838385314215</v>
      </c>
      <c r="W132" s="91">
        <f t="shared" si="61"/>
        <v>6103.4687179306229</v>
      </c>
      <c r="X132" s="59">
        <f t="shared" si="62"/>
        <v>58913.307103244835</v>
      </c>
      <c r="Y132" s="57">
        <f t="shared" si="63"/>
        <v>45265.575758840758</v>
      </c>
      <c r="Z132" s="91">
        <f t="shared" si="64"/>
        <v>5231.5446153691055</v>
      </c>
      <c r="AA132" s="59">
        <f t="shared" si="65"/>
        <v>50497.120374209866</v>
      </c>
      <c r="AB132" s="381"/>
      <c r="AC132" s="32"/>
      <c r="AD132" s="32"/>
      <c r="AE132" s="32"/>
      <c r="AF132" s="32"/>
      <c r="AG132" s="32"/>
      <c r="AH132" s="33"/>
      <c r="AI132" s="32"/>
      <c r="AJ132" s="32"/>
    </row>
    <row r="133" spans="1:36" s="26" customFormat="1" ht="13.5" customHeight="1">
      <c r="A133" s="187">
        <v>46</v>
      </c>
      <c r="B133" s="50">
        <v>43891</v>
      </c>
      <c r="C133" s="61">
        <f>VLOOKUP(B133,'base(indices)'!$A$4:$C$183,3,FALSE)</f>
        <v>1045</v>
      </c>
      <c r="D133" s="192">
        <f>'base(indices)'!G126</f>
        <v>1.13146963</v>
      </c>
      <c r="E133" s="63">
        <f t="shared" si="76"/>
        <v>1182.3857633499999</v>
      </c>
      <c r="F133" s="82">
        <f>'base(indices)'!$I$147</f>
        <v>0.29920000000000002</v>
      </c>
      <c r="G133" s="63">
        <f t="shared" si="33"/>
        <v>353.76982039431999</v>
      </c>
      <c r="H133" s="268">
        <f t="shared" si="34"/>
        <v>1536.15558374432</v>
      </c>
      <c r="I133" s="415">
        <f t="shared" si="48"/>
        <v>74799.152410622279</v>
      </c>
      <c r="J133" s="45">
        <f>IF((I133-H$141+(H$141/12*10))+K133-(H133/2)&gt;$I$197,$I$197-K133,(I133-H$141+(H$141/12*10)-(H133/2)))</f>
        <v>73778.487205271726</v>
      </c>
      <c r="K133" s="108">
        <f t="shared" si="69"/>
        <v>8719.2410256151761</v>
      </c>
      <c r="L133" s="46">
        <f t="shared" si="50"/>
        <v>82497.728230886903</v>
      </c>
      <c r="M133" s="43">
        <f t="shared" si="51"/>
        <v>70089.562845008142</v>
      </c>
      <c r="N133" s="108">
        <f t="shared" si="52"/>
        <v>8283.2789743344165</v>
      </c>
      <c r="O133" s="47">
        <f t="shared" si="53"/>
        <v>78372.84181934256</v>
      </c>
      <c r="P133" s="119">
        <f t="shared" si="71"/>
        <v>66400.638484744559</v>
      </c>
      <c r="Q133" s="108">
        <f t="shared" si="55"/>
        <v>7847.3169230536587</v>
      </c>
      <c r="R133" s="46">
        <f t="shared" si="72"/>
        <v>74247.955407798217</v>
      </c>
      <c r="S133" s="43">
        <f t="shared" si="74"/>
        <v>59022.789764217385</v>
      </c>
      <c r="T133" s="108">
        <f t="shared" si="58"/>
        <v>6975.3928204921413</v>
      </c>
      <c r="U133" s="47">
        <f t="shared" si="75"/>
        <v>65998.182584709532</v>
      </c>
      <c r="V133" s="45">
        <f t="shared" si="60"/>
        <v>51644.941043690204</v>
      </c>
      <c r="W133" s="108">
        <f t="shared" si="61"/>
        <v>6103.4687179306229</v>
      </c>
      <c r="X133" s="46">
        <f t="shared" si="62"/>
        <v>57748.409761620824</v>
      </c>
      <c r="Y133" s="43">
        <f t="shared" si="63"/>
        <v>44267.092323163037</v>
      </c>
      <c r="Z133" s="108">
        <f t="shared" si="64"/>
        <v>5231.5446153691055</v>
      </c>
      <c r="AA133" s="46">
        <f t="shared" si="65"/>
        <v>49498.636938532145</v>
      </c>
      <c r="AB133" s="380"/>
      <c r="AC133" s="32"/>
      <c r="AD133" s="32"/>
      <c r="AE133" s="32"/>
      <c r="AF133" s="32"/>
      <c r="AG133" s="32"/>
      <c r="AH133" s="33"/>
      <c r="AI133" s="32"/>
      <c r="AJ133" s="32"/>
    </row>
    <row r="134" spans="1:36" s="26" customFormat="1" ht="13.5" customHeight="1">
      <c r="A134" s="187">
        <v>45</v>
      </c>
      <c r="B134" s="50">
        <v>43922</v>
      </c>
      <c r="C134" s="61">
        <f>VLOOKUP(B134,'base(indices)'!$A$4:$C$183,3,FALSE)</f>
        <v>1045</v>
      </c>
      <c r="D134" s="192">
        <f>'base(indices)'!G127</f>
        <v>1.1312433799999999</v>
      </c>
      <c r="E134" s="54">
        <f t="shared" si="76"/>
        <v>1182.1493320999998</v>
      </c>
      <c r="F134" s="82">
        <f>'base(indices)'!$I$147</f>
        <v>0.29920000000000002</v>
      </c>
      <c r="G134" s="54">
        <f t="shared" si="33"/>
        <v>353.69908016431998</v>
      </c>
      <c r="H134" s="267">
        <f t="shared" si="34"/>
        <v>1535.8484122643199</v>
      </c>
      <c r="I134" s="414">
        <f t="shared" si="48"/>
        <v>73262.996826877963</v>
      </c>
      <c r="J134" s="58">
        <f>IF((I134-H$141+(H$141/12*9))+K134-(H134/2)&gt;$I$197,$I$197-K134,(I134-H$141+(H$141/12*9)-(H134/2)))</f>
        <v>72116.191500528206</v>
      </c>
      <c r="K134" s="91">
        <f t="shared" si="69"/>
        <v>8719.2410256151761</v>
      </c>
      <c r="L134" s="284">
        <f t="shared" si="50"/>
        <v>80835.432526143384</v>
      </c>
      <c r="M134" s="57">
        <f t="shared" si="51"/>
        <v>68510.381925501788</v>
      </c>
      <c r="N134" s="91">
        <f t="shared" si="52"/>
        <v>8283.2789743344165</v>
      </c>
      <c r="O134" s="60">
        <f t="shared" si="53"/>
        <v>76793.660899836206</v>
      </c>
      <c r="P134" s="58">
        <f t="shared" si="71"/>
        <v>64904.572350475384</v>
      </c>
      <c r="Q134" s="91">
        <f t="shared" si="55"/>
        <v>7847.3169230536587</v>
      </c>
      <c r="R134" s="59">
        <f t="shared" si="72"/>
        <v>72751.889273529043</v>
      </c>
      <c r="S134" s="57">
        <f t="shared" si="74"/>
        <v>57692.953200422569</v>
      </c>
      <c r="T134" s="91">
        <f t="shared" si="58"/>
        <v>6975.3928204921413</v>
      </c>
      <c r="U134" s="60">
        <f t="shared" si="75"/>
        <v>64668.346020914709</v>
      </c>
      <c r="V134" s="58">
        <f t="shared" si="60"/>
        <v>50481.33405036974</v>
      </c>
      <c r="W134" s="91">
        <f t="shared" si="61"/>
        <v>6103.4687179306229</v>
      </c>
      <c r="X134" s="59">
        <f t="shared" si="62"/>
        <v>56584.80276830036</v>
      </c>
      <c r="Y134" s="57">
        <f t="shared" si="63"/>
        <v>43269.714900316925</v>
      </c>
      <c r="Z134" s="91">
        <f t="shared" si="64"/>
        <v>5231.5446153691055</v>
      </c>
      <c r="AA134" s="59">
        <f t="shared" si="65"/>
        <v>48501.259515686033</v>
      </c>
      <c r="AB134" s="381"/>
      <c r="AC134" s="32"/>
      <c r="AD134" s="32"/>
      <c r="AE134" s="32"/>
      <c r="AF134" s="32"/>
      <c r="AG134" s="32"/>
      <c r="AH134" s="33"/>
      <c r="AI134" s="32"/>
      <c r="AJ134" s="32"/>
    </row>
    <row r="135" spans="1:36" s="26" customFormat="1" ht="13.5" customHeight="1">
      <c r="A135" s="187">
        <v>44</v>
      </c>
      <c r="B135" s="50">
        <v>43952</v>
      </c>
      <c r="C135" s="61">
        <f>VLOOKUP(B135,'base(indices)'!$A$4:$C$183,3,FALSE)</f>
        <v>1045</v>
      </c>
      <c r="D135" s="192">
        <f>'base(indices)'!G128</f>
        <v>1.13135652</v>
      </c>
      <c r="E135" s="63">
        <f t="shared" si="76"/>
        <v>1182.2675634</v>
      </c>
      <c r="F135" s="82">
        <f>'base(indices)'!$I$147</f>
        <v>0.29920000000000002</v>
      </c>
      <c r="G135" s="63">
        <f t="shared" si="33"/>
        <v>353.73445496928002</v>
      </c>
      <c r="H135" s="268">
        <f t="shared" si="34"/>
        <v>1536.00201836928</v>
      </c>
      <c r="I135" s="415">
        <f t="shared" si="48"/>
        <v>71727.14841461365</v>
      </c>
      <c r="J135" s="45">
        <f>IF((I135-H$141+(H$141/12*8))+K135-(H135/2)&gt;$I$197,$I$197-K135,(I135-H$141+(H$141/12*8)-(H135/2)))</f>
        <v>70453.97257847221</v>
      </c>
      <c r="K135" s="108">
        <f t="shared" si="69"/>
        <v>8719.2410256151761</v>
      </c>
      <c r="L135" s="46">
        <f t="shared" si="50"/>
        <v>79173.213604087388</v>
      </c>
      <c r="M135" s="43">
        <f t="shared" si="51"/>
        <v>66931.273949548602</v>
      </c>
      <c r="N135" s="108">
        <f t="shared" si="52"/>
        <v>8283.2789743344165</v>
      </c>
      <c r="O135" s="47">
        <f t="shared" si="53"/>
        <v>75214.55292388302</v>
      </c>
      <c r="P135" s="119">
        <f t="shared" si="71"/>
        <v>63408.575320624994</v>
      </c>
      <c r="Q135" s="108">
        <f t="shared" si="55"/>
        <v>7847.3169230536587</v>
      </c>
      <c r="R135" s="46">
        <f t="shared" si="72"/>
        <v>71255.892243678652</v>
      </c>
      <c r="S135" s="43">
        <f t="shared" si="74"/>
        <v>56363.17806277777</v>
      </c>
      <c r="T135" s="108">
        <f t="shared" si="58"/>
        <v>6975.3928204921413</v>
      </c>
      <c r="U135" s="47">
        <f t="shared" si="75"/>
        <v>63338.570883269909</v>
      </c>
      <c r="V135" s="45">
        <f t="shared" si="60"/>
        <v>49317.780804930546</v>
      </c>
      <c r="W135" s="108">
        <f t="shared" si="61"/>
        <v>6103.4687179306229</v>
      </c>
      <c r="X135" s="46">
        <f t="shared" si="62"/>
        <v>55421.249522861166</v>
      </c>
      <c r="Y135" s="43">
        <f t="shared" si="63"/>
        <v>42272.383547083322</v>
      </c>
      <c r="Z135" s="108">
        <f t="shared" si="64"/>
        <v>5231.5446153691055</v>
      </c>
      <c r="AA135" s="46">
        <f t="shared" si="65"/>
        <v>47503.92816245243</v>
      </c>
      <c r="AB135" s="380"/>
      <c r="AC135" s="32"/>
      <c r="AD135" s="32"/>
      <c r="AE135" s="32"/>
      <c r="AF135" s="32"/>
      <c r="AG135" s="32"/>
      <c r="AH135" s="33"/>
      <c r="AI135" s="32"/>
      <c r="AJ135" s="32"/>
    </row>
    <row r="136" spans="1:36" s="26" customFormat="1" ht="13.5" customHeight="1">
      <c r="A136" s="187">
        <v>43</v>
      </c>
      <c r="B136" s="50">
        <v>43983</v>
      </c>
      <c r="C136" s="61">
        <f>VLOOKUP(B136,'base(indices)'!$A$4:$C$183,3,FALSE)</f>
        <v>1045</v>
      </c>
      <c r="D136" s="192">
        <f>'base(indices)'!G129</f>
        <v>1.1380711400000001</v>
      </c>
      <c r="E136" s="54">
        <f t="shared" si="76"/>
        <v>1189.2843413000001</v>
      </c>
      <c r="F136" s="82">
        <f>'base(indices)'!$I$147</f>
        <v>0.29920000000000002</v>
      </c>
      <c r="G136" s="54">
        <f t="shared" si="33"/>
        <v>355.83387491696004</v>
      </c>
      <c r="H136" s="267">
        <f t="shared" si="34"/>
        <v>1545.11821621696</v>
      </c>
      <c r="I136" s="414">
        <f t="shared" si="48"/>
        <v>70191.146396244367</v>
      </c>
      <c r="J136" s="58">
        <f>IF((I136-H$141+(H$141/12*7))+K136-(H136/2)&gt;$I$197,$I$197-K136,(I136-H$141+(H$141/12*7)-(H136/2)))</f>
        <v>68787.118754439885</v>
      </c>
      <c r="K136" s="91">
        <f t="shared" si="69"/>
        <v>8719.2410256151761</v>
      </c>
      <c r="L136" s="284">
        <f t="shared" si="50"/>
        <v>77506.359780055063</v>
      </c>
      <c r="M136" s="57">
        <f t="shared" si="51"/>
        <v>65347.762816717885</v>
      </c>
      <c r="N136" s="91">
        <f t="shared" si="52"/>
        <v>8283.2789743344165</v>
      </c>
      <c r="O136" s="60">
        <f t="shared" si="53"/>
        <v>73631.041791052296</v>
      </c>
      <c r="P136" s="58">
        <f t="shared" si="71"/>
        <v>61908.406878995898</v>
      </c>
      <c r="Q136" s="91">
        <f t="shared" si="55"/>
        <v>7847.3169230536587</v>
      </c>
      <c r="R136" s="59">
        <f t="shared" si="72"/>
        <v>69755.723802049557</v>
      </c>
      <c r="S136" s="57">
        <f t="shared" si="74"/>
        <v>55029.695003551911</v>
      </c>
      <c r="T136" s="91">
        <f t="shared" si="58"/>
        <v>6975.3928204921413</v>
      </c>
      <c r="U136" s="60">
        <f t="shared" si="75"/>
        <v>62005.087824044051</v>
      </c>
      <c r="V136" s="58">
        <f t="shared" si="60"/>
        <v>48150.983128107917</v>
      </c>
      <c r="W136" s="91">
        <f t="shared" si="61"/>
        <v>6103.4687179306229</v>
      </c>
      <c r="X136" s="59">
        <f t="shared" si="62"/>
        <v>54254.451846038537</v>
      </c>
      <c r="Y136" s="57">
        <f t="shared" si="63"/>
        <v>41272.27125266393</v>
      </c>
      <c r="Z136" s="91">
        <f t="shared" si="64"/>
        <v>5231.5446153691055</v>
      </c>
      <c r="AA136" s="59">
        <f t="shared" si="65"/>
        <v>46503.815868033038</v>
      </c>
      <c r="AB136" s="381"/>
      <c r="AC136" s="32"/>
      <c r="AD136" s="32"/>
      <c r="AE136" s="32"/>
      <c r="AF136" s="32"/>
      <c r="AG136" s="32"/>
      <c r="AH136" s="33"/>
      <c r="AI136" s="32"/>
      <c r="AJ136" s="32"/>
    </row>
    <row r="137" spans="1:36" s="26" customFormat="1" ht="13.5" customHeight="1">
      <c r="A137" s="187">
        <v>42</v>
      </c>
      <c r="B137" s="50">
        <v>44013</v>
      </c>
      <c r="C137" s="61">
        <f>VLOOKUP(B137,'base(indices)'!$A$4:$C$183,3,FALSE)</f>
        <v>1045</v>
      </c>
      <c r="D137" s="192">
        <f>'base(indices)'!G130</f>
        <v>1.13784357</v>
      </c>
      <c r="E137" s="63">
        <f t="shared" si="76"/>
        <v>1189.04653065</v>
      </c>
      <c r="F137" s="82">
        <f>'base(indices)'!$I$147</f>
        <v>0.29920000000000002</v>
      </c>
      <c r="G137" s="63">
        <f t="shared" si="33"/>
        <v>355.76272197048002</v>
      </c>
      <c r="H137" s="268">
        <f t="shared" si="34"/>
        <v>1544.80925262048</v>
      </c>
      <c r="I137" s="415">
        <f t="shared" si="48"/>
        <v>68646.02818002741</v>
      </c>
      <c r="J137" s="45">
        <f>IF((I137-H$141+(H$141/12*6))+K137-(H137/2)&gt;$I$197,$I$197-K137,(I137-H$141+(H$141/12*6)-(H137/2)))</f>
        <v>67115.861313281974</v>
      </c>
      <c r="K137" s="108">
        <f t="shared" si="69"/>
        <v>8719.2410256151761</v>
      </c>
      <c r="L137" s="46">
        <f t="shared" si="50"/>
        <v>75835.102338897152</v>
      </c>
      <c r="M137" s="43">
        <f t="shared" si="51"/>
        <v>63760.06824761787</v>
      </c>
      <c r="N137" s="108">
        <f t="shared" si="52"/>
        <v>8283.2789743344165</v>
      </c>
      <c r="O137" s="47">
        <f t="shared" si="53"/>
        <v>72043.347221952281</v>
      </c>
      <c r="P137" s="119">
        <f t="shared" si="71"/>
        <v>60404.275181953781</v>
      </c>
      <c r="Q137" s="108">
        <f t="shared" si="55"/>
        <v>7847.3169230536587</v>
      </c>
      <c r="R137" s="46">
        <f t="shared" si="72"/>
        <v>68251.592105007439</v>
      </c>
      <c r="S137" s="43">
        <f t="shared" si="74"/>
        <v>53692.68905062558</v>
      </c>
      <c r="T137" s="108">
        <f t="shared" si="58"/>
        <v>6975.3928204921413</v>
      </c>
      <c r="U137" s="47">
        <f t="shared" si="75"/>
        <v>60668.08187111772</v>
      </c>
      <c r="V137" s="45">
        <f t="shared" si="60"/>
        <v>46981.10291929738</v>
      </c>
      <c r="W137" s="108">
        <f t="shared" si="61"/>
        <v>6103.4687179306229</v>
      </c>
      <c r="X137" s="46">
        <f t="shared" si="62"/>
        <v>53084.571637228</v>
      </c>
      <c r="Y137" s="43">
        <f t="shared" si="63"/>
        <v>40269.51678796918</v>
      </c>
      <c r="Z137" s="108">
        <f t="shared" si="64"/>
        <v>5231.5446153691055</v>
      </c>
      <c r="AA137" s="46">
        <f t="shared" si="65"/>
        <v>45501.061403338288</v>
      </c>
      <c r="AB137" s="380"/>
      <c r="AC137" s="32"/>
      <c r="AD137" s="32"/>
      <c r="AE137" s="32"/>
      <c r="AF137" s="32"/>
      <c r="AG137" s="32"/>
      <c r="AH137" s="33"/>
      <c r="AI137" s="32"/>
      <c r="AJ137" s="32"/>
    </row>
    <row r="138" spans="1:36" s="26" customFormat="1" ht="13.5" customHeight="1">
      <c r="A138" s="187">
        <v>41</v>
      </c>
      <c r="B138" s="50">
        <v>44044</v>
      </c>
      <c r="C138" s="61">
        <f>VLOOKUP(B138,'base(indices)'!$A$4:$C$183,3,FALSE)</f>
        <v>1045</v>
      </c>
      <c r="D138" s="192">
        <f>'base(indices)'!G131</f>
        <v>1.1344402499999999</v>
      </c>
      <c r="E138" s="54">
        <f t="shared" si="76"/>
        <v>1185.4900612499998</v>
      </c>
      <c r="F138" s="82">
        <f>'base(indices)'!$I$147</f>
        <v>0.29920000000000002</v>
      </c>
      <c r="G138" s="54">
        <f t="shared" si="33"/>
        <v>354.69862632599995</v>
      </c>
      <c r="H138" s="267">
        <f t="shared" si="34"/>
        <v>1540.1886875759997</v>
      </c>
      <c r="I138" s="414">
        <f t="shared" si="48"/>
        <v>67101.218927406924</v>
      </c>
      <c r="J138" s="58">
        <f>IF((I138-H$141+(H$141/12*5))+K138-(H138/2)&gt;$I$197,$I$197-K138,(I138-H$141+(H$141/12*5)-(H138/2)))</f>
        <v>65447.068636444521</v>
      </c>
      <c r="K138" s="91">
        <f t="shared" si="69"/>
        <v>8719.2410256151761</v>
      </c>
      <c r="L138" s="284">
        <f t="shared" si="50"/>
        <v>74166.309662059692</v>
      </c>
      <c r="M138" s="57">
        <f t="shared" si="51"/>
        <v>62174.715204622291</v>
      </c>
      <c r="N138" s="91">
        <f t="shared" si="52"/>
        <v>8283.2789743344165</v>
      </c>
      <c r="O138" s="60">
        <f t="shared" si="53"/>
        <v>70457.994178956709</v>
      </c>
      <c r="P138" s="58">
        <f t="shared" si="71"/>
        <v>58902.361772800068</v>
      </c>
      <c r="Q138" s="91">
        <f t="shared" si="55"/>
        <v>7847.3169230536587</v>
      </c>
      <c r="R138" s="59">
        <f t="shared" si="72"/>
        <v>66749.678695853727</v>
      </c>
      <c r="S138" s="57">
        <f t="shared" si="74"/>
        <v>52357.654909155623</v>
      </c>
      <c r="T138" s="91">
        <f t="shared" si="58"/>
        <v>6975.3928204921413</v>
      </c>
      <c r="U138" s="60">
        <f t="shared" si="75"/>
        <v>59333.047729647762</v>
      </c>
      <c r="V138" s="58">
        <f t="shared" si="60"/>
        <v>45812.948045511162</v>
      </c>
      <c r="W138" s="91">
        <f t="shared" si="61"/>
        <v>6103.4687179306229</v>
      </c>
      <c r="X138" s="59">
        <f t="shared" si="62"/>
        <v>51916.416763441783</v>
      </c>
      <c r="Y138" s="57">
        <f t="shared" si="63"/>
        <v>39268.24118186671</v>
      </c>
      <c r="Z138" s="91">
        <f t="shared" si="64"/>
        <v>5231.5446153691055</v>
      </c>
      <c r="AA138" s="59">
        <f t="shared" si="65"/>
        <v>44499.785797235818</v>
      </c>
      <c r="AB138" s="381"/>
      <c r="AC138" s="32"/>
      <c r="AD138" s="32"/>
      <c r="AE138" s="32"/>
      <c r="AF138" s="32"/>
      <c r="AG138" s="32"/>
      <c r="AH138" s="33"/>
      <c r="AI138" s="32"/>
      <c r="AJ138" s="32"/>
    </row>
    <row r="139" spans="1:36" s="26" customFormat="1" ht="13.5" customHeight="1">
      <c r="A139" s="187">
        <v>40</v>
      </c>
      <c r="B139" s="50">
        <v>44075</v>
      </c>
      <c r="C139" s="61">
        <f>VLOOKUP(B139,'base(indices)'!$A$4:$C$183,3,FALSE)</f>
        <v>1045</v>
      </c>
      <c r="D139" s="192">
        <f>'base(indices)'!G132</f>
        <v>1.1318370200000001</v>
      </c>
      <c r="E139" s="63">
        <f t="shared" si="76"/>
        <v>1182.7696859</v>
      </c>
      <c r="F139" s="82">
        <f>'base(indices)'!$I$147</f>
        <v>0.29920000000000002</v>
      </c>
      <c r="G139" s="63">
        <f t="shared" ref="G139:G166" si="77">E139*F139</f>
        <v>353.88469002128005</v>
      </c>
      <c r="H139" s="268">
        <f t="shared" ref="H139:H166" si="78">E139+G139</f>
        <v>1536.65437592128</v>
      </c>
      <c r="I139" s="415">
        <f t="shared" si="48"/>
        <v>65561.030239830929</v>
      </c>
      <c r="J139" s="45">
        <f>IF((I139-H$141+(H$141/12*4))+K139-(H139/2)&gt;$I$197,$I$197-K139,(I139-H$141+(H$141/12*4)-(H139/2)))</f>
        <v>63782.353397956686</v>
      </c>
      <c r="K139" s="108">
        <f t="shared" ref="K139:K170" si="79">I$196</f>
        <v>8719.2410256151761</v>
      </c>
      <c r="L139" s="46">
        <f t="shared" si="50"/>
        <v>72501.594423571863</v>
      </c>
      <c r="M139" s="43">
        <f t="shared" si="51"/>
        <v>60593.235728058848</v>
      </c>
      <c r="N139" s="108">
        <f t="shared" si="52"/>
        <v>8283.2789743344165</v>
      </c>
      <c r="O139" s="47">
        <f t="shared" si="53"/>
        <v>68876.514702393266</v>
      </c>
      <c r="P139" s="119">
        <f t="shared" si="71"/>
        <v>57404.118058161017</v>
      </c>
      <c r="Q139" s="108">
        <f t="shared" si="55"/>
        <v>7847.3169230536587</v>
      </c>
      <c r="R139" s="46">
        <f t="shared" si="72"/>
        <v>65251.434981214676</v>
      </c>
      <c r="S139" s="43">
        <f t="shared" si="74"/>
        <v>51025.882718365348</v>
      </c>
      <c r="T139" s="108">
        <f t="shared" si="58"/>
        <v>6975.3928204921413</v>
      </c>
      <c r="U139" s="47">
        <f t="shared" si="75"/>
        <v>58001.275538857488</v>
      </c>
      <c r="V139" s="45">
        <f t="shared" si="60"/>
        <v>44647.64737856968</v>
      </c>
      <c r="W139" s="108">
        <f t="shared" si="61"/>
        <v>6103.4687179306229</v>
      </c>
      <c r="X139" s="46">
        <f t="shared" si="62"/>
        <v>50751.1160965003</v>
      </c>
      <c r="Y139" s="43">
        <f t="shared" si="63"/>
        <v>38269.412038774011</v>
      </c>
      <c r="Z139" s="108">
        <f t="shared" si="64"/>
        <v>5231.5446153691055</v>
      </c>
      <c r="AA139" s="46">
        <f t="shared" si="65"/>
        <v>43500.95665414312</v>
      </c>
      <c r="AB139" s="380"/>
      <c r="AC139" s="32"/>
      <c r="AD139" s="32"/>
      <c r="AE139" s="32"/>
      <c r="AF139" s="32"/>
      <c r="AG139" s="32"/>
      <c r="AH139" s="33"/>
      <c r="AI139" s="32"/>
      <c r="AJ139" s="32"/>
    </row>
    <row r="140" spans="1:36" s="26" customFormat="1" ht="13.5" customHeight="1">
      <c r="A140" s="187">
        <v>39</v>
      </c>
      <c r="B140" s="50">
        <v>44105</v>
      </c>
      <c r="C140" s="61">
        <f>VLOOKUP(B140,'base(indices)'!$A$4:$C$183,3,FALSE)</f>
        <v>1045</v>
      </c>
      <c r="D140" s="192">
        <f>'base(indices)'!G133</f>
        <v>1.12676657</v>
      </c>
      <c r="E140" s="54">
        <f t="shared" si="76"/>
        <v>1177.4710656500001</v>
      </c>
      <c r="F140" s="82">
        <f>'base(indices)'!$I$147</f>
        <v>0.29920000000000002</v>
      </c>
      <c r="G140" s="54">
        <f t="shared" si="77"/>
        <v>352.29934284248009</v>
      </c>
      <c r="H140" s="267">
        <f t="shared" si="78"/>
        <v>1529.7704084924803</v>
      </c>
      <c r="I140" s="414">
        <f t="shared" si="48"/>
        <v>64024.375863909649</v>
      </c>
      <c r="J140" s="58">
        <f>IF((I140-H$141+(H$141/12*3))+K140-(H140/2)&gt;$I$197,$I$197-K140,(I140-H$141+(H$141/12*3)-(H140/2)))</f>
        <v>62122.847299010609</v>
      </c>
      <c r="K140" s="91">
        <f t="shared" si="79"/>
        <v>8719.2410256151761</v>
      </c>
      <c r="L140" s="284">
        <f t="shared" si="50"/>
        <v>70842.088324625787</v>
      </c>
      <c r="M140" s="57">
        <f t="shared" si="51"/>
        <v>59016.704934060079</v>
      </c>
      <c r="N140" s="91">
        <f t="shared" si="52"/>
        <v>8283.2789743344165</v>
      </c>
      <c r="O140" s="60">
        <f t="shared" si="53"/>
        <v>67299.983908394497</v>
      </c>
      <c r="P140" s="58">
        <f t="shared" si="71"/>
        <v>55910.562569109548</v>
      </c>
      <c r="Q140" s="91">
        <f t="shared" si="55"/>
        <v>7847.3169230536587</v>
      </c>
      <c r="R140" s="59">
        <f t="shared" si="72"/>
        <v>63757.879492163207</v>
      </c>
      <c r="S140" s="57">
        <f t="shared" si="74"/>
        <v>49698.277839208487</v>
      </c>
      <c r="T140" s="91">
        <f t="shared" si="58"/>
        <v>6975.3928204921413</v>
      </c>
      <c r="U140" s="60">
        <f t="shared" si="75"/>
        <v>56673.670659700627</v>
      </c>
      <c r="V140" s="58">
        <f t="shared" si="60"/>
        <v>43485.993109307426</v>
      </c>
      <c r="W140" s="91">
        <f t="shared" si="61"/>
        <v>6103.4687179306229</v>
      </c>
      <c r="X140" s="59">
        <f t="shared" si="62"/>
        <v>49589.461827238047</v>
      </c>
      <c r="Y140" s="57">
        <f t="shared" si="63"/>
        <v>37273.708379406366</v>
      </c>
      <c r="Z140" s="91">
        <f t="shared" si="64"/>
        <v>5231.5446153691055</v>
      </c>
      <c r="AA140" s="59">
        <f t="shared" si="65"/>
        <v>42505.252994775474</v>
      </c>
      <c r="AB140" s="381"/>
      <c r="AC140" s="32"/>
      <c r="AD140" s="32"/>
      <c r="AE140" s="32"/>
      <c r="AF140" s="32"/>
      <c r="AG140" s="32"/>
      <c r="AH140" s="33"/>
      <c r="AI140" s="32"/>
      <c r="AJ140" s="32"/>
    </row>
    <row r="141" spans="1:36" s="26" customFormat="1" ht="13.5" customHeight="1">
      <c r="A141" s="187">
        <v>38</v>
      </c>
      <c r="B141" s="50">
        <v>44136</v>
      </c>
      <c r="C141" s="61">
        <f>VLOOKUP(B141,'base(indices)'!$A$4:$C$183,3,FALSE)</f>
        <v>1045</v>
      </c>
      <c r="D141" s="192">
        <f>'base(indices)'!G134</f>
        <v>1.1162736</v>
      </c>
      <c r="E141" s="63">
        <f t="shared" si="76"/>
        <v>1166.5059120000001</v>
      </c>
      <c r="F141" s="82">
        <f>'base(indices)'!$I$147</f>
        <v>0.29920000000000002</v>
      </c>
      <c r="G141" s="63">
        <f t="shared" si="77"/>
        <v>349.01856887040003</v>
      </c>
      <c r="H141" s="268">
        <f t="shared" si="78"/>
        <v>1515.5244808704001</v>
      </c>
      <c r="I141" s="415">
        <f t="shared" ref="I141:I142" si="80">I140-H140</f>
        <v>62494.605455417171</v>
      </c>
      <c r="J141" s="45">
        <f>IF((I141-H$141+(H$141/12*2))+K141-(H141/2)&gt;$I$197,$I$197-K141,(I141-H$141+(H$141/12*2)-(H141/2)))</f>
        <v>60473.906147589973</v>
      </c>
      <c r="K141" s="108">
        <f t="shared" si="79"/>
        <v>8719.2410256151761</v>
      </c>
      <c r="L141" s="46">
        <f t="shared" si="50"/>
        <v>69193.147173205143</v>
      </c>
      <c r="M141" s="43">
        <f t="shared" si="51"/>
        <v>57450.210840210471</v>
      </c>
      <c r="N141" s="108">
        <f t="shared" si="52"/>
        <v>8283.2789743344165</v>
      </c>
      <c r="O141" s="47">
        <f t="shared" si="53"/>
        <v>65733.489814544882</v>
      </c>
      <c r="P141" s="119">
        <f t="shared" si="71"/>
        <v>54426.515532830977</v>
      </c>
      <c r="Q141" s="108">
        <f t="shared" si="55"/>
        <v>7847.3169230536587</v>
      </c>
      <c r="R141" s="46">
        <f t="shared" si="72"/>
        <v>62273.832455884636</v>
      </c>
      <c r="S141" s="43">
        <f t="shared" si="74"/>
        <v>48379.124918071982</v>
      </c>
      <c r="T141" s="108">
        <f t="shared" si="58"/>
        <v>6975.3928204921413</v>
      </c>
      <c r="U141" s="47">
        <f t="shared" si="75"/>
        <v>55354.517738564122</v>
      </c>
      <c r="V141" s="45">
        <f t="shared" si="60"/>
        <v>42331.73430331298</v>
      </c>
      <c r="W141" s="108">
        <f t="shared" si="61"/>
        <v>6103.4687179306229</v>
      </c>
      <c r="X141" s="46">
        <f t="shared" si="62"/>
        <v>48435.2030212436</v>
      </c>
      <c r="Y141" s="43">
        <f t="shared" si="63"/>
        <v>36284.343688553985</v>
      </c>
      <c r="Z141" s="108">
        <f t="shared" si="64"/>
        <v>5231.5446153691055</v>
      </c>
      <c r="AA141" s="46">
        <f t="shared" si="65"/>
        <v>41515.888303923093</v>
      </c>
      <c r="AB141" s="380"/>
      <c r="AC141" s="32"/>
      <c r="AD141" s="32"/>
      <c r="AE141" s="32"/>
      <c r="AF141" s="32"/>
      <c r="AG141" s="32"/>
      <c r="AH141" s="33"/>
      <c r="AI141" s="32"/>
      <c r="AJ141" s="32"/>
    </row>
    <row r="142" spans="1:36" s="26" customFormat="1" ht="13.5" customHeight="1" thickBot="1">
      <c r="A142" s="188">
        <v>37</v>
      </c>
      <c r="B142" s="68">
        <v>44166</v>
      </c>
      <c r="C142" s="69">
        <f>C141*2</f>
        <v>2090</v>
      </c>
      <c r="D142" s="335">
        <f>'base(indices)'!G135</f>
        <v>1.1073044400000001</v>
      </c>
      <c r="E142" s="163">
        <f t="shared" si="76"/>
        <v>2314.2662796</v>
      </c>
      <c r="F142" s="304">
        <f>'base(indices)'!$I$147</f>
        <v>0.29920000000000002</v>
      </c>
      <c r="G142" s="163">
        <f t="shared" si="77"/>
        <v>692.42847085632002</v>
      </c>
      <c r="H142" s="355">
        <f t="shared" si="78"/>
        <v>3006.69475045632</v>
      </c>
      <c r="I142" s="416">
        <f t="shared" si="80"/>
        <v>60979.08097454677</v>
      </c>
      <c r="J142" s="175">
        <f>IF((I142-H$141+(H$141/12*1))+K142-(H142/4)&gt;$I$197,$I$197-K142,(I142-H$141+(H$141/12*1)-(H142/4)))</f>
        <v>58838.176512801489</v>
      </c>
      <c r="K142" s="86">
        <f t="shared" si="79"/>
        <v>8719.2410256151761</v>
      </c>
      <c r="L142" s="287">
        <f t="shared" si="50"/>
        <v>67557.417538416659</v>
      </c>
      <c r="M142" s="85">
        <f t="shared" si="51"/>
        <v>55896.267687161409</v>
      </c>
      <c r="N142" s="86">
        <f t="shared" si="52"/>
        <v>8283.2789743344165</v>
      </c>
      <c r="O142" s="107">
        <f t="shared" si="53"/>
        <v>64179.546661495828</v>
      </c>
      <c r="P142" s="175">
        <f t="shared" si="71"/>
        <v>52954.358861521338</v>
      </c>
      <c r="Q142" s="86">
        <f t="shared" si="55"/>
        <v>7847.3169230536587</v>
      </c>
      <c r="R142" s="165">
        <f t="shared" si="72"/>
        <v>60801.675784574996</v>
      </c>
      <c r="S142" s="85">
        <f>J142*S$9</f>
        <v>47070.541210241194</v>
      </c>
      <c r="T142" s="86">
        <f t="shared" si="58"/>
        <v>6975.3928204921413</v>
      </c>
      <c r="U142" s="107">
        <f>S142+T142</f>
        <v>54045.934030733333</v>
      </c>
      <c r="V142" s="175">
        <f t="shared" si="60"/>
        <v>41186.723558961043</v>
      </c>
      <c r="W142" s="86">
        <f t="shared" si="61"/>
        <v>6103.4687179306229</v>
      </c>
      <c r="X142" s="165">
        <f t="shared" si="62"/>
        <v>47290.192276891663</v>
      </c>
      <c r="Y142" s="85">
        <f t="shared" si="63"/>
        <v>35302.905907680892</v>
      </c>
      <c r="Z142" s="86">
        <f t="shared" si="64"/>
        <v>5231.5446153691055</v>
      </c>
      <c r="AA142" s="165">
        <f t="shared" si="65"/>
        <v>40534.45052305</v>
      </c>
      <c r="AB142" s="381"/>
      <c r="AC142" s="32"/>
      <c r="AD142" s="32"/>
      <c r="AE142" s="32"/>
      <c r="AF142" s="32"/>
      <c r="AG142" s="32"/>
      <c r="AH142" s="33"/>
      <c r="AI142" s="32"/>
      <c r="AJ142" s="32"/>
    </row>
    <row r="143" spans="1:36" ht="13.5" customHeight="1">
      <c r="A143" s="217">
        <v>36</v>
      </c>
      <c r="B143" s="246">
        <v>44197</v>
      </c>
      <c r="C143" s="273">
        <f>VLOOKUP(B143,'base(indices)'!$A$4:$C$183,3,FALSE)</f>
        <v>1100</v>
      </c>
      <c r="D143" s="195">
        <f>'base(indices)'!G136</f>
        <v>1.09569012</v>
      </c>
      <c r="E143" s="154">
        <f>C143*D143</f>
        <v>1205.2591319999999</v>
      </c>
      <c r="F143" s="42">
        <f>'base(indices)'!$I$147</f>
        <v>0.29920000000000002</v>
      </c>
      <c r="G143" s="154">
        <f t="shared" si="77"/>
        <v>360.61353229439999</v>
      </c>
      <c r="H143" s="362">
        <f t="shared" si="78"/>
        <v>1565.8726642943998</v>
      </c>
      <c r="I143" s="401">
        <f t="shared" ref="I143:I176" si="81">I142-H142</f>
        <v>57972.386224090449</v>
      </c>
      <c r="J143" s="288">
        <f>IF((I143-H$153+(H$153))+K143-(H143/2)&gt;$I$197,$I$197-K143,(I143-H$153+(H$153)-(H143/2)))</f>
        <v>57189.449891943252</v>
      </c>
      <c r="K143" s="156">
        <f t="shared" si="79"/>
        <v>8719.2410256151761</v>
      </c>
      <c r="L143" s="150">
        <f t="shared" si="50"/>
        <v>65908.69091755843</v>
      </c>
      <c r="M143" s="283">
        <f t="shared" si="51"/>
        <v>54329.977397346083</v>
      </c>
      <c r="N143" s="156">
        <f t="shared" si="52"/>
        <v>8283.2789743344165</v>
      </c>
      <c r="O143" s="290">
        <f t="shared" si="53"/>
        <v>62613.256371680502</v>
      </c>
      <c r="P143" s="292">
        <f t="shared" si="71"/>
        <v>51470.504902748929</v>
      </c>
      <c r="Q143" s="156">
        <f t="shared" si="55"/>
        <v>7847.3169230536587</v>
      </c>
      <c r="R143" s="150">
        <f t="shared" si="72"/>
        <v>59317.821825802588</v>
      </c>
      <c r="S143" s="283">
        <f>J143*S$9</f>
        <v>45751.559913554607</v>
      </c>
      <c r="T143" s="156">
        <f t="shared" si="58"/>
        <v>6975.3928204921413</v>
      </c>
      <c r="U143" s="290">
        <f>S143+T143</f>
        <v>52726.952734046747</v>
      </c>
      <c r="V143" s="288">
        <f t="shared" si="60"/>
        <v>40032.61492436027</v>
      </c>
      <c r="W143" s="156">
        <f t="shared" si="61"/>
        <v>6103.4687179306229</v>
      </c>
      <c r="X143" s="150">
        <f t="shared" si="62"/>
        <v>46136.083642290891</v>
      </c>
      <c r="Y143" s="283">
        <f t="shared" si="63"/>
        <v>34313.669935165948</v>
      </c>
      <c r="Z143" s="156">
        <f t="shared" si="64"/>
        <v>5231.5446153691055</v>
      </c>
      <c r="AA143" s="150">
        <f t="shared" si="65"/>
        <v>39545.214550535056</v>
      </c>
      <c r="AB143" s="380"/>
    </row>
    <row r="144" spans="1:36" ht="13.5" customHeight="1">
      <c r="A144" s="187">
        <v>35</v>
      </c>
      <c r="B144" s="50">
        <v>44228</v>
      </c>
      <c r="C144" s="61">
        <f>VLOOKUP(B144,'base(indices)'!$A$4:$C$183,3,FALSE)</f>
        <v>1100</v>
      </c>
      <c r="D144" s="192">
        <f>'base(indices)'!G137</f>
        <v>1.0872098800000001</v>
      </c>
      <c r="E144" s="54">
        <f t="shared" ref="E144:E154" si="82">C144*D144</f>
        <v>1195.9308680000001</v>
      </c>
      <c r="F144" s="82">
        <f>'base(indices)'!$I$147</f>
        <v>0.29920000000000002</v>
      </c>
      <c r="G144" s="54">
        <f t="shared" si="77"/>
        <v>357.8225157056001</v>
      </c>
      <c r="H144" s="267">
        <f t="shared" si="78"/>
        <v>1553.7533837056003</v>
      </c>
      <c r="I144" s="359">
        <f t="shared" si="81"/>
        <v>56406.513559796047</v>
      </c>
      <c r="J144" s="58">
        <f>IF((I144-H$153+(H$153/12*11))+K144-(H144/2)&gt;$I$197,$I$197-K144,(I144-H$153+(H$153/12*11)-(H144/2)))</f>
        <v>55509.150144991778</v>
      </c>
      <c r="K144" s="91">
        <f t="shared" si="79"/>
        <v>8719.2410256151761</v>
      </c>
      <c r="L144" s="284">
        <f t="shared" si="50"/>
        <v>64228.391170606956</v>
      </c>
      <c r="M144" s="57">
        <f t="shared" si="51"/>
        <v>52733.692637742184</v>
      </c>
      <c r="N144" s="91">
        <f t="shared" si="52"/>
        <v>8283.2789743344165</v>
      </c>
      <c r="O144" s="60">
        <f t="shared" si="53"/>
        <v>61016.971612076602</v>
      </c>
      <c r="P144" s="58">
        <f t="shared" si="71"/>
        <v>49958.235130492598</v>
      </c>
      <c r="Q144" s="91">
        <f t="shared" si="55"/>
        <v>7847.3169230536587</v>
      </c>
      <c r="R144" s="59">
        <f t="shared" si="72"/>
        <v>57805.552053546257</v>
      </c>
      <c r="S144" s="57">
        <f t="shared" ref="S144:S166" si="83">J144*S$9</f>
        <v>44407.320115993425</v>
      </c>
      <c r="T144" s="91">
        <f t="shared" si="58"/>
        <v>6975.3928204921413</v>
      </c>
      <c r="U144" s="60">
        <f t="shared" ref="U144:U166" si="84">S144+T144</f>
        <v>51382.712936485565</v>
      </c>
      <c r="V144" s="58">
        <f t="shared" si="60"/>
        <v>38856.405101494245</v>
      </c>
      <c r="W144" s="91">
        <f t="shared" si="61"/>
        <v>6103.4687179306229</v>
      </c>
      <c r="X144" s="59">
        <f t="shared" si="62"/>
        <v>44959.873819424865</v>
      </c>
      <c r="Y144" s="57">
        <f t="shared" si="63"/>
        <v>33305.490086995065</v>
      </c>
      <c r="Z144" s="91">
        <f t="shared" si="64"/>
        <v>5231.5446153691055</v>
      </c>
      <c r="AA144" s="59">
        <f t="shared" si="65"/>
        <v>38537.034702364173</v>
      </c>
      <c r="AB144" s="381"/>
    </row>
    <row r="145" spans="1:28" ht="13.5" customHeight="1">
      <c r="A145" s="187">
        <v>34</v>
      </c>
      <c r="B145" s="50">
        <v>44256</v>
      </c>
      <c r="C145" s="61">
        <f>VLOOKUP(B145,'base(indices)'!$A$4:$C$183,3,FALSE)</f>
        <v>1100</v>
      </c>
      <c r="D145" s="192">
        <f>'base(indices)'!G138</f>
        <v>1.0820162099999999</v>
      </c>
      <c r="E145" s="63">
        <f t="shared" si="82"/>
        <v>1190.2178309999999</v>
      </c>
      <c r="F145" s="82">
        <f>'base(indices)'!$I$147</f>
        <v>0.29920000000000002</v>
      </c>
      <c r="G145" s="63">
        <f t="shared" si="77"/>
        <v>356.11317503520002</v>
      </c>
      <c r="H145" s="268">
        <f t="shared" si="78"/>
        <v>1546.3310060352001</v>
      </c>
      <c r="I145" s="360">
        <f t="shared" si="81"/>
        <v>54852.760176090444</v>
      </c>
      <c r="J145" s="45">
        <f>IF((I145-H$153+(H$153/12*10))+K145-(H145/2)&gt;$I$197,$I$197-K145,(I145-H$153+(H$153/12*10)-(H145/2)))</f>
        <v>53838.621227169911</v>
      </c>
      <c r="K145" s="108">
        <f t="shared" si="79"/>
        <v>8719.2410256151761</v>
      </c>
      <c r="L145" s="46">
        <f t="shared" si="50"/>
        <v>62557.862252785089</v>
      </c>
      <c r="M145" s="43">
        <f t="shared" si="51"/>
        <v>51146.690165811415</v>
      </c>
      <c r="N145" s="108">
        <f t="shared" si="52"/>
        <v>8283.2789743344165</v>
      </c>
      <c r="O145" s="47">
        <f t="shared" si="53"/>
        <v>59429.969140145833</v>
      </c>
      <c r="P145" s="119">
        <f t="shared" si="71"/>
        <v>48454.759104452918</v>
      </c>
      <c r="Q145" s="108">
        <f t="shared" si="55"/>
        <v>7847.3169230536587</v>
      </c>
      <c r="R145" s="46">
        <f t="shared" si="72"/>
        <v>56302.076027506577</v>
      </c>
      <c r="S145" s="43">
        <f t="shared" si="83"/>
        <v>43070.896981735932</v>
      </c>
      <c r="T145" s="108">
        <f t="shared" si="58"/>
        <v>6975.3928204921413</v>
      </c>
      <c r="U145" s="47">
        <f t="shared" si="84"/>
        <v>50046.289802228071</v>
      </c>
      <c r="V145" s="45">
        <f t="shared" si="60"/>
        <v>37687.034859018939</v>
      </c>
      <c r="W145" s="108">
        <f t="shared" si="61"/>
        <v>6103.4687179306229</v>
      </c>
      <c r="X145" s="46">
        <f t="shared" si="62"/>
        <v>43790.503576949559</v>
      </c>
      <c r="Y145" s="43">
        <f t="shared" si="63"/>
        <v>32303.172736301945</v>
      </c>
      <c r="Z145" s="108">
        <f t="shared" si="64"/>
        <v>5231.5446153691055</v>
      </c>
      <c r="AA145" s="46">
        <f t="shared" si="65"/>
        <v>37534.717351671054</v>
      </c>
      <c r="AB145" s="380"/>
    </row>
    <row r="146" spans="1:28" ht="13.5" customHeight="1">
      <c r="A146" s="187">
        <v>33</v>
      </c>
      <c r="B146" s="50">
        <v>44287</v>
      </c>
      <c r="C146" s="61">
        <f>VLOOKUP(B146,'base(indices)'!$A$4:$C$183,3,FALSE)</f>
        <v>1100</v>
      </c>
      <c r="D146" s="192">
        <f>'base(indices)'!G139</f>
        <v>1.0720461800000001</v>
      </c>
      <c r="E146" s="54">
        <f t="shared" si="82"/>
        <v>1179.250798</v>
      </c>
      <c r="F146" s="82">
        <f>'base(indices)'!$I$147</f>
        <v>0.29920000000000002</v>
      </c>
      <c r="G146" s="54">
        <f t="shared" si="77"/>
        <v>352.83183876160001</v>
      </c>
      <c r="H146" s="267">
        <f t="shared" si="78"/>
        <v>1532.0826367616</v>
      </c>
      <c r="I146" s="359">
        <f t="shared" si="81"/>
        <v>53306.429170055242</v>
      </c>
      <c r="J146" s="58">
        <f>IF((I146-H$153+(H$153/12*9))+K146-(H146/2)&gt;$I$197,$I$197-K146,(I146-H$153+(H$153/12*9)-(H146/2)))</f>
        <v>52178.927682820038</v>
      </c>
      <c r="K146" s="91">
        <f t="shared" si="79"/>
        <v>8719.2410256151761</v>
      </c>
      <c r="L146" s="284">
        <f t="shared" si="50"/>
        <v>60898.168708435216</v>
      </c>
      <c r="M146" s="57">
        <f t="shared" si="51"/>
        <v>49569.981298679035</v>
      </c>
      <c r="N146" s="91">
        <f t="shared" si="52"/>
        <v>8283.2789743344165</v>
      </c>
      <c r="O146" s="60">
        <f t="shared" si="53"/>
        <v>57853.260273013453</v>
      </c>
      <c r="P146" s="58">
        <f t="shared" si="71"/>
        <v>46961.034914538039</v>
      </c>
      <c r="Q146" s="91">
        <f t="shared" si="55"/>
        <v>7847.3169230536587</v>
      </c>
      <c r="R146" s="59">
        <f t="shared" si="72"/>
        <v>54808.351837591697</v>
      </c>
      <c r="S146" s="57">
        <f t="shared" si="83"/>
        <v>41743.142146256032</v>
      </c>
      <c r="T146" s="91">
        <f t="shared" si="58"/>
        <v>6975.3928204921413</v>
      </c>
      <c r="U146" s="60">
        <f t="shared" si="84"/>
        <v>48718.534966748171</v>
      </c>
      <c r="V146" s="58">
        <f t="shared" si="60"/>
        <v>36525.249377974025</v>
      </c>
      <c r="W146" s="91">
        <f t="shared" si="61"/>
        <v>6103.4687179306229</v>
      </c>
      <c r="X146" s="59">
        <f t="shared" si="62"/>
        <v>42628.718095904645</v>
      </c>
      <c r="Y146" s="57">
        <f t="shared" si="63"/>
        <v>31307.356609692022</v>
      </c>
      <c r="Z146" s="91">
        <f t="shared" si="64"/>
        <v>5231.5446153691055</v>
      </c>
      <c r="AA146" s="59">
        <f t="shared" si="65"/>
        <v>36538.901225061127</v>
      </c>
      <c r="AB146" s="381"/>
    </row>
    <row r="147" spans="1:28" ht="13.5" customHeight="1">
      <c r="A147" s="187">
        <v>32</v>
      </c>
      <c r="B147" s="50">
        <v>44317</v>
      </c>
      <c r="C147" s="61">
        <f>VLOOKUP(B147,'base(indices)'!$A$4:$C$183,3,FALSE)</f>
        <v>1100</v>
      </c>
      <c r="D147" s="192">
        <f>'base(indices)'!G140</f>
        <v>1.06565226</v>
      </c>
      <c r="E147" s="63">
        <f t="shared" si="82"/>
        <v>1172.217486</v>
      </c>
      <c r="F147" s="82">
        <f>'base(indices)'!$I$147</f>
        <v>0.29920000000000002</v>
      </c>
      <c r="G147" s="63">
        <f t="shared" si="77"/>
        <v>350.72747181120002</v>
      </c>
      <c r="H147" s="268">
        <f t="shared" si="78"/>
        <v>1522.9449578112001</v>
      </c>
      <c r="I147" s="360">
        <f t="shared" si="81"/>
        <v>51774.346533293639</v>
      </c>
      <c r="J147" s="45">
        <f>IF((I147-H$153+(H$153/12*8))+K147-(H147/2)&gt;$I$197,$I$197-K147,(I147-H$153+(H$153/12*8)-(H147/2)))</f>
        <v>50530.927162582171</v>
      </c>
      <c r="K147" s="108">
        <f t="shared" si="79"/>
        <v>8719.2410256151761</v>
      </c>
      <c r="L147" s="46">
        <f t="shared" si="50"/>
        <v>59250.168188197349</v>
      </c>
      <c r="M147" s="43">
        <f t="shared" si="51"/>
        <v>48004.38080445306</v>
      </c>
      <c r="N147" s="108">
        <f t="shared" si="52"/>
        <v>8283.2789743344165</v>
      </c>
      <c r="O147" s="47">
        <f t="shared" si="53"/>
        <v>56287.659778787478</v>
      </c>
      <c r="P147" s="119">
        <f t="shared" si="71"/>
        <v>45477.834446323955</v>
      </c>
      <c r="Q147" s="108">
        <f t="shared" si="55"/>
        <v>7847.3169230536587</v>
      </c>
      <c r="R147" s="46">
        <f t="shared" si="72"/>
        <v>53325.151369377614</v>
      </c>
      <c r="S147" s="43">
        <f t="shared" si="83"/>
        <v>40424.74173006574</v>
      </c>
      <c r="T147" s="108">
        <f t="shared" si="58"/>
        <v>6975.3928204921413</v>
      </c>
      <c r="U147" s="47">
        <f t="shared" si="84"/>
        <v>47400.134550557879</v>
      </c>
      <c r="V147" s="45">
        <f t="shared" si="60"/>
        <v>35371.649013807517</v>
      </c>
      <c r="W147" s="108">
        <f t="shared" si="61"/>
        <v>6103.4687179306229</v>
      </c>
      <c r="X147" s="46">
        <f t="shared" si="62"/>
        <v>41475.117731738137</v>
      </c>
      <c r="Y147" s="43">
        <f t="shared" si="63"/>
        <v>30318.556297549301</v>
      </c>
      <c r="Z147" s="108">
        <f t="shared" si="64"/>
        <v>5231.5446153691055</v>
      </c>
      <c r="AA147" s="46">
        <f t="shared" si="65"/>
        <v>35550.100912918409</v>
      </c>
      <c r="AB147" s="380"/>
    </row>
    <row r="148" spans="1:28" ht="13.5" customHeight="1">
      <c r="A148" s="187">
        <v>31</v>
      </c>
      <c r="B148" s="50">
        <v>44348</v>
      </c>
      <c r="C148" s="61">
        <f>VLOOKUP(B148,'base(indices)'!$A$4:$C$183,3,FALSE)</f>
        <v>1100</v>
      </c>
      <c r="D148" s="192">
        <f>'base(indices)'!G141</f>
        <v>1.0609839299999999</v>
      </c>
      <c r="E148" s="54">
        <f t="shared" si="82"/>
        <v>1167.0823229999999</v>
      </c>
      <c r="F148" s="82">
        <f>'base(indices)'!$I$147</f>
        <v>0.29920000000000002</v>
      </c>
      <c r="G148" s="54">
        <f t="shared" si="77"/>
        <v>349.19103104159996</v>
      </c>
      <c r="H148" s="267">
        <f t="shared" si="78"/>
        <v>1516.2733540415998</v>
      </c>
      <c r="I148" s="359">
        <f t="shared" si="81"/>
        <v>50251.401575482436</v>
      </c>
      <c r="J148" s="58">
        <f>IF((I148-H$153+(H$153/12*7))+K148-(H148/2)&gt;$I$197,$I$197-K148,(I148-H$153+(H$153/12*7)-(H148/2)))</f>
        <v>48890.831283704305</v>
      </c>
      <c r="K148" s="91">
        <f t="shared" si="79"/>
        <v>8719.2410256151761</v>
      </c>
      <c r="L148" s="284">
        <f t="shared" ref="L148:L166" si="85">J148+K148</f>
        <v>57610.072309319483</v>
      </c>
      <c r="M148" s="57">
        <f t="shared" ref="M148:M166" si="86">J148*M$9</f>
        <v>46446.289719519089</v>
      </c>
      <c r="N148" s="91">
        <f t="shared" ref="N148:N166" si="87">K148*M$9</f>
        <v>8283.2789743344165</v>
      </c>
      <c r="O148" s="60">
        <f t="shared" ref="O148:O166" si="88">M148+N148</f>
        <v>54729.568693853507</v>
      </c>
      <c r="P148" s="58">
        <f t="shared" si="71"/>
        <v>44001.748155333873</v>
      </c>
      <c r="Q148" s="91">
        <f t="shared" ref="Q148:Q166" si="89">K148*P$9</f>
        <v>7847.3169230536587</v>
      </c>
      <c r="R148" s="59">
        <f t="shared" si="72"/>
        <v>51849.065078387532</v>
      </c>
      <c r="S148" s="57">
        <f t="shared" si="83"/>
        <v>39112.665026963448</v>
      </c>
      <c r="T148" s="91">
        <f t="shared" ref="T148:T166" si="90">K148*S$9</f>
        <v>6975.3928204921413</v>
      </c>
      <c r="U148" s="60">
        <f t="shared" si="84"/>
        <v>46088.057847455588</v>
      </c>
      <c r="V148" s="58">
        <f t="shared" ref="V148:V166" si="91">J148*V$9</f>
        <v>34223.581898593009</v>
      </c>
      <c r="W148" s="91">
        <f t="shared" ref="W148:W166" si="92">K148*V$9</f>
        <v>6103.4687179306229</v>
      </c>
      <c r="X148" s="59">
        <f t="shared" ref="X148:X166" si="93">V148+W148</f>
        <v>40327.050616523629</v>
      </c>
      <c r="Y148" s="57">
        <f t="shared" ref="Y148:Y166" si="94">J148*Y$9</f>
        <v>29334.498770222581</v>
      </c>
      <c r="Z148" s="91">
        <f t="shared" ref="Z148:Z166" si="95">K148*Y$9</f>
        <v>5231.5446153691055</v>
      </c>
      <c r="AA148" s="59">
        <f t="shared" ref="AA148:AA166" si="96">Y148+Z148</f>
        <v>34566.043385591685</v>
      </c>
      <c r="AB148" s="381"/>
    </row>
    <row r="149" spans="1:28" ht="13.5" customHeight="1">
      <c r="A149" s="187">
        <v>30</v>
      </c>
      <c r="B149" s="50">
        <v>44378</v>
      </c>
      <c r="C149" s="61">
        <f>VLOOKUP(B149,'base(indices)'!$A$4:$C$183,3,FALSE)</f>
        <v>1100</v>
      </c>
      <c r="D149" s="192">
        <f>'base(indices)'!G142</f>
        <v>1.0522502600000001</v>
      </c>
      <c r="E149" s="63">
        <f t="shared" si="82"/>
        <v>1157.4752860000001</v>
      </c>
      <c r="F149" s="82">
        <f>'base(indices)'!$I$147</f>
        <v>0.29920000000000002</v>
      </c>
      <c r="G149" s="63">
        <f t="shared" si="77"/>
        <v>346.31660557120006</v>
      </c>
      <c r="H149" s="268">
        <f t="shared" si="78"/>
        <v>1503.7918915712003</v>
      </c>
      <c r="I149" s="360">
        <f t="shared" si="81"/>
        <v>48735.128221440835</v>
      </c>
      <c r="J149" s="45">
        <f>IF((I149-H$153+(H$153/12*6))+K149-(H149/2)&gt;$I$197,$I$197-K149,(I149-H$153+(H$153/12*6)-(H149/2)))</f>
        <v>47260.311937946426</v>
      </c>
      <c r="K149" s="108">
        <f t="shared" si="79"/>
        <v>8719.2410256151761</v>
      </c>
      <c r="L149" s="46">
        <f t="shared" si="85"/>
        <v>55979.552963561604</v>
      </c>
      <c r="M149" s="43">
        <f t="shared" si="86"/>
        <v>44897.296341049099</v>
      </c>
      <c r="N149" s="108">
        <f t="shared" si="87"/>
        <v>8283.2789743344165</v>
      </c>
      <c r="O149" s="47">
        <f t="shared" si="88"/>
        <v>53180.575315383518</v>
      </c>
      <c r="P149" s="119">
        <f t="shared" si="71"/>
        <v>42534.280744151787</v>
      </c>
      <c r="Q149" s="108">
        <f t="shared" si="89"/>
        <v>7847.3169230536587</v>
      </c>
      <c r="R149" s="46">
        <f t="shared" si="72"/>
        <v>50381.597667205446</v>
      </c>
      <c r="S149" s="43">
        <f t="shared" si="83"/>
        <v>37808.249550357141</v>
      </c>
      <c r="T149" s="108">
        <f t="shared" si="90"/>
        <v>6975.3928204921413</v>
      </c>
      <c r="U149" s="47">
        <f t="shared" si="84"/>
        <v>44783.64237084928</v>
      </c>
      <c r="V149" s="45">
        <f t="shared" si="91"/>
        <v>33082.218356562495</v>
      </c>
      <c r="W149" s="108">
        <f t="shared" si="92"/>
        <v>6103.4687179306229</v>
      </c>
      <c r="X149" s="46">
        <f t="shared" si="93"/>
        <v>39185.687074493115</v>
      </c>
      <c r="Y149" s="43">
        <f t="shared" si="94"/>
        <v>28356.187162767856</v>
      </c>
      <c r="Z149" s="108">
        <f t="shared" si="95"/>
        <v>5231.5446153691055</v>
      </c>
      <c r="AA149" s="46">
        <f t="shared" si="96"/>
        <v>33587.731778136964</v>
      </c>
      <c r="AB149" s="380"/>
    </row>
    <row r="150" spans="1:28" ht="13.5" customHeight="1">
      <c r="A150" s="187">
        <v>29</v>
      </c>
      <c r="B150" s="50">
        <v>44409</v>
      </c>
      <c r="C150" s="61">
        <f>VLOOKUP(B150,'base(indices)'!$A$4:$C$183,3,FALSE)</f>
        <v>1100</v>
      </c>
      <c r="D150" s="192">
        <f>'base(indices)'!G143</f>
        <v>1.0447282099999999</v>
      </c>
      <c r="E150" s="54">
        <f t="shared" si="82"/>
        <v>1149.2010309999998</v>
      </c>
      <c r="F150" s="82">
        <f>'base(indices)'!$I$147</f>
        <v>0.29920000000000002</v>
      </c>
      <c r="G150" s="54">
        <f t="shared" si="77"/>
        <v>343.84094847519998</v>
      </c>
      <c r="H150" s="267">
        <f t="shared" si="78"/>
        <v>1493.0419794751997</v>
      </c>
      <c r="I150" s="359">
        <f t="shared" si="81"/>
        <v>47231.336329869635</v>
      </c>
      <c r="J150" s="58">
        <f>IF((I150-H$153+(H$153/12*5))+K150-(H150/2)&gt;$I$197,$I$197-K150,(I150-H$153+(H$153/12*5)-(H150/2)))</f>
        <v>45641.408279471769</v>
      </c>
      <c r="K150" s="91">
        <f t="shared" si="79"/>
        <v>8719.2410256151761</v>
      </c>
      <c r="L150" s="284">
        <f t="shared" si="85"/>
        <v>54360.649305086947</v>
      </c>
      <c r="M150" s="57">
        <f t="shared" si="86"/>
        <v>43359.337865498179</v>
      </c>
      <c r="N150" s="91">
        <f t="shared" si="87"/>
        <v>8283.2789743344165</v>
      </c>
      <c r="O150" s="60">
        <f t="shared" si="88"/>
        <v>51642.616839832597</v>
      </c>
      <c r="P150" s="58">
        <f t="shared" si="71"/>
        <v>41077.267451524596</v>
      </c>
      <c r="Q150" s="91">
        <f t="shared" si="89"/>
        <v>7847.3169230536587</v>
      </c>
      <c r="R150" s="59">
        <f t="shared" si="72"/>
        <v>48924.584374578255</v>
      </c>
      <c r="S150" s="57">
        <f t="shared" si="83"/>
        <v>36513.126623577416</v>
      </c>
      <c r="T150" s="91">
        <f t="shared" si="90"/>
        <v>6975.3928204921413</v>
      </c>
      <c r="U150" s="60">
        <f t="shared" si="84"/>
        <v>43488.519444069556</v>
      </c>
      <c r="V150" s="58">
        <f t="shared" si="91"/>
        <v>31948.985795630237</v>
      </c>
      <c r="W150" s="91">
        <f t="shared" si="92"/>
        <v>6103.4687179306229</v>
      </c>
      <c r="X150" s="59">
        <f t="shared" si="93"/>
        <v>38052.454513560857</v>
      </c>
      <c r="Y150" s="57">
        <f t="shared" si="94"/>
        <v>27384.844967683061</v>
      </c>
      <c r="Z150" s="91">
        <f t="shared" si="95"/>
        <v>5231.5446153691055</v>
      </c>
      <c r="AA150" s="59">
        <f t="shared" si="96"/>
        <v>32616.389583052165</v>
      </c>
      <c r="AB150" s="381"/>
    </row>
    <row r="151" spans="1:28" ht="13.5" customHeight="1">
      <c r="A151" s="187">
        <v>28</v>
      </c>
      <c r="B151" s="50">
        <v>44440</v>
      </c>
      <c r="C151" s="61">
        <f>VLOOKUP(B151,'base(indices)'!$A$4:$C$183,3,FALSE)</f>
        <v>1100</v>
      </c>
      <c r="D151" s="192">
        <f>'base(indices)'!G144</f>
        <v>1.0355121599999999</v>
      </c>
      <c r="E151" s="63">
        <f t="shared" si="82"/>
        <v>1139.0633759999998</v>
      </c>
      <c r="F151" s="82">
        <f>'base(indices)'!$I$147</f>
        <v>0.29920000000000002</v>
      </c>
      <c r="G151" s="63">
        <f t="shared" si="77"/>
        <v>340.80776209919998</v>
      </c>
      <c r="H151" s="268">
        <f t="shared" si="78"/>
        <v>1479.8711380991999</v>
      </c>
      <c r="I151" s="360">
        <f t="shared" si="81"/>
        <v>45738.294350394433</v>
      </c>
      <c r="J151" s="45">
        <f>IF((I151-H$153+(H$153/12*4))+K151-(H151/2)&gt;$I$197,$I$197-K151,(I151-H$153+(H$153/12*4)-(H151/2)))</f>
        <v>44034.464997733099</v>
      </c>
      <c r="K151" s="108">
        <f t="shared" si="79"/>
        <v>8719.2410256151761</v>
      </c>
      <c r="L151" s="46">
        <f t="shared" si="85"/>
        <v>52753.706023348277</v>
      </c>
      <c r="M151" s="43">
        <f t="shared" si="86"/>
        <v>41832.741747846441</v>
      </c>
      <c r="N151" s="108">
        <f t="shared" si="87"/>
        <v>8283.2789743344165</v>
      </c>
      <c r="O151" s="47">
        <f t="shared" si="88"/>
        <v>50116.02072218086</v>
      </c>
      <c r="P151" s="119">
        <f t="shared" si="71"/>
        <v>39631.018497959791</v>
      </c>
      <c r="Q151" s="108">
        <f t="shared" si="89"/>
        <v>7847.3169230536587</v>
      </c>
      <c r="R151" s="46">
        <f t="shared" si="72"/>
        <v>47478.335421013449</v>
      </c>
      <c r="S151" s="43">
        <f t="shared" si="83"/>
        <v>35227.571998186482</v>
      </c>
      <c r="T151" s="108">
        <f t="shared" si="90"/>
        <v>6975.3928204921413</v>
      </c>
      <c r="U151" s="47">
        <f t="shared" si="84"/>
        <v>42202.964818678622</v>
      </c>
      <c r="V151" s="45">
        <f t="shared" si="91"/>
        <v>30824.125498413166</v>
      </c>
      <c r="W151" s="108">
        <f t="shared" si="92"/>
        <v>6103.4687179306229</v>
      </c>
      <c r="X151" s="46">
        <f t="shared" si="93"/>
        <v>36927.594216343787</v>
      </c>
      <c r="Y151" s="43">
        <f t="shared" si="94"/>
        <v>26420.678998639858</v>
      </c>
      <c r="Z151" s="108">
        <f t="shared" si="95"/>
        <v>5231.5446153691055</v>
      </c>
      <c r="AA151" s="46">
        <f t="shared" si="96"/>
        <v>31652.223614008963</v>
      </c>
      <c r="AB151" s="380"/>
    </row>
    <row r="152" spans="1:28" ht="13.5" customHeight="1">
      <c r="A152" s="187">
        <v>27</v>
      </c>
      <c r="B152" s="50">
        <v>44470</v>
      </c>
      <c r="C152" s="61">
        <f>VLOOKUP(B152,'base(indices)'!$A$4:$C$183,3,FALSE)</f>
        <v>1100</v>
      </c>
      <c r="D152" s="192">
        <f>'base(indices)'!G145</f>
        <v>1.02384038</v>
      </c>
      <c r="E152" s="54">
        <f t="shared" si="82"/>
        <v>1126.224418</v>
      </c>
      <c r="F152" s="82">
        <f>'base(indices)'!$I$147</f>
        <v>0.29920000000000002</v>
      </c>
      <c r="G152" s="54">
        <f t="shared" si="77"/>
        <v>336.96634586560003</v>
      </c>
      <c r="H152" s="267">
        <f t="shared" si="78"/>
        <v>1463.1907638656</v>
      </c>
      <c r="I152" s="359">
        <f t="shared" si="81"/>
        <v>44258.423212295231</v>
      </c>
      <c r="J152" s="58">
        <f>IF((I152-H$153+(H$153/12*3))+K152-(H152/2)&gt;$I$197,$I$197-K152,(I152-H$153+(H$153/12*3)-(H152/2)))</f>
        <v>42442.447323799228</v>
      </c>
      <c r="K152" s="91">
        <f t="shared" si="79"/>
        <v>8719.2410256151761</v>
      </c>
      <c r="L152" s="284">
        <f t="shared" si="85"/>
        <v>51161.688349414406</v>
      </c>
      <c r="M152" s="57">
        <f t="shared" si="86"/>
        <v>40320.324957609264</v>
      </c>
      <c r="N152" s="91">
        <f t="shared" si="87"/>
        <v>8283.2789743344165</v>
      </c>
      <c r="O152" s="60">
        <f t="shared" si="88"/>
        <v>48603.603931943682</v>
      </c>
      <c r="P152" s="58">
        <f t="shared" si="71"/>
        <v>38198.202591419307</v>
      </c>
      <c r="Q152" s="91">
        <f t="shared" si="89"/>
        <v>7847.3169230536587</v>
      </c>
      <c r="R152" s="59">
        <f t="shared" si="72"/>
        <v>46045.519514472966</v>
      </c>
      <c r="S152" s="57">
        <f t="shared" si="83"/>
        <v>33953.957859039387</v>
      </c>
      <c r="T152" s="91">
        <f t="shared" si="90"/>
        <v>6975.3928204921413</v>
      </c>
      <c r="U152" s="60">
        <f t="shared" si="84"/>
        <v>40929.350679531526</v>
      </c>
      <c r="V152" s="58">
        <f t="shared" si="91"/>
        <v>29709.713126659459</v>
      </c>
      <c r="W152" s="91">
        <f t="shared" si="92"/>
        <v>6103.4687179306229</v>
      </c>
      <c r="X152" s="59">
        <f t="shared" si="93"/>
        <v>35813.181844590079</v>
      </c>
      <c r="Y152" s="57">
        <f t="shared" si="94"/>
        <v>25465.468394279535</v>
      </c>
      <c r="Z152" s="91">
        <f t="shared" si="95"/>
        <v>5231.5446153691055</v>
      </c>
      <c r="AA152" s="59">
        <f t="shared" si="96"/>
        <v>30697.013009648639</v>
      </c>
      <c r="AB152" s="381"/>
    </row>
    <row r="153" spans="1:28" ht="13.5" customHeight="1">
      <c r="A153" s="187">
        <v>26</v>
      </c>
      <c r="B153" s="50">
        <v>44501</v>
      </c>
      <c r="C153" s="61">
        <f>VLOOKUP(B153,'base(indices)'!$A$4:$C$183,3,FALSE)</f>
        <v>1100</v>
      </c>
      <c r="D153" s="192">
        <f>'base(indices)'!G146</f>
        <v>1.0116999799999999</v>
      </c>
      <c r="E153" s="63">
        <f t="shared" si="82"/>
        <v>1112.8699779999999</v>
      </c>
      <c r="F153" s="82">
        <f>'base(indices)'!$I$147</f>
        <v>0.29920000000000002</v>
      </c>
      <c r="G153" s="63">
        <f t="shared" si="77"/>
        <v>332.97069741760004</v>
      </c>
      <c r="H153" s="268">
        <f t="shared" si="78"/>
        <v>1445.8406754175999</v>
      </c>
      <c r="I153" s="360">
        <f t="shared" si="81"/>
        <v>42795.232448429633</v>
      </c>
      <c r="J153" s="45">
        <f>IF((I153-H$153+(H$153/12*2))+K153-(H153/2)&gt;$I$197,$I$197-K153,(I153-H$153+(H$153/12*2)-(H153/2)))</f>
        <v>40867.444881206167</v>
      </c>
      <c r="K153" s="108">
        <f t="shared" si="79"/>
        <v>8719.2410256151761</v>
      </c>
      <c r="L153" s="46">
        <f t="shared" si="85"/>
        <v>49586.685906821345</v>
      </c>
      <c r="M153" s="43">
        <f t="shared" si="86"/>
        <v>38824.072637145859</v>
      </c>
      <c r="N153" s="108">
        <f t="shared" si="87"/>
        <v>8283.2789743344165</v>
      </c>
      <c r="O153" s="47">
        <f t="shared" si="88"/>
        <v>47107.351611480277</v>
      </c>
      <c r="P153" s="119">
        <f t="shared" si="71"/>
        <v>36780.70039308555</v>
      </c>
      <c r="Q153" s="108">
        <f t="shared" si="89"/>
        <v>7847.3169230536587</v>
      </c>
      <c r="R153" s="46">
        <f t="shared" si="72"/>
        <v>44628.017316139209</v>
      </c>
      <c r="S153" s="43">
        <f t="shared" si="83"/>
        <v>32693.955904964936</v>
      </c>
      <c r="T153" s="108">
        <f t="shared" si="90"/>
        <v>6975.3928204921413</v>
      </c>
      <c r="U153" s="47">
        <f t="shared" si="84"/>
        <v>39669.348725457079</v>
      </c>
      <c r="V153" s="45">
        <f t="shared" si="91"/>
        <v>28607.211416844315</v>
      </c>
      <c r="W153" s="108">
        <f t="shared" si="92"/>
        <v>6103.4687179306229</v>
      </c>
      <c r="X153" s="46">
        <f t="shared" si="93"/>
        <v>34710.680134774935</v>
      </c>
      <c r="Y153" s="43">
        <f t="shared" si="94"/>
        <v>24520.466928723701</v>
      </c>
      <c r="Z153" s="108">
        <f t="shared" si="95"/>
        <v>5231.5446153691055</v>
      </c>
      <c r="AA153" s="46">
        <f t="shared" si="96"/>
        <v>29752.011544092806</v>
      </c>
      <c r="AB153" s="380"/>
    </row>
    <row r="154" spans="1:28" ht="13.5" customHeight="1" thickBot="1">
      <c r="A154" s="305">
        <v>25</v>
      </c>
      <c r="B154" s="247">
        <v>44531</v>
      </c>
      <c r="C154" s="142">
        <f>C153*2</f>
        <v>2200</v>
      </c>
      <c r="D154" s="343">
        <f>'base(indices)'!G147</f>
        <v>0.99999998000000001</v>
      </c>
      <c r="E154" s="170">
        <f t="shared" si="82"/>
        <v>2199.9999560000001</v>
      </c>
      <c r="F154" s="307">
        <f>'base(indices)'!$I$147</f>
        <v>0.29920000000000002</v>
      </c>
      <c r="G154" s="170">
        <f t="shared" si="77"/>
        <v>658.23998683520006</v>
      </c>
      <c r="H154" s="368">
        <f t="shared" si="78"/>
        <v>2858.2399428352001</v>
      </c>
      <c r="I154" s="384">
        <f t="shared" si="81"/>
        <v>41349.39177301203</v>
      </c>
      <c r="J154" s="285">
        <f>IF((I154-H$153+(H$153/12*1))+K154-(H154/4)&gt;$I$197,$I$197-K154,(I154-H$153+(H$153/12*1)-(H154/4)))</f>
        <v>39309.477834837089</v>
      </c>
      <c r="K154" s="202">
        <f t="shared" si="79"/>
        <v>8719.2410256151761</v>
      </c>
      <c r="L154" s="286">
        <f t="shared" si="85"/>
        <v>48028.718860452267</v>
      </c>
      <c r="M154" s="282">
        <f t="shared" si="86"/>
        <v>37344.003943095231</v>
      </c>
      <c r="N154" s="202">
        <f t="shared" si="87"/>
        <v>8283.2789743344165</v>
      </c>
      <c r="O154" s="289">
        <f t="shared" si="88"/>
        <v>45627.282917429649</v>
      </c>
      <c r="P154" s="285">
        <f t="shared" si="71"/>
        <v>35378.53005135338</v>
      </c>
      <c r="Q154" s="202">
        <f t="shared" si="89"/>
        <v>7847.3169230536587</v>
      </c>
      <c r="R154" s="203">
        <f t="shared" si="72"/>
        <v>43225.846974407039</v>
      </c>
      <c r="S154" s="282">
        <f t="shared" si="83"/>
        <v>31447.582267869671</v>
      </c>
      <c r="T154" s="202">
        <f t="shared" si="90"/>
        <v>6975.3928204921413</v>
      </c>
      <c r="U154" s="289">
        <f t="shared" si="84"/>
        <v>38422.975088361811</v>
      </c>
      <c r="V154" s="285">
        <f t="shared" si="91"/>
        <v>27516.634484385962</v>
      </c>
      <c r="W154" s="202">
        <f t="shared" si="92"/>
        <v>6103.4687179306229</v>
      </c>
      <c r="X154" s="203">
        <f t="shared" si="93"/>
        <v>33620.103202316583</v>
      </c>
      <c r="Y154" s="282">
        <f t="shared" si="94"/>
        <v>23585.686700902254</v>
      </c>
      <c r="Z154" s="202">
        <f t="shared" si="95"/>
        <v>5231.5446153691055</v>
      </c>
      <c r="AA154" s="203">
        <f t="shared" si="96"/>
        <v>28817.231316271358</v>
      </c>
      <c r="AB154" s="381"/>
    </row>
    <row r="155" spans="1:28" ht="13.5" customHeight="1">
      <c r="A155" s="190">
        <v>24</v>
      </c>
      <c r="B155" s="309">
        <v>44562</v>
      </c>
      <c r="C155" s="120">
        <f>VLOOKUP(B155,'base(indices)'!$A$4:$C$183,3,FALSE)</f>
        <v>1212</v>
      </c>
      <c r="D155" s="193">
        <f>'base(indices)'!G148</f>
        <v>0.99999998000000001</v>
      </c>
      <c r="E155" s="78">
        <f>C155*D155</f>
        <v>1211.9999757600001</v>
      </c>
      <c r="F155" s="79">
        <f>'base(indices)'!I148</f>
        <v>0.29149999999999998</v>
      </c>
      <c r="G155" s="78">
        <f t="shared" si="77"/>
        <v>353.29799293404</v>
      </c>
      <c r="H155" s="266">
        <f t="shared" si="78"/>
        <v>1565.29796869404</v>
      </c>
      <c r="I155" s="413">
        <f>I154-H154</f>
        <v>38491.15183017683</v>
      </c>
      <c r="J155" s="48">
        <f>IF((I155-H$165+(H$165))+K155-(H155/2)&gt;$I$197,$I$197-K155,(I155-H$165+(H$165)-(H155/2)))</f>
        <v>37708.502845829811</v>
      </c>
      <c r="K155" s="109">
        <f t="shared" si="79"/>
        <v>8719.2410256151761</v>
      </c>
      <c r="L155" s="49">
        <f t="shared" si="85"/>
        <v>46427.743871444989</v>
      </c>
      <c r="M155" s="138">
        <f t="shared" si="86"/>
        <v>35823.077703538322</v>
      </c>
      <c r="N155" s="109">
        <f t="shared" si="87"/>
        <v>8283.2789743344165</v>
      </c>
      <c r="O155" s="139">
        <f t="shared" si="88"/>
        <v>44106.35667787274</v>
      </c>
      <c r="P155" s="291">
        <f t="shared" si="71"/>
        <v>33937.652561246832</v>
      </c>
      <c r="Q155" s="109">
        <f t="shared" si="89"/>
        <v>7847.3169230536587</v>
      </c>
      <c r="R155" s="49">
        <f t="shared" si="72"/>
        <v>41784.969484300491</v>
      </c>
      <c r="S155" s="138">
        <f t="shared" si="83"/>
        <v>30166.80227666385</v>
      </c>
      <c r="T155" s="109">
        <f t="shared" si="90"/>
        <v>6975.3928204921413</v>
      </c>
      <c r="U155" s="139">
        <f t="shared" si="84"/>
        <v>37142.195097155993</v>
      </c>
      <c r="V155" s="48">
        <f t="shared" si="91"/>
        <v>26395.951992080867</v>
      </c>
      <c r="W155" s="109">
        <f t="shared" si="92"/>
        <v>6103.4687179306229</v>
      </c>
      <c r="X155" s="49">
        <f t="shared" si="93"/>
        <v>32499.420710011491</v>
      </c>
      <c r="Y155" s="138">
        <f t="shared" si="94"/>
        <v>22625.101707497884</v>
      </c>
      <c r="Z155" s="109">
        <f t="shared" si="95"/>
        <v>5231.5446153691055</v>
      </c>
      <c r="AA155" s="49">
        <f t="shared" si="96"/>
        <v>27856.646322866989</v>
      </c>
      <c r="AB155" s="380"/>
    </row>
    <row r="156" spans="1:28" ht="13.5" customHeight="1">
      <c r="A156" s="187">
        <v>23</v>
      </c>
      <c r="B156" s="50">
        <v>44593</v>
      </c>
      <c r="C156" s="61">
        <f>VLOOKUP(B156,'base(indices)'!$A$4:$C$183,3,FALSE)</f>
        <v>1212</v>
      </c>
      <c r="D156" s="192">
        <f>'base(indices)'!G149</f>
        <v>0.99999998000000001</v>
      </c>
      <c r="E156" s="54">
        <f t="shared" ref="E156:E166" si="97">C156*D156</f>
        <v>1211.9999757600001</v>
      </c>
      <c r="F156" s="82">
        <f>'base(indices)'!I149</f>
        <v>0.28420000000000001</v>
      </c>
      <c r="G156" s="54">
        <f t="shared" si="77"/>
        <v>344.45039311099202</v>
      </c>
      <c r="H156" s="267">
        <f t="shared" si="78"/>
        <v>1556.4503688709922</v>
      </c>
      <c r="I156" s="414">
        <f t="shared" si="81"/>
        <v>36925.853861482792</v>
      </c>
      <c r="J156" s="58">
        <f>IF((I156-H$165+(H$165/12*11))+K156-(H156/2)&gt;$I$197,$I$197-K156,(I156-H$165+(H$165/12*11)-(H156/2)))</f>
        <v>36026.873079462406</v>
      </c>
      <c r="K156" s="91">
        <f t="shared" si="79"/>
        <v>8719.2410256151761</v>
      </c>
      <c r="L156" s="284">
        <f t="shared" si="85"/>
        <v>44746.114105077584</v>
      </c>
      <c r="M156" s="57">
        <f t="shared" si="86"/>
        <v>34225.529425489287</v>
      </c>
      <c r="N156" s="91">
        <f t="shared" si="87"/>
        <v>8283.2789743344165</v>
      </c>
      <c r="O156" s="60">
        <f t="shared" si="88"/>
        <v>42508.808399823705</v>
      </c>
      <c r="P156" s="58">
        <f t="shared" si="71"/>
        <v>32424.185771516168</v>
      </c>
      <c r="Q156" s="91">
        <f t="shared" si="89"/>
        <v>7847.3169230536587</v>
      </c>
      <c r="R156" s="59">
        <f t="shared" si="72"/>
        <v>40271.502694569826</v>
      </c>
      <c r="S156" s="57">
        <f t="shared" si="83"/>
        <v>28821.498463569926</v>
      </c>
      <c r="T156" s="91">
        <f t="shared" si="90"/>
        <v>6975.3928204921413</v>
      </c>
      <c r="U156" s="60">
        <f t="shared" si="84"/>
        <v>35796.891284062069</v>
      </c>
      <c r="V156" s="58">
        <f t="shared" si="91"/>
        <v>25218.811155623684</v>
      </c>
      <c r="W156" s="91">
        <f t="shared" si="92"/>
        <v>6103.4687179306229</v>
      </c>
      <c r="X156" s="59">
        <f t="shared" si="93"/>
        <v>31322.279873554307</v>
      </c>
      <c r="Y156" s="57">
        <f t="shared" si="94"/>
        <v>21616.123847677442</v>
      </c>
      <c r="Z156" s="91">
        <f t="shared" si="95"/>
        <v>5231.5446153691055</v>
      </c>
      <c r="AA156" s="59">
        <f t="shared" si="96"/>
        <v>26847.668463046546</v>
      </c>
      <c r="AB156" s="381"/>
    </row>
    <row r="157" spans="1:28" ht="13.5" customHeight="1">
      <c r="A157" s="187">
        <v>22</v>
      </c>
      <c r="B157" s="50">
        <v>44621</v>
      </c>
      <c r="C157" s="61">
        <f>VLOOKUP(B157,'base(indices)'!$A$4:$C$183,3,FALSE)</f>
        <v>1212</v>
      </c>
      <c r="D157" s="192">
        <f>'base(indices)'!G150</f>
        <v>0.99999998000000001</v>
      </c>
      <c r="E157" s="63">
        <f t="shared" si="97"/>
        <v>1211.9999757600001</v>
      </c>
      <c r="F157" s="82">
        <f>'base(indices)'!I150</f>
        <v>0.27660000000000001</v>
      </c>
      <c r="G157" s="63">
        <f t="shared" si="77"/>
        <v>335.23919329521607</v>
      </c>
      <c r="H157" s="268">
        <f t="shared" si="78"/>
        <v>1547.2391690552163</v>
      </c>
      <c r="I157" s="415">
        <f t="shared" si="81"/>
        <v>35369.403492611797</v>
      </c>
      <c r="J157" s="45">
        <f>IF((I157-H$165+(H$165/12*10))+K157-(H157/2)&gt;$I$197,$I$197-K157,(I157-H$165+(H$165/12*10)-(H157/2)))</f>
        <v>34354.272712914411</v>
      </c>
      <c r="K157" s="108">
        <f t="shared" si="79"/>
        <v>8719.2410256151761</v>
      </c>
      <c r="L157" s="46">
        <f t="shared" si="85"/>
        <v>43073.513738529589</v>
      </c>
      <c r="M157" s="43">
        <f t="shared" si="86"/>
        <v>32636.559077268688</v>
      </c>
      <c r="N157" s="108">
        <f t="shared" si="87"/>
        <v>8283.2789743344165</v>
      </c>
      <c r="O157" s="47">
        <f t="shared" si="88"/>
        <v>40919.838051603103</v>
      </c>
      <c r="P157" s="119">
        <f t="shared" si="71"/>
        <v>30918.845441622972</v>
      </c>
      <c r="Q157" s="108">
        <f t="shared" si="89"/>
        <v>7847.3169230536587</v>
      </c>
      <c r="R157" s="46">
        <f t="shared" si="72"/>
        <v>38766.162364676631</v>
      </c>
      <c r="S157" s="43">
        <f t="shared" si="83"/>
        <v>27483.41817033153</v>
      </c>
      <c r="T157" s="108">
        <f t="shared" si="90"/>
        <v>6975.3928204921413</v>
      </c>
      <c r="U157" s="47">
        <f t="shared" si="84"/>
        <v>34458.810990823673</v>
      </c>
      <c r="V157" s="45">
        <f t="shared" si="91"/>
        <v>24047.990899040087</v>
      </c>
      <c r="W157" s="108">
        <f t="shared" si="92"/>
        <v>6103.4687179306229</v>
      </c>
      <c r="X157" s="46">
        <f t="shared" si="93"/>
        <v>30151.459616970711</v>
      </c>
      <c r="Y157" s="43">
        <f t="shared" si="94"/>
        <v>20612.563627748645</v>
      </c>
      <c r="Z157" s="108">
        <f t="shared" si="95"/>
        <v>5231.5446153691055</v>
      </c>
      <c r="AA157" s="46">
        <f t="shared" si="96"/>
        <v>25844.108243117749</v>
      </c>
      <c r="AB157" s="380"/>
    </row>
    <row r="158" spans="1:28" ht="13.5" customHeight="1">
      <c r="A158" s="187">
        <v>21</v>
      </c>
      <c r="B158" s="50">
        <v>44652</v>
      </c>
      <c r="C158" s="61">
        <f>VLOOKUP(B158,'base(indices)'!$A$4:$C$183,3,FALSE)</f>
        <v>1212</v>
      </c>
      <c r="D158" s="192">
        <f>'base(indices)'!G151</f>
        <v>0.99999998000000001</v>
      </c>
      <c r="E158" s="54">
        <f t="shared" si="97"/>
        <v>1211.9999757600001</v>
      </c>
      <c r="F158" s="82">
        <f>'base(indices)'!I151</f>
        <v>0.26729999999999998</v>
      </c>
      <c r="G158" s="54">
        <f t="shared" si="77"/>
        <v>323.96759352064799</v>
      </c>
      <c r="H158" s="267">
        <f t="shared" si="78"/>
        <v>1535.9675692806481</v>
      </c>
      <c r="I158" s="414">
        <f t="shared" si="81"/>
        <v>33822.164323556579</v>
      </c>
      <c r="J158" s="58">
        <f>IF((I158-H$165+(H$165/12*9))+K158-(H158/2)&gt;$I$197,$I$197-K158,(I158-H$165+(H$165/12*9)-(H158/2)))</f>
        <v>32691.91374616159</v>
      </c>
      <c r="K158" s="91">
        <f t="shared" si="79"/>
        <v>8719.2410256151761</v>
      </c>
      <c r="L158" s="284">
        <f t="shared" si="85"/>
        <v>41411.154771776768</v>
      </c>
      <c r="M158" s="57">
        <f t="shared" si="86"/>
        <v>31057.318058853511</v>
      </c>
      <c r="N158" s="91">
        <f t="shared" si="87"/>
        <v>8283.2789743344165</v>
      </c>
      <c r="O158" s="60">
        <f t="shared" si="88"/>
        <v>39340.597033187929</v>
      </c>
      <c r="P158" s="58">
        <f t="shared" si="71"/>
        <v>29422.722371545431</v>
      </c>
      <c r="Q158" s="91">
        <f t="shared" si="89"/>
        <v>7847.3169230536587</v>
      </c>
      <c r="R158" s="59">
        <f t="shared" si="72"/>
        <v>37270.03929459909</v>
      </c>
      <c r="S158" s="57">
        <f t="shared" si="83"/>
        <v>26153.530996929272</v>
      </c>
      <c r="T158" s="91">
        <f t="shared" si="90"/>
        <v>6975.3928204921413</v>
      </c>
      <c r="U158" s="60">
        <f t="shared" si="84"/>
        <v>33128.923817421412</v>
      </c>
      <c r="V158" s="58">
        <f t="shared" si="91"/>
        <v>22884.339622313113</v>
      </c>
      <c r="W158" s="91">
        <f t="shared" si="92"/>
        <v>6103.4687179306229</v>
      </c>
      <c r="X158" s="59">
        <f t="shared" si="93"/>
        <v>28987.808340243737</v>
      </c>
      <c r="Y158" s="57">
        <f t="shared" si="94"/>
        <v>19615.148247696954</v>
      </c>
      <c r="Z158" s="91">
        <f t="shared" si="95"/>
        <v>5231.5446153691055</v>
      </c>
      <c r="AA158" s="59">
        <f t="shared" si="96"/>
        <v>24846.692863066059</v>
      </c>
      <c r="AB158" s="381"/>
    </row>
    <row r="159" spans="1:28" ht="13.5" customHeight="1">
      <c r="A159" s="187">
        <v>20</v>
      </c>
      <c r="B159" s="50">
        <v>44682</v>
      </c>
      <c r="C159" s="61">
        <f>VLOOKUP(B159,'base(indices)'!$A$4:$C$183,3,FALSE)</f>
        <v>1212</v>
      </c>
      <c r="D159" s="192">
        <f>'base(indices)'!G152</f>
        <v>0.99999998000000001</v>
      </c>
      <c r="E159" s="63">
        <f t="shared" si="97"/>
        <v>1211.9999757600001</v>
      </c>
      <c r="F159" s="82">
        <f>'base(indices)'!I152</f>
        <v>0.25900000000000001</v>
      </c>
      <c r="G159" s="63">
        <f t="shared" si="77"/>
        <v>313.90799372184006</v>
      </c>
      <c r="H159" s="268">
        <f t="shared" si="78"/>
        <v>1525.9079694818402</v>
      </c>
      <c r="I159" s="415">
        <f t="shared" si="81"/>
        <v>32286.19675427593</v>
      </c>
      <c r="J159" s="45">
        <f>IF((I159-H$165+(H$165/12*8))+K159-(H159/2)&gt;$I$197,$I$197-K159,(I159-H$165+(H$165/12*8)-(H159/2)))</f>
        <v>31040.220379195456</v>
      </c>
      <c r="K159" s="108">
        <f t="shared" si="79"/>
        <v>8719.2410256151761</v>
      </c>
      <c r="L159" s="46">
        <f t="shared" si="85"/>
        <v>39759.46140481063</v>
      </c>
      <c r="M159" s="43">
        <f t="shared" si="86"/>
        <v>29488.209360235684</v>
      </c>
      <c r="N159" s="108">
        <f t="shared" si="87"/>
        <v>8283.2789743344165</v>
      </c>
      <c r="O159" s="47">
        <f t="shared" si="88"/>
        <v>37771.488334570102</v>
      </c>
      <c r="P159" s="119">
        <f t="shared" si="71"/>
        <v>27936.198341275911</v>
      </c>
      <c r="Q159" s="108">
        <f t="shared" si="89"/>
        <v>7847.3169230536587</v>
      </c>
      <c r="R159" s="46">
        <f t="shared" si="72"/>
        <v>35783.515264329573</v>
      </c>
      <c r="S159" s="43">
        <f t="shared" si="83"/>
        <v>24832.176303356366</v>
      </c>
      <c r="T159" s="108">
        <f t="shared" si="90"/>
        <v>6975.3928204921413</v>
      </c>
      <c r="U159" s="47">
        <f t="shared" si="84"/>
        <v>31807.569123848509</v>
      </c>
      <c r="V159" s="45">
        <f t="shared" si="91"/>
        <v>21728.154265436817</v>
      </c>
      <c r="W159" s="108">
        <f t="shared" si="92"/>
        <v>6103.4687179306229</v>
      </c>
      <c r="X159" s="46">
        <f t="shared" si="93"/>
        <v>27831.622983367441</v>
      </c>
      <c r="Y159" s="43">
        <f t="shared" si="94"/>
        <v>18624.132227517272</v>
      </c>
      <c r="Z159" s="108">
        <f t="shared" si="95"/>
        <v>5231.5446153691055</v>
      </c>
      <c r="AA159" s="46">
        <f t="shared" si="96"/>
        <v>23855.676842886376</v>
      </c>
      <c r="AB159" s="380"/>
    </row>
    <row r="160" spans="1:28" ht="13.5" customHeight="1">
      <c r="A160" s="187">
        <v>19</v>
      </c>
      <c r="B160" s="50">
        <v>44713</v>
      </c>
      <c r="C160" s="61">
        <f>VLOOKUP(B160,'base(indices)'!$A$4:$C$183,3,FALSE)</f>
        <v>1212</v>
      </c>
      <c r="D160" s="192">
        <f>'base(indices)'!G153</f>
        <v>0.99999998000000001</v>
      </c>
      <c r="E160" s="54">
        <f t="shared" si="97"/>
        <v>1211.9999757600001</v>
      </c>
      <c r="F160" s="82">
        <f>'base(indices)'!I153</f>
        <v>0.2487</v>
      </c>
      <c r="G160" s="54">
        <f t="shared" si="77"/>
        <v>301.42439397151202</v>
      </c>
      <c r="H160" s="267">
        <f t="shared" si="78"/>
        <v>1513.4243697315121</v>
      </c>
      <c r="I160" s="414">
        <f t="shared" si="81"/>
        <v>30760.288784794091</v>
      </c>
      <c r="J160" s="58">
        <f>IF((I160-H$165+(H$165/12*7))+K160-(H160/2)&gt;$I$197,$I$197-K160,(I160-H$165+(H$165/12*7)-(H160/2)))</f>
        <v>29399.798612003899</v>
      </c>
      <c r="K160" s="91">
        <f t="shared" si="79"/>
        <v>8719.2410256151761</v>
      </c>
      <c r="L160" s="284">
        <f t="shared" si="85"/>
        <v>38119.039637619077</v>
      </c>
      <c r="M160" s="57">
        <f t="shared" si="86"/>
        <v>27929.808681403701</v>
      </c>
      <c r="N160" s="91">
        <f t="shared" si="87"/>
        <v>8283.2789743344165</v>
      </c>
      <c r="O160" s="60">
        <f t="shared" si="88"/>
        <v>36213.08765573812</v>
      </c>
      <c r="P160" s="58">
        <f t="shared" si="71"/>
        <v>26459.818750803508</v>
      </c>
      <c r="Q160" s="91">
        <f t="shared" si="89"/>
        <v>7847.3169230536587</v>
      </c>
      <c r="R160" s="59">
        <f t="shared" si="72"/>
        <v>34307.135673857163</v>
      </c>
      <c r="S160" s="57">
        <f t="shared" si="83"/>
        <v>23519.838889603121</v>
      </c>
      <c r="T160" s="91">
        <f t="shared" si="90"/>
        <v>6975.3928204921413</v>
      </c>
      <c r="U160" s="60">
        <f t="shared" si="84"/>
        <v>30495.231710095264</v>
      </c>
      <c r="V160" s="58">
        <f t="shared" si="91"/>
        <v>20579.859028402727</v>
      </c>
      <c r="W160" s="91">
        <f t="shared" si="92"/>
        <v>6103.4687179306229</v>
      </c>
      <c r="X160" s="59">
        <f t="shared" si="93"/>
        <v>26683.327746333351</v>
      </c>
      <c r="Y160" s="57">
        <f t="shared" si="94"/>
        <v>17639.87916720234</v>
      </c>
      <c r="Z160" s="91">
        <f t="shared" si="95"/>
        <v>5231.5446153691055</v>
      </c>
      <c r="AA160" s="59">
        <f t="shared" si="96"/>
        <v>22871.423782571444</v>
      </c>
      <c r="AB160" s="381"/>
    </row>
    <row r="161" spans="1:28" ht="13.5" customHeight="1">
      <c r="A161" s="187">
        <v>18</v>
      </c>
      <c r="B161" s="50">
        <v>44743</v>
      </c>
      <c r="C161" s="61">
        <f>VLOOKUP(B161,'base(indices)'!$A$4:$C$183,3,FALSE)</f>
        <v>1212</v>
      </c>
      <c r="D161" s="192">
        <f>'base(indices)'!G154</f>
        <v>0.99999998000000001</v>
      </c>
      <c r="E161" s="63">
        <f t="shared" si="97"/>
        <v>1211.9999757600001</v>
      </c>
      <c r="F161" s="82">
        <f>'base(indices)'!I154</f>
        <v>0.23849999999999999</v>
      </c>
      <c r="G161" s="63">
        <f t="shared" si="77"/>
        <v>289.06199421875999</v>
      </c>
      <c r="H161" s="268">
        <f t="shared" si="78"/>
        <v>1501.0619699787601</v>
      </c>
      <c r="I161" s="415">
        <f t="shared" si="81"/>
        <v>29246.864415062581</v>
      </c>
      <c r="J161" s="45">
        <f>IF((I161-H$165+(H$165/12*6))+K161-(H161/2)&gt;$I$197,$I$197-K161,(I161-H$165+(H$165/12*6)-(H161/2)))</f>
        <v>27771.799844563877</v>
      </c>
      <c r="K161" s="108">
        <f t="shared" si="79"/>
        <v>8719.2410256151761</v>
      </c>
      <c r="L161" s="46">
        <f t="shared" si="85"/>
        <v>36491.040870179051</v>
      </c>
      <c r="M161" s="43">
        <f t="shared" si="86"/>
        <v>26383.209852335684</v>
      </c>
      <c r="N161" s="108">
        <f t="shared" si="87"/>
        <v>8283.2789743344165</v>
      </c>
      <c r="O161" s="47">
        <f t="shared" si="88"/>
        <v>34666.488826670102</v>
      </c>
      <c r="P161" s="119">
        <f t="shared" si="71"/>
        <v>24994.61986010749</v>
      </c>
      <c r="Q161" s="108">
        <f t="shared" si="89"/>
        <v>7847.3169230536587</v>
      </c>
      <c r="R161" s="46">
        <f t="shared" si="72"/>
        <v>32841.936783161145</v>
      </c>
      <c r="S161" s="43">
        <f t="shared" si="83"/>
        <v>22217.439875651104</v>
      </c>
      <c r="T161" s="108">
        <f t="shared" si="90"/>
        <v>6975.3928204921413</v>
      </c>
      <c r="U161" s="47">
        <f t="shared" si="84"/>
        <v>29192.832696143247</v>
      </c>
      <c r="V161" s="45">
        <f t="shared" si="91"/>
        <v>19440.259891194713</v>
      </c>
      <c r="W161" s="108">
        <f t="shared" si="92"/>
        <v>6103.4687179306229</v>
      </c>
      <c r="X161" s="46">
        <f t="shared" si="93"/>
        <v>25543.728609125337</v>
      </c>
      <c r="Y161" s="43">
        <f t="shared" si="94"/>
        <v>16663.079906738327</v>
      </c>
      <c r="Z161" s="108">
        <f t="shared" si="95"/>
        <v>5231.5446153691055</v>
      </c>
      <c r="AA161" s="46">
        <f t="shared" si="96"/>
        <v>21894.624522107431</v>
      </c>
      <c r="AB161" s="380"/>
    </row>
    <row r="162" spans="1:28" ht="13.5" customHeight="1">
      <c r="A162" s="187">
        <v>17</v>
      </c>
      <c r="B162" s="50">
        <v>44774</v>
      </c>
      <c r="C162" s="61">
        <f>VLOOKUP(B162,'base(indices)'!$A$4:$C$183,3,FALSE)</f>
        <v>1212</v>
      </c>
      <c r="D162" s="192">
        <f>'base(indices)'!G155</f>
        <v>0.99999998000000001</v>
      </c>
      <c r="E162" s="54">
        <f t="shared" si="97"/>
        <v>1211.9999757600001</v>
      </c>
      <c r="F162" s="82">
        <f>'base(indices)'!I155</f>
        <v>0.22819999999999999</v>
      </c>
      <c r="G162" s="54">
        <f t="shared" si="77"/>
        <v>276.57839446843201</v>
      </c>
      <c r="H162" s="267">
        <f t="shared" si="78"/>
        <v>1488.578370228432</v>
      </c>
      <c r="I162" s="414">
        <f t="shared" si="81"/>
        <v>27745.80244508382</v>
      </c>
      <c r="J162" s="58">
        <f>IF((I162-H$165+(H$165/12*5))+K162-(H162/2)&gt;$I$197,$I$197-K162,(I162-H$165+(H$165/12*5)-(H162/2)))</f>
        <v>26156.224076875387</v>
      </c>
      <c r="K162" s="91">
        <f t="shared" si="79"/>
        <v>8719.2410256151761</v>
      </c>
      <c r="L162" s="284">
        <f t="shared" si="85"/>
        <v>34875.465102490562</v>
      </c>
      <c r="M162" s="57">
        <f t="shared" si="86"/>
        <v>24848.412873031615</v>
      </c>
      <c r="N162" s="91">
        <f t="shared" si="87"/>
        <v>8283.2789743344165</v>
      </c>
      <c r="O162" s="60">
        <f t="shared" si="88"/>
        <v>33131.691847366033</v>
      </c>
      <c r="P162" s="58">
        <f t="shared" si="71"/>
        <v>23540.60166918785</v>
      </c>
      <c r="Q162" s="91">
        <f t="shared" si="89"/>
        <v>7847.3169230536587</v>
      </c>
      <c r="R162" s="59">
        <f t="shared" si="72"/>
        <v>31387.918592241509</v>
      </c>
      <c r="S162" s="57">
        <f t="shared" si="83"/>
        <v>20924.97926150031</v>
      </c>
      <c r="T162" s="91">
        <f t="shared" si="90"/>
        <v>6975.3928204921413</v>
      </c>
      <c r="U162" s="60">
        <f t="shared" si="84"/>
        <v>27900.372081992449</v>
      </c>
      <c r="V162" s="58">
        <f t="shared" si="91"/>
        <v>18309.356853812769</v>
      </c>
      <c r="W162" s="91">
        <f t="shared" si="92"/>
        <v>6103.4687179306229</v>
      </c>
      <c r="X162" s="59">
        <f t="shared" si="93"/>
        <v>24412.825571743393</v>
      </c>
      <c r="Y162" s="57">
        <f t="shared" si="94"/>
        <v>15693.734446125232</v>
      </c>
      <c r="Z162" s="91">
        <f t="shared" si="95"/>
        <v>5231.5446153691055</v>
      </c>
      <c r="AA162" s="59">
        <f t="shared" si="96"/>
        <v>20925.279061494337</v>
      </c>
      <c r="AB162" s="381"/>
    </row>
    <row r="163" spans="1:28" ht="13.5" customHeight="1">
      <c r="A163" s="187">
        <v>16</v>
      </c>
      <c r="B163" s="50">
        <v>44805</v>
      </c>
      <c r="C163" s="61">
        <f>VLOOKUP(B163,'base(indices)'!$A$4:$C$183,3,FALSE)</f>
        <v>1212</v>
      </c>
      <c r="D163" s="192">
        <f>'base(indices)'!G156</f>
        <v>0.99999998000000001</v>
      </c>
      <c r="E163" s="63">
        <f t="shared" si="97"/>
        <v>1211.9999757600001</v>
      </c>
      <c r="F163" s="82">
        <f>'base(indices)'!I156</f>
        <v>0.2165</v>
      </c>
      <c r="G163" s="63">
        <f t="shared" si="77"/>
        <v>262.39799475204001</v>
      </c>
      <c r="H163" s="268">
        <f t="shared" si="78"/>
        <v>1474.39797051204</v>
      </c>
      <c r="I163" s="415">
        <f t="shared" si="81"/>
        <v>26257.224074855389</v>
      </c>
      <c r="J163" s="45">
        <f>IF((I163-H$165+(H$165/12*4))+K163-(H163/2)&gt;$I$197,$I$197-K163,(I163-H$165+(H$165/12*4)-(H163/2)))</f>
        <v>24553.980308920261</v>
      </c>
      <c r="K163" s="108">
        <f t="shared" si="79"/>
        <v>8719.2410256151761</v>
      </c>
      <c r="L163" s="46">
        <f t="shared" si="85"/>
        <v>33273.221334535439</v>
      </c>
      <c r="M163" s="43">
        <f t="shared" si="86"/>
        <v>23326.281293474247</v>
      </c>
      <c r="N163" s="108">
        <f t="shared" si="87"/>
        <v>8283.2789743344165</v>
      </c>
      <c r="O163" s="47">
        <f t="shared" si="88"/>
        <v>31609.560267808665</v>
      </c>
      <c r="P163" s="119">
        <f t="shared" si="71"/>
        <v>22098.582278028236</v>
      </c>
      <c r="Q163" s="108">
        <f t="shared" si="89"/>
        <v>7847.3169230536587</v>
      </c>
      <c r="R163" s="46">
        <f t="shared" si="72"/>
        <v>29945.899201081895</v>
      </c>
      <c r="S163" s="43">
        <f t="shared" si="83"/>
        <v>19643.184247136211</v>
      </c>
      <c r="T163" s="108">
        <f t="shared" si="90"/>
        <v>6975.3928204921413</v>
      </c>
      <c r="U163" s="47">
        <f t="shared" si="84"/>
        <v>26618.57706762835</v>
      </c>
      <c r="V163" s="45">
        <f t="shared" si="91"/>
        <v>17187.786216244182</v>
      </c>
      <c r="W163" s="108">
        <f t="shared" si="92"/>
        <v>6103.4687179306229</v>
      </c>
      <c r="X163" s="46">
        <f t="shared" si="93"/>
        <v>23291.254934174805</v>
      </c>
      <c r="Y163" s="43">
        <f t="shared" si="94"/>
        <v>14732.388185352156</v>
      </c>
      <c r="Z163" s="108">
        <f t="shared" si="95"/>
        <v>5231.5446153691055</v>
      </c>
      <c r="AA163" s="46">
        <f t="shared" si="96"/>
        <v>19963.932800721261</v>
      </c>
      <c r="AB163" s="380"/>
    </row>
    <row r="164" spans="1:28" ht="13.5" customHeight="1">
      <c r="A164" s="187">
        <v>15</v>
      </c>
      <c r="B164" s="50">
        <v>44835</v>
      </c>
      <c r="C164" s="61">
        <f>VLOOKUP(B164,'base(indices)'!$A$4:$C$183,3,FALSE)</f>
        <v>1212</v>
      </c>
      <c r="D164" s="192">
        <f>'base(indices)'!G157</f>
        <v>0.99999998000000001</v>
      </c>
      <c r="E164" s="54">
        <f t="shared" si="97"/>
        <v>1211.9999757600001</v>
      </c>
      <c r="F164" s="82">
        <f>'base(indices)'!I157</f>
        <v>0.20580000000000001</v>
      </c>
      <c r="G164" s="54">
        <f t="shared" si="77"/>
        <v>249.42959501140803</v>
      </c>
      <c r="H164" s="267">
        <f t="shared" si="78"/>
        <v>1461.4295707714082</v>
      </c>
      <c r="I164" s="414">
        <f t="shared" si="81"/>
        <v>24782.826104343349</v>
      </c>
      <c r="J164" s="58">
        <f>IF((I164-H$165+(H$165/12*3))+K164-(H164/2)&gt;$I$197,$I$197-K164,(I164-H$165+(H$165/12*3)-(H164/2)))</f>
        <v>22965.310940693656</v>
      </c>
      <c r="K164" s="91">
        <f t="shared" si="79"/>
        <v>8719.2410256151761</v>
      </c>
      <c r="L164" s="284">
        <f t="shared" si="85"/>
        <v>31684.551966308834</v>
      </c>
      <c r="M164" s="57">
        <f t="shared" si="86"/>
        <v>21817.045393658973</v>
      </c>
      <c r="N164" s="91">
        <f t="shared" si="87"/>
        <v>8283.2789743344165</v>
      </c>
      <c r="O164" s="60">
        <f t="shared" si="88"/>
        <v>30100.324367993388</v>
      </c>
      <c r="P164" s="58">
        <f t="shared" si="71"/>
        <v>20668.779846624293</v>
      </c>
      <c r="Q164" s="91">
        <f t="shared" si="89"/>
        <v>7847.3169230536587</v>
      </c>
      <c r="R164" s="59">
        <f t="shared" si="72"/>
        <v>28516.096769677952</v>
      </c>
      <c r="S164" s="57">
        <f t="shared" si="83"/>
        <v>18372.248752554926</v>
      </c>
      <c r="T164" s="91">
        <f t="shared" si="90"/>
        <v>6975.3928204921413</v>
      </c>
      <c r="U164" s="60">
        <f t="shared" si="84"/>
        <v>25347.641573047069</v>
      </c>
      <c r="V164" s="58">
        <f t="shared" si="91"/>
        <v>16075.717658485559</v>
      </c>
      <c r="W164" s="91">
        <f t="shared" si="92"/>
        <v>6103.4687179306229</v>
      </c>
      <c r="X164" s="59">
        <f t="shared" si="93"/>
        <v>22179.186376416183</v>
      </c>
      <c r="Y164" s="57">
        <f t="shared" si="94"/>
        <v>13779.186564416194</v>
      </c>
      <c r="Z164" s="91">
        <f t="shared" si="95"/>
        <v>5231.5446153691055</v>
      </c>
      <c r="AA164" s="59">
        <f t="shared" si="96"/>
        <v>19010.7311797853</v>
      </c>
      <c r="AB164" s="381"/>
    </row>
    <row r="165" spans="1:28" ht="13.5" customHeight="1">
      <c r="A165" s="187">
        <v>14</v>
      </c>
      <c r="B165" s="50">
        <v>44866</v>
      </c>
      <c r="C165" s="61">
        <f>VLOOKUP(B165,'base(indices)'!$A$4:$C$183,3,FALSE)</f>
        <v>1212</v>
      </c>
      <c r="D165" s="192">
        <f>'base(indices)'!G158</f>
        <v>0.99999998000000001</v>
      </c>
      <c r="E165" s="63">
        <f t="shared" si="97"/>
        <v>1211.9999757600001</v>
      </c>
      <c r="F165" s="82">
        <f>'base(indices)'!I158</f>
        <v>0.1956</v>
      </c>
      <c r="G165" s="63">
        <f t="shared" si="77"/>
        <v>237.06719525865603</v>
      </c>
      <c r="H165" s="268">
        <f t="shared" si="78"/>
        <v>1449.0671710186562</v>
      </c>
      <c r="I165" s="415">
        <f t="shared" si="81"/>
        <v>23321.39653357194</v>
      </c>
      <c r="J165" s="45">
        <f>IF((I165-H$165+(H$165/12*2))+K165-(H165/2)&gt;$I$197,$I$197-K165,(I165-H$165+(H$165/12*2)-(H165/2)))</f>
        <v>21389.30697221373</v>
      </c>
      <c r="K165" s="108">
        <f t="shared" si="79"/>
        <v>8719.2410256151761</v>
      </c>
      <c r="L165" s="46">
        <f t="shared" si="85"/>
        <v>30108.547997828908</v>
      </c>
      <c r="M165" s="43">
        <f t="shared" si="86"/>
        <v>20319.841623603043</v>
      </c>
      <c r="N165" s="108">
        <f t="shared" si="87"/>
        <v>8283.2789743344165</v>
      </c>
      <c r="O165" s="47">
        <f t="shared" si="88"/>
        <v>28603.120597937457</v>
      </c>
      <c r="P165" s="119">
        <f t="shared" si="71"/>
        <v>19250.376274992359</v>
      </c>
      <c r="Q165" s="108">
        <f t="shared" si="89"/>
        <v>7847.3169230536587</v>
      </c>
      <c r="R165" s="46">
        <f t="shared" si="72"/>
        <v>27097.693198046018</v>
      </c>
      <c r="S165" s="43">
        <f t="shared" si="83"/>
        <v>17111.445577770985</v>
      </c>
      <c r="T165" s="108">
        <f t="shared" si="90"/>
        <v>6975.3928204921413</v>
      </c>
      <c r="U165" s="47">
        <f t="shared" si="84"/>
        <v>24086.838398263128</v>
      </c>
      <c r="V165" s="45">
        <f t="shared" si="91"/>
        <v>14972.51488054961</v>
      </c>
      <c r="W165" s="108">
        <f t="shared" si="92"/>
        <v>6103.4687179306229</v>
      </c>
      <c r="X165" s="46">
        <f t="shared" si="93"/>
        <v>21075.983598480234</v>
      </c>
      <c r="Y165" s="43">
        <f t="shared" si="94"/>
        <v>12833.584183328237</v>
      </c>
      <c r="Z165" s="108">
        <f t="shared" si="95"/>
        <v>5231.5446153691055</v>
      </c>
      <c r="AA165" s="46">
        <f t="shared" si="96"/>
        <v>18065.128798697344</v>
      </c>
      <c r="AB165" s="380"/>
    </row>
    <row r="166" spans="1:28" ht="13.5" customHeight="1" thickBot="1">
      <c r="A166" s="188">
        <v>13</v>
      </c>
      <c r="B166" s="300">
        <v>44896</v>
      </c>
      <c r="C166" s="69">
        <f>C165*2</f>
        <v>2424</v>
      </c>
      <c r="D166" s="335">
        <f>'base(indices)'!G159</f>
        <v>0.99999998000000001</v>
      </c>
      <c r="E166" s="163">
        <f t="shared" si="97"/>
        <v>2423.9999515200002</v>
      </c>
      <c r="F166" s="304">
        <f>'base(indices)'!I159</f>
        <v>0.18540000000000001</v>
      </c>
      <c r="G166" s="163">
        <f t="shared" si="77"/>
        <v>449.40959101180806</v>
      </c>
      <c r="H166" s="355">
        <f t="shared" si="78"/>
        <v>2873.4095425318083</v>
      </c>
      <c r="I166" s="416">
        <f t="shared" si="81"/>
        <v>21872.329362553282</v>
      </c>
      <c r="J166" s="175">
        <f>IF((I166-H$165+(H$165/12*1))+K166-(H166/4)&gt;$I$197,$I$197-K166,(I166-H$165+(H$165/12*1)-(H166/4)))</f>
        <v>19825.665403486561</v>
      </c>
      <c r="K166" s="86">
        <f t="shared" si="79"/>
        <v>8719.2410256151761</v>
      </c>
      <c r="L166" s="287">
        <f t="shared" si="85"/>
        <v>28544.906429101735</v>
      </c>
      <c r="M166" s="85">
        <f t="shared" si="86"/>
        <v>18834.382133312232</v>
      </c>
      <c r="N166" s="86">
        <f t="shared" si="87"/>
        <v>8283.2789743344165</v>
      </c>
      <c r="O166" s="107">
        <f t="shared" si="88"/>
        <v>27117.661107646651</v>
      </c>
      <c r="P166" s="175">
        <f t="shared" si="71"/>
        <v>17843.098863137904</v>
      </c>
      <c r="Q166" s="86">
        <f t="shared" si="89"/>
        <v>7847.3169230536587</v>
      </c>
      <c r="R166" s="165">
        <f t="shared" si="72"/>
        <v>25690.415786191563</v>
      </c>
      <c r="S166" s="85">
        <f t="shared" si="83"/>
        <v>15860.53232278925</v>
      </c>
      <c r="T166" s="86">
        <f t="shared" si="90"/>
        <v>6975.3928204921413</v>
      </c>
      <c r="U166" s="107">
        <f t="shared" si="84"/>
        <v>22835.925143281391</v>
      </c>
      <c r="V166" s="175">
        <f t="shared" si="91"/>
        <v>13877.965782440591</v>
      </c>
      <c r="W166" s="86">
        <f t="shared" si="92"/>
        <v>6103.4687179306229</v>
      </c>
      <c r="X166" s="165">
        <f t="shared" si="93"/>
        <v>19981.434500371215</v>
      </c>
      <c r="Y166" s="85">
        <f t="shared" si="94"/>
        <v>11895.399242091937</v>
      </c>
      <c r="Z166" s="86">
        <f t="shared" si="95"/>
        <v>5231.5446153691055</v>
      </c>
      <c r="AA166" s="165">
        <f t="shared" si="96"/>
        <v>17126.943857461043</v>
      </c>
      <c r="AB166" s="381"/>
    </row>
    <row r="167" spans="1:28" ht="13.5" customHeight="1">
      <c r="A167" s="217">
        <v>12</v>
      </c>
      <c r="B167" s="308">
        <v>44927</v>
      </c>
      <c r="C167" s="273">
        <f>VLOOKUP(B167,'base(indices)'!$A$4:$C$183,3,FALSE)</f>
        <v>1302</v>
      </c>
      <c r="D167" s="195">
        <f>'base(indices)'!G160</f>
        <v>0.99999998000000001</v>
      </c>
      <c r="E167" s="154">
        <f>C167*D167</f>
        <v>1301.99997396</v>
      </c>
      <c r="F167" s="42">
        <f>'base(indices)'!I160</f>
        <v>0.17419999999999999</v>
      </c>
      <c r="G167" s="154">
        <f t="shared" ref="G167:G178" si="98">E167*F167</f>
        <v>226.808395463832</v>
      </c>
      <c r="H167" s="362">
        <f t="shared" ref="H167:H178" si="99">E167+G167</f>
        <v>1528.8083694238321</v>
      </c>
      <c r="I167" s="401">
        <f t="shared" si="81"/>
        <v>18998.919820021474</v>
      </c>
      <c r="J167" s="288">
        <f>IF((I167-H$177+(H$177))+K167-(H167/2)&gt;$I$197,$I$197-K167,(I167-H$177+(H$177)-(H167/2)))</f>
        <v>18234.515635309559</v>
      </c>
      <c r="K167" s="156">
        <f t="shared" si="79"/>
        <v>8719.2410256151761</v>
      </c>
      <c r="L167" s="150">
        <f t="shared" ref="L167:L178" si="100">J167+K167</f>
        <v>26953.756660924737</v>
      </c>
      <c r="M167" s="283">
        <f t="shared" ref="M167:M178" si="101">J167*M$9</f>
        <v>17322.78985354408</v>
      </c>
      <c r="N167" s="156">
        <f t="shared" ref="N167:N178" si="102">K167*M$9</f>
        <v>8283.2789743344165</v>
      </c>
      <c r="O167" s="290">
        <f t="shared" ref="O167:O178" si="103">M167+N167</f>
        <v>25606.068827878495</v>
      </c>
      <c r="P167" s="292">
        <f t="shared" ref="P167:P178" si="104">J167*$P$9</f>
        <v>16411.064071778605</v>
      </c>
      <c r="Q167" s="156">
        <f t="shared" ref="Q167:Q178" si="105">K167*P$9</f>
        <v>7847.3169230536587</v>
      </c>
      <c r="R167" s="150">
        <f t="shared" ref="R167:R178" si="106">P167+Q167</f>
        <v>24258.380994832263</v>
      </c>
      <c r="S167" s="283">
        <f t="shared" ref="S167:S178" si="107">J167*S$9</f>
        <v>14587.612508247648</v>
      </c>
      <c r="T167" s="156">
        <f t="shared" ref="T167:T178" si="108">K167*S$9</f>
        <v>6975.3928204921413</v>
      </c>
      <c r="U167" s="290">
        <f t="shared" ref="U167:U178" si="109">S167+T167</f>
        <v>21563.00532873979</v>
      </c>
      <c r="V167" s="288">
        <f t="shared" ref="V167:V178" si="110">J167*V$9</f>
        <v>12764.16094471669</v>
      </c>
      <c r="W167" s="156">
        <f t="shared" ref="W167:W178" si="111">K167*V$9</f>
        <v>6103.4687179306229</v>
      </c>
      <c r="X167" s="150">
        <f t="shared" ref="X167:X178" si="112">V167+W167</f>
        <v>18867.629662647312</v>
      </c>
      <c r="Y167" s="283">
        <f t="shared" ref="Y167:Y178" si="113">J167*Y$9</f>
        <v>10940.709381185736</v>
      </c>
      <c r="Z167" s="156">
        <f t="shared" ref="Z167:Z178" si="114">K167*Y$9</f>
        <v>5231.5446153691055</v>
      </c>
      <c r="AA167" s="150">
        <f t="shared" ref="AA167:AA178" si="115">Y167+Z167</f>
        <v>16172.253996554842</v>
      </c>
      <c r="AB167" s="381"/>
    </row>
    <row r="168" spans="1:28" ht="13.5" customHeight="1">
      <c r="A168" s="187">
        <v>11</v>
      </c>
      <c r="B168" s="50">
        <v>44958</v>
      </c>
      <c r="C168" s="61">
        <f>VLOOKUP(B168,'base(indices)'!$A$4:$C$183,3,FALSE)</f>
        <v>1302</v>
      </c>
      <c r="D168" s="192">
        <f>'base(indices)'!G161</f>
        <v>0.99999998000000001</v>
      </c>
      <c r="E168" s="54">
        <f t="shared" ref="E168:E178" si="116">C168*D168</f>
        <v>1301.99997396</v>
      </c>
      <c r="F168" s="82">
        <f>'base(indices)'!I161</f>
        <v>0.16300000000000001</v>
      </c>
      <c r="G168" s="54">
        <f t="shared" si="98"/>
        <v>212.22599575548</v>
      </c>
      <c r="H168" s="267">
        <f t="shared" si="99"/>
        <v>1514.22596971548</v>
      </c>
      <c r="I168" s="359">
        <f t="shared" si="81"/>
        <v>17470.111450597644</v>
      </c>
      <c r="J168" s="58">
        <f>IF((I168-H$177+(H$177/12*11))+K168-(H168/2)&gt;$I$197,$I$197-K168,(I168-H$177+(H$177/12*11)-(H168/2)))</f>
        <v>16595.386468092143</v>
      </c>
      <c r="K168" s="91">
        <f t="shared" si="79"/>
        <v>8719.2410256151761</v>
      </c>
      <c r="L168" s="284">
        <f t="shared" si="100"/>
        <v>25314.627493707318</v>
      </c>
      <c r="M168" s="57">
        <f t="shared" si="101"/>
        <v>15765.617144687536</v>
      </c>
      <c r="N168" s="91">
        <f t="shared" si="102"/>
        <v>8283.2789743344165</v>
      </c>
      <c r="O168" s="60">
        <f t="shared" si="103"/>
        <v>24048.896119021952</v>
      </c>
      <c r="P168" s="58">
        <f t="shared" si="104"/>
        <v>14935.847821282929</v>
      </c>
      <c r="Q168" s="91">
        <f t="shared" si="105"/>
        <v>7847.3169230536587</v>
      </c>
      <c r="R168" s="59">
        <f t="shared" si="106"/>
        <v>22783.164744336587</v>
      </c>
      <c r="S168" s="57">
        <f t="shared" si="107"/>
        <v>13276.309174473716</v>
      </c>
      <c r="T168" s="91">
        <f t="shared" si="108"/>
        <v>6975.3928204921413</v>
      </c>
      <c r="U168" s="60">
        <f t="shared" si="109"/>
        <v>20251.701994965857</v>
      </c>
      <c r="V168" s="58">
        <f t="shared" si="110"/>
        <v>11616.770527664499</v>
      </c>
      <c r="W168" s="91">
        <f t="shared" si="111"/>
        <v>6103.4687179306229</v>
      </c>
      <c r="X168" s="59">
        <f t="shared" si="112"/>
        <v>17720.239245595123</v>
      </c>
      <c r="Y168" s="57">
        <f t="shared" si="113"/>
        <v>9957.2318808552864</v>
      </c>
      <c r="Z168" s="91">
        <f t="shared" si="114"/>
        <v>5231.5446153691055</v>
      </c>
      <c r="AA168" s="59">
        <f t="shared" si="115"/>
        <v>15188.776496224393</v>
      </c>
      <c r="AB168" s="381"/>
    </row>
    <row r="169" spans="1:28" ht="13.5" customHeight="1">
      <c r="A169" s="187">
        <v>10</v>
      </c>
      <c r="B169" s="50">
        <v>44986</v>
      </c>
      <c r="C169" s="61">
        <f>VLOOKUP(B169,'base(indices)'!$A$4:$C$183,3,FALSE)</f>
        <v>1302</v>
      </c>
      <c r="D169" s="192">
        <f>'base(indices)'!G162</f>
        <v>0.99999998000000001</v>
      </c>
      <c r="E169" s="63">
        <f t="shared" si="116"/>
        <v>1301.99997396</v>
      </c>
      <c r="F169" s="82">
        <f>'base(indices)'!I162</f>
        <v>0.15379999999999999</v>
      </c>
      <c r="G169" s="63">
        <f t="shared" si="98"/>
        <v>200.24759599504799</v>
      </c>
      <c r="H169" s="268">
        <f t="shared" si="99"/>
        <v>1502.247569955048</v>
      </c>
      <c r="I169" s="360">
        <f t="shared" si="81"/>
        <v>15955.885480882163</v>
      </c>
      <c r="J169" s="45">
        <f>IF((I169-H$177+(H$177/12*10))+K169-(H169/2)&gt;$I$197,$I$197-K169,(I169-H$177+(H$177/12*10)-(H169/2)))</f>
        <v>14969.537700609118</v>
      </c>
      <c r="K169" s="108">
        <f t="shared" si="79"/>
        <v>8719.2410256151761</v>
      </c>
      <c r="L169" s="46">
        <f t="shared" si="100"/>
        <v>23688.778726224293</v>
      </c>
      <c r="M169" s="43">
        <f t="shared" si="101"/>
        <v>14221.060815578661</v>
      </c>
      <c r="N169" s="108">
        <f t="shared" si="102"/>
        <v>8283.2789743344165</v>
      </c>
      <c r="O169" s="47">
        <f t="shared" si="103"/>
        <v>22504.33978991308</v>
      </c>
      <c r="P169" s="119">
        <f t="shared" si="104"/>
        <v>13472.583930548208</v>
      </c>
      <c r="Q169" s="108">
        <f t="shared" si="105"/>
        <v>7847.3169230536587</v>
      </c>
      <c r="R169" s="46">
        <f t="shared" si="106"/>
        <v>21319.900853601866</v>
      </c>
      <c r="S169" s="43">
        <f t="shared" si="107"/>
        <v>11975.630160487295</v>
      </c>
      <c r="T169" s="108">
        <f t="shared" si="108"/>
        <v>6975.3928204921413</v>
      </c>
      <c r="U169" s="47">
        <f t="shared" si="109"/>
        <v>18951.022980979436</v>
      </c>
      <c r="V169" s="45">
        <f t="shared" si="110"/>
        <v>10478.676390426383</v>
      </c>
      <c r="W169" s="108">
        <f t="shared" si="111"/>
        <v>6103.4687179306229</v>
      </c>
      <c r="X169" s="46">
        <f t="shared" si="112"/>
        <v>16582.145108357006</v>
      </c>
      <c r="Y169" s="43">
        <f t="shared" si="113"/>
        <v>8981.72262036547</v>
      </c>
      <c r="Z169" s="108">
        <f t="shared" si="114"/>
        <v>5231.5446153691055</v>
      </c>
      <c r="AA169" s="46">
        <f t="shared" si="115"/>
        <v>14213.267235734576</v>
      </c>
      <c r="AB169" s="381"/>
    </row>
    <row r="170" spans="1:28" ht="13.5" customHeight="1">
      <c r="A170" s="187">
        <v>9</v>
      </c>
      <c r="B170" s="50">
        <v>45017</v>
      </c>
      <c r="C170" s="61">
        <f>VLOOKUP(B170,'base(indices)'!$A$4:$C$183,3,FALSE)</f>
        <v>1302</v>
      </c>
      <c r="D170" s="192">
        <f>'base(indices)'!G163</f>
        <v>0.99999998000000001</v>
      </c>
      <c r="E170" s="54">
        <f t="shared" si="116"/>
        <v>1301.99997396</v>
      </c>
      <c r="F170" s="82">
        <f>'base(indices)'!I163</f>
        <v>0.1421</v>
      </c>
      <c r="G170" s="54">
        <f t="shared" si="98"/>
        <v>185.01419629971602</v>
      </c>
      <c r="H170" s="267">
        <f t="shared" si="99"/>
        <v>1487.0141702597161</v>
      </c>
      <c r="I170" s="359">
        <f t="shared" si="81"/>
        <v>14453.637910927115</v>
      </c>
      <c r="J170" s="58">
        <f>IF((I170-H$177+(H$177/12*9))+K170-(H170/2)&gt;$I$197,$I$197-K170,(I170-H$177+(H$177/12*9)-(H170/2)))</f>
        <v>13357.294832853977</v>
      </c>
      <c r="K170" s="91">
        <f t="shared" si="79"/>
        <v>8719.2410256151761</v>
      </c>
      <c r="L170" s="284">
        <f t="shared" si="100"/>
        <v>22076.535858469153</v>
      </c>
      <c r="M170" s="57">
        <f t="shared" si="101"/>
        <v>12689.430091211278</v>
      </c>
      <c r="N170" s="91">
        <f t="shared" si="102"/>
        <v>8283.2789743344165</v>
      </c>
      <c r="O170" s="60">
        <f t="shared" si="103"/>
        <v>20972.709065545692</v>
      </c>
      <c r="P170" s="58">
        <f t="shared" si="104"/>
        <v>12021.56534956858</v>
      </c>
      <c r="Q170" s="91">
        <f t="shared" si="105"/>
        <v>7847.3169230536587</v>
      </c>
      <c r="R170" s="59">
        <f t="shared" si="106"/>
        <v>19868.882272622239</v>
      </c>
      <c r="S170" s="57">
        <f t="shared" si="107"/>
        <v>10685.835866283182</v>
      </c>
      <c r="T170" s="91">
        <f t="shared" si="108"/>
        <v>6975.3928204921413</v>
      </c>
      <c r="U170" s="60">
        <f t="shared" si="109"/>
        <v>17661.228686775321</v>
      </c>
      <c r="V170" s="58">
        <f t="shared" si="110"/>
        <v>9350.1063829977829</v>
      </c>
      <c r="W170" s="91">
        <f t="shared" si="111"/>
        <v>6103.4687179306229</v>
      </c>
      <c r="X170" s="59">
        <f t="shared" si="112"/>
        <v>15453.575100928407</v>
      </c>
      <c r="Y170" s="57">
        <f t="shared" si="113"/>
        <v>8014.3768997123861</v>
      </c>
      <c r="Z170" s="91">
        <f t="shared" si="114"/>
        <v>5231.5446153691055</v>
      </c>
      <c r="AA170" s="59">
        <f t="shared" si="115"/>
        <v>13245.921515081493</v>
      </c>
      <c r="AB170" s="381"/>
    </row>
    <row r="171" spans="1:28" ht="13.5" customHeight="1">
      <c r="A171" s="187">
        <v>8</v>
      </c>
      <c r="B171" s="50">
        <v>45047</v>
      </c>
      <c r="C171" s="61">
        <f>VLOOKUP(B171,'base(indices)'!$A$4:$C$183,3,FALSE)</f>
        <v>1320</v>
      </c>
      <c r="D171" s="192">
        <f>'base(indices)'!G164</f>
        <v>0.99999998000000001</v>
      </c>
      <c r="E171" s="63">
        <f t="shared" si="116"/>
        <v>1319.9999736</v>
      </c>
      <c r="F171" s="82">
        <f>'base(indices)'!I164</f>
        <v>0.13289999999999999</v>
      </c>
      <c r="G171" s="63">
        <f t="shared" si="98"/>
        <v>175.42799649143998</v>
      </c>
      <c r="H171" s="268">
        <f t="shared" si="99"/>
        <v>1495.4279700914399</v>
      </c>
      <c r="I171" s="360">
        <f t="shared" si="81"/>
        <v>12966.623740667399</v>
      </c>
      <c r="J171" s="45">
        <f>IF((I171-H$177+(H$177/12*8))+K171-(H171/2)&gt;$I$197,$I$197-K171,(I171-H$177+(H$177/12*8)-(H171/2)))</f>
        <v>11748.461765030639</v>
      </c>
      <c r="K171" s="108">
        <f t="shared" ref="K171:K178" si="117">I$196</f>
        <v>8719.2410256151761</v>
      </c>
      <c r="L171" s="46">
        <f t="shared" si="100"/>
        <v>20467.702790645817</v>
      </c>
      <c r="M171" s="43">
        <f t="shared" si="101"/>
        <v>11161.038676779106</v>
      </c>
      <c r="N171" s="108">
        <f t="shared" si="102"/>
        <v>8283.2789743344165</v>
      </c>
      <c r="O171" s="47">
        <f t="shared" si="103"/>
        <v>19444.317651113524</v>
      </c>
      <c r="P171" s="119">
        <f t="shared" si="104"/>
        <v>10573.615588527575</v>
      </c>
      <c r="Q171" s="108">
        <f t="shared" si="105"/>
        <v>7847.3169230536587</v>
      </c>
      <c r="R171" s="46">
        <f t="shared" si="106"/>
        <v>18420.932511581232</v>
      </c>
      <c r="S171" s="43">
        <f t="shared" si="107"/>
        <v>9398.7694120245123</v>
      </c>
      <c r="T171" s="108">
        <f t="shared" si="108"/>
        <v>6975.3928204921413</v>
      </c>
      <c r="U171" s="47">
        <f t="shared" si="109"/>
        <v>16374.162232516654</v>
      </c>
      <c r="V171" s="45">
        <f t="shared" si="110"/>
        <v>8223.9232355214463</v>
      </c>
      <c r="W171" s="108">
        <f t="shared" si="111"/>
        <v>6103.4687179306229</v>
      </c>
      <c r="X171" s="46">
        <f t="shared" si="112"/>
        <v>14327.391953452068</v>
      </c>
      <c r="Y171" s="43">
        <f t="shared" si="113"/>
        <v>7049.0770590183829</v>
      </c>
      <c r="Z171" s="108">
        <f t="shared" si="114"/>
        <v>5231.5446153691055</v>
      </c>
      <c r="AA171" s="46">
        <f t="shared" si="115"/>
        <v>12280.621674387488</v>
      </c>
      <c r="AB171" s="381"/>
    </row>
    <row r="172" spans="1:28" ht="13.5" customHeight="1">
      <c r="A172" s="187">
        <v>7</v>
      </c>
      <c r="B172" s="50">
        <v>45078</v>
      </c>
      <c r="C172" s="61">
        <f>VLOOKUP(B172,'base(indices)'!$A$4:$C$183,3,FALSE)</f>
        <v>1320</v>
      </c>
      <c r="D172" s="192">
        <f>'base(indices)'!G165</f>
        <v>0.99999998000000001</v>
      </c>
      <c r="E172" s="54">
        <f t="shared" si="116"/>
        <v>1319.9999736</v>
      </c>
      <c r="F172" s="82">
        <f>'base(indices)'!I165</f>
        <v>0.1217</v>
      </c>
      <c r="G172" s="54">
        <f t="shared" si="98"/>
        <v>160.64399678711999</v>
      </c>
      <c r="H172" s="267">
        <f t="shared" si="99"/>
        <v>1480.6439703871199</v>
      </c>
      <c r="I172" s="359">
        <f t="shared" si="81"/>
        <v>11471.19577057596</v>
      </c>
      <c r="J172" s="58">
        <f>IF((I172-H$177+(H$177/12*7))+K172-(H172/2)&gt;$I$197,$I$197-K172,(I172-H$177+(H$177/12*7)-(H172/2)))</f>
        <v>10142.813797143601</v>
      </c>
      <c r="K172" s="91">
        <f t="shared" si="117"/>
        <v>8719.2410256151761</v>
      </c>
      <c r="L172" s="284">
        <f t="shared" si="100"/>
        <v>18862.054822758779</v>
      </c>
      <c r="M172" s="57">
        <f t="shared" si="101"/>
        <v>9635.6731072864204</v>
      </c>
      <c r="N172" s="91">
        <f t="shared" si="102"/>
        <v>8283.2789743344165</v>
      </c>
      <c r="O172" s="60">
        <f t="shared" si="103"/>
        <v>17918.952081620839</v>
      </c>
      <c r="P172" s="58">
        <f t="shared" si="104"/>
        <v>9128.5324174292418</v>
      </c>
      <c r="Q172" s="91">
        <f t="shared" si="105"/>
        <v>7847.3169230536587</v>
      </c>
      <c r="R172" s="59">
        <f t="shared" si="106"/>
        <v>16975.849340482899</v>
      </c>
      <c r="S172" s="57">
        <f t="shared" si="107"/>
        <v>8114.251037714881</v>
      </c>
      <c r="T172" s="91">
        <f t="shared" si="108"/>
        <v>6975.3928204921413</v>
      </c>
      <c r="U172" s="60">
        <f t="shared" si="109"/>
        <v>15089.643858207022</v>
      </c>
      <c r="V172" s="58">
        <f t="shared" si="110"/>
        <v>7099.9696580005202</v>
      </c>
      <c r="W172" s="91">
        <f t="shared" si="111"/>
        <v>6103.4687179306229</v>
      </c>
      <c r="X172" s="59">
        <f t="shared" si="112"/>
        <v>13203.438375931142</v>
      </c>
      <c r="Y172" s="57">
        <f t="shared" si="113"/>
        <v>6085.6882782861603</v>
      </c>
      <c r="Z172" s="91">
        <f t="shared" si="114"/>
        <v>5231.5446153691055</v>
      </c>
      <c r="AA172" s="59">
        <f t="shared" si="115"/>
        <v>11317.232893655266</v>
      </c>
      <c r="AB172" s="381"/>
    </row>
    <row r="173" spans="1:28" ht="13.5" customHeight="1">
      <c r="A173" s="187">
        <v>6</v>
      </c>
      <c r="B173" s="50">
        <v>45108</v>
      </c>
      <c r="C173" s="61">
        <f>VLOOKUP(B173,'base(indices)'!$A$4:$C$183,3,FALSE)</f>
        <v>1320</v>
      </c>
      <c r="D173" s="192">
        <f>'base(indices)'!G166</f>
        <v>0.99999998000000001</v>
      </c>
      <c r="E173" s="63">
        <f t="shared" si="116"/>
        <v>1319.9999736</v>
      </c>
      <c r="F173" s="82">
        <f>'base(indices)'!I166</f>
        <v>0.111</v>
      </c>
      <c r="G173" s="63">
        <f t="shared" si="98"/>
        <v>146.51999706960001</v>
      </c>
      <c r="H173" s="268">
        <f t="shared" si="99"/>
        <v>1466.5199706696001</v>
      </c>
      <c r="I173" s="360">
        <f t="shared" si="81"/>
        <v>9990.5518001888395</v>
      </c>
      <c r="J173" s="45">
        <f>IF((I173-H$177+(H$177/12*6))+K173-(H173/2)&gt;$I$197,$I$197-K173,(I173-H$177+(H$177/12*6)-(H173/2)))</f>
        <v>8551.6198289674794</v>
      </c>
      <c r="K173" s="108">
        <f t="shared" si="117"/>
        <v>8719.2410256151761</v>
      </c>
      <c r="L173" s="46">
        <f t="shared" si="100"/>
        <v>17270.860854582657</v>
      </c>
      <c r="M173" s="43">
        <f t="shared" si="101"/>
        <v>8124.0388375191051</v>
      </c>
      <c r="N173" s="108">
        <f t="shared" si="102"/>
        <v>8283.2789743344165</v>
      </c>
      <c r="O173" s="47">
        <f t="shared" si="103"/>
        <v>16407.317811853522</v>
      </c>
      <c r="P173" s="119">
        <f t="shared" si="104"/>
        <v>7696.4578460707316</v>
      </c>
      <c r="Q173" s="108">
        <f t="shared" si="105"/>
        <v>7847.3169230536587</v>
      </c>
      <c r="R173" s="46">
        <f t="shared" si="106"/>
        <v>15543.774769124389</v>
      </c>
      <c r="S173" s="43">
        <f t="shared" si="107"/>
        <v>6841.2958631739839</v>
      </c>
      <c r="T173" s="108">
        <f t="shared" si="108"/>
        <v>6975.3928204921413</v>
      </c>
      <c r="U173" s="47">
        <f t="shared" si="109"/>
        <v>13816.688683666125</v>
      </c>
      <c r="V173" s="45">
        <f t="shared" si="110"/>
        <v>5986.1338802772352</v>
      </c>
      <c r="W173" s="108">
        <f t="shared" si="111"/>
        <v>6103.4687179306229</v>
      </c>
      <c r="X173" s="46">
        <f t="shared" si="112"/>
        <v>12089.602598207857</v>
      </c>
      <c r="Y173" s="43">
        <f t="shared" si="113"/>
        <v>5130.9718973804875</v>
      </c>
      <c r="Z173" s="108">
        <f t="shared" si="114"/>
        <v>5231.5446153691055</v>
      </c>
      <c r="AA173" s="46">
        <f t="shared" si="115"/>
        <v>10362.516512749593</v>
      </c>
      <c r="AB173" s="381"/>
    </row>
    <row r="174" spans="1:28" ht="13.5" customHeight="1">
      <c r="A174" s="187">
        <v>5</v>
      </c>
      <c r="B174" s="50">
        <v>45139</v>
      </c>
      <c r="C174" s="61">
        <f>VLOOKUP(B174,'base(indices)'!$A$4:$C$183,3,FALSE)</f>
        <v>1320</v>
      </c>
      <c r="D174" s="192">
        <f>'base(indices)'!G167</f>
        <v>0.99999998000000001</v>
      </c>
      <c r="E174" s="54">
        <f t="shared" si="116"/>
        <v>1319.9999736</v>
      </c>
      <c r="F174" s="82">
        <f>'base(indices)'!I167</f>
        <v>0.1003</v>
      </c>
      <c r="G174" s="54">
        <f t="shared" si="98"/>
        <v>132.39599735208</v>
      </c>
      <c r="H174" s="267">
        <f t="shared" si="99"/>
        <v>1452.39597095208</v>
      </c>
      <c r="I174" s="359">
        <f t="shared" si="81"/>
        <v>8524.0318295192392</v>
      </c>
      <c r="J174" s="58">
        <f>IF((I174-H$177+(H$177/12*5))+K174-(H174/2)&gt;$I$197,$I$197-K174,(I174-H$177+(H$177/12*5)-(H174/2)))</f>
        <v>6974.5498605088787</v>
      </c>
      <c r="K174" s="91">
        <f t="shared" si="117"/>
        <v>8719.2410256151761</v>
      </c>
      <c r="L174" s="284">
        <f t="shared" si="100"/>
        <v>15693.790886124054</v>
      </c>
      <c r="M174" s="57">
        <f t="shared" si="101"/>
        <v>6625.8223674834344</v>
      </c>
      <c r="N174" s="91">
        <f t="shared" si="102"/>
        <v>8283.2789743344165</v>
      </c>
      <c r="O174" s="60">
        <f t="shared" si="103"/>
        <v>14909.101341817852</v>
      </c>
      <c r="P174" s="58">
        <f t="shared" si="104"/>
        <v>6277.094874457991</v>
      </c>
      <c r="Q174" s="91">
        <f t="shared" si="105"/>
        <v>7847.3169230536587</v>
      </c>
      <c r="R174" s="59">
        <f t="shared" si="106"/>
        <v>14124.41179751165</v>
      </c>
      <c r="S174" s="57">
        <f t="shared" si="107"/>
        <v>5579.6398884071032</v>
      </c>
      <c r="T174" s="91">
        <f t="shared" si="108"/>
        <v>6975.3928204921413</v>
      </c>
      <c r="U174" s="60">
        <f t="shared" si="109"/>
        <v>12555.032708899245</v>
      </c>
      <c r="V174" s="58">
        <f t="shared" si="110"/>
        <v>4882.1849023562145</v>
      </c>
      <c r="W174" s="91">
        <f t="shared" si="111"/>
        <v>6103.4687179306229</v>
      </c>
      <c r="X174" s="59">
        <f t="shared" si="112"/>
        <v>10985.653620286837</v>
      </c>
      <c r="Y174" s="57">
        <f t="shared" si="113"/>
        <v>4184.7299163053267</v>
      </c>
      <c r="Z174" s="91">
        <f t="shared" si="114"/>
        <v>5231.5446153691055</v>
      </c>
      <c r="AA174" s="59">
        <f t="shared" si="115"/>
        <v>9416.2745316744331</v>
      </c>
      <c r="AB174" s="381"/>
    </row>
    <row r="175" spans="1:28" ht="13.5" customHeight="1">
      <c r="A175" s="187">
        <v>4</v>
      </c>
      <c r="B175" s="50">
        <v>45170</v>
      </c>
      <c r="C175" s="61">
        <f>VLOOKUP(B175,'base(indices)'!$A$4:$C$183,3,FALSE)</f>
        <v>1320</v>
      </c>
      <c r="D175" s="192">
        <f>'base(indices)'!G168</f>
        <v>0.99999998000000001</v>
      </c>
      <c r="E175" s="63">
        <f t="shared" si="116"/>
        <v>1319.9999736</v>
      </c>
      <c r="F175" s="82">
        <f>'base(indices)'!I168</f>
        <v>8.8900000000000007E-2</v>
      </c>
      <c r="G175" s="63">
        <f t="shared" si="98"/>
        <v>117.34799765304001</v>
      </c>
      <c r="H175" s="268">
        <f t="shared" si="99"/>
        <v>1437.34797125304</v>
      </c>
      <c r="I175" s="360">
        <f t="shared" si="81"/>
        <v>7071.6358585671587</v>
      </c>
      <c r="J175" s="45">
        <f>IF((I175-H$177+(H$177/12*4))+K175-(H175/2)&gt;$I$197,$I$197-K175,(I175-H$177+(H$177/12*4)-(H175/2)))</f>
        <v>5412.0658917585588</v>
      </c>
      <c r="K175" s="108">
        <f t="shared" si="117"/>
        <v>8719.2410256151761</v>
      </c>
      <c r="L175" s="46">
        <f t="shared" si="100"/>
        <v>14131.306917373735</v>
      </c>
      <c r="M175" s="43">
        <f t="shared" si="101"/>
        <v>5141.4625971706309</v>
      </c>
      <c r="N175" s="108">
        <f t="shared" si="102"/>
        <v>8283.2789743344165</v>
      </c>
      <c r="O175" s="47">
        <f t="shared" si="103"/>
        <v>13424.741571505048</v>
      </c>
      <c r="P175" s="119">
        <f t="shared" si="104"/>
        <v>4870.8593025827031</v>
      </c>
      <c r="Q175" s="108">
        <f t="shared" si="105"/>
        <v>7847.3169230536587</v>
      </c>
      <c r="R175" s="46">
        <f t="shared" si="106"/>
        <v>12718.176225636362</v>
      </c>
      <c r="S175" s="43">
        <f t="shared" si="107"/>
        <v>4329.6527134068474</v>
      </c>
      <c r="T175" s="108">
        <f t="shared" si="108"/>
        <v>6975.3928204921413</v>
      </c>
      <c r="U175" s="47">
        <f t="shared" si="109"/>
        <v>11305.045533898989</v>
      </c>
      <c r="V175" s="45">
        <f t="shared" si="110"/>
        <v>3788.4461242309908</v>
      </c>
      <c r="W175" s="108">
        <f t="shared" si="111"/>
        <v>6103.4687179306229</v>
      </c>
      <c r="X175" s="46">
        <f t="shared" si="112"/>
        <v>9891.9148421616137</v>
      </c>
      <c r="Y175" s="43">
        <f t="shared" si="113"/>
        <v>3247.2395350551351</v>
      </c>
      <c r="Z175" s="108">
        <f t="shared" si="114"/>
        <v>5231.5446153691055</v>
      </c>
      <c r="AA175" s="46">
        <f t="shared" si="115"/>
        <v>8478.7841504242406</v>
      </c>
      <c r="AB175" s="381"/>
    </row>
    <row r="176" spans="1:28" ht="13.5" customHeight="1">
      <c r="A176" s="187">
        <v>3</v>
      </c>
      <c r="B176" s="50">
        <v>45200</v>
      </c>
      <c r="C176" s="61">
        <f>VLOOKUP(B176,'base(indices)'!$A$4:$C$183,3,FALSE)</f>
        <v>1320</v>
      </c>
      <c r="D176" s="192">
        <f>'base(indices)'!G169</f>
        <v>0.99999998000000001</v>
      </c>
      <c r="E176" s="54">
        <f t="shared" si="116"/>
        <v>1319.9999736</v>
      </c>
      <c r="F176" s="82">
        <f>'base(indices)'!I169</f>
        <v>7.9200000000000007E-2</v>
      </c>
      <c r="G176" s="54">
        <f t="shared" si="98"/>
        <v>104.54399790912001</v>
      </c>
      <c r="H176" s="267">
        <f t="shared" si="99"/>
        <v>1424.54397150912</v>
      </c>
      <c r="I176" s="359">
        <f t="shared" si="81"/>
        <v>5634.287887314119</v>
      </c>
      <c r="J176" s="58">
        <f>IF((I176-H$177+(H$177/12*3))+K176-(H176/2)&gt;$I$197,$I$197-K176,(I176-H$177+(H$177/12*3)-(H176/2)))</f>
        <v>3863.5079227297192</v>
      </c>
      <c r="K176" s="91">
        <f t="shared" si="117"/>
        <v>8719.2410256151761</v>
      </c>
      <c r="L176" s="284">
        <f t="shared" si="100"/>
        <v>12582.748948344895</v>
      </c>
      <c r="M176" s="57">
        <f t="shared" si="101"/>
        <v>3670.3325265932331</v>
      </c>
      <c r="N176" s="91">
        <f t="shared" si="102"/>
        <v>8283.2789743344165</v>
      </c>
      <c r="O176" s="60">
        <f t="shared" si="103"/>
        <v>11953.611500927649</v>
      </c>
      <c r="P176" s="58">
        <f t="shared" si="104"/>
        <v>3477.1571304567474</v>
      </c>
      <c r="Q176" s="91">
        <f t="shared" si="105"/>
        <v>7847.3169230536587</v>
      </c>
      <c r="R176" s="59">
        <f t="shared" si="106"/>
        <v>11324.474053510407</v>
      </c>
      <c r="S176" s="57">
        <f t="shared" si="107"/>
        <v>3090.8063381837756</v>
      </c>
      <c r="T176" s="91">
        <f t="shared" si="108"/>
        <v>6975.3928204921413</v>
      </c>
      <c r="U176" s="60">
        <f t="shared" si="109"/>
        <v>10066.199158675918</v>
      </c>
      <c r="V176" s="58">
        <f t="shared" si="110"/>
        <v>2704.4555459108033</v>
      </c>
      <c r="W176" s="91">
        <f t="shared" si="111"/>
        <v>6103.4687179306229</v>
      </c>
      <c r="X176" s="59">
        <f t="shared" si="112"/>
        <v>8807.9242638414253</v>
      </c>
      <c r="Y176" s="57">
        <f t="shared" si="113"/>
        <v>2318.1047536378314</v>
      </c>
      <c r="Z176" s="91">
        <f t="shared" si="114"/>
        <v>5231.5446153691055</v>
      </c>
      <c r="AA176" s="59">
        <f t="shared" si="115"/>
        <v>7549.6493690069365</v>
      </c>
      <c r="AB176" s="381"/>
    </row>
    <row r="177" spans="1:36" ht="13.5" customHeight="1">
      <c r="A177" s="187">
        <v>2</v>
      </c>
      <c r="B177" s="50">
        <v>45231</v>
      </c>
      <c r="C177" s="61">
        <f>VLOOKUP(B177,'base(indices)'!$A$4:$C$183,3,FALSE)</f>
        <v>1320</v>
      </c>
      <c r="D177" s="192">
        <f>'base(indices)'!G170</f>
        <v>0.99999998000000001</v>
      </c>
      <c r="E177" s="63">
        <f t="shared" si="116"/>
        <v>1319.9999736</v>
      </c>
      <c r="F177" s="82">
        <f>'base(indices)'!I170</f>
        <v>6.9199999999999998E-2</v>
      </c>
      <c r="G177" s="63">
        <f t="shared" si="98"/>
        <v>91.343998173119999</v>
      </c>
      <c r="H177" s="268">
        <f t="shared" si="99"/>
        <v>1411.3439717731201</v>
      </c>
      <c r="I177" s="360">
        <f>I176-H176</f>
        <v>4209.7439158049992</v>
      </c>
      <c r="J177" s="45">
        <f>IF((I177-H$177+(H$177/12*2))+K177-(H177/2)&gt;$I$197,$I$197-K177,(I177-H$177+(H$177/12*2)-(H177/2)))</f>
        <v>2327.9519534408396</v>
      </c>
      <c r="K177" s="108">
        <f t="shared" si="117"/>
        <v>8719.2410256151761</v>
      </c>
      <c r="L177" s="46">
        <f>J177+K177</f>
        <v>11047.192979056015</v>
      </c>
      <c r="M177" s="43">
        <f t="shared" si="101"/>
        <v>2211.5543557687974</v>
      </c>
      <c r="N177" s="108">
        <f t="shared" si="102"/>
        <v>8283.2789743344165</v>
      </c>
      <c r="O177" s="47">
        <f t="shared" si="103"/>
        <v>10494.833330103214</v>
      </c>
      <c r="P177" s="119">
        <f t="shared" si="104"/>
        <v>2095.1567580967558</v>
      </c>
      <c r="Q177" s="108">
        <f t="shared" si="105"/>
        <v>7847.3169230536587</v>
      </c>
      <c r="R177" s="46">
        <f t="shared" si="106"/>
        <v>9942.4736811504154</v>
      </c>
      <c r="S177" s="43">
        <f t="shared" si="107"/>
        <v>1862.3615627526717</v>
      </c>
      <c r="T177" s="108">
        <f t="shared" si="108"/>
        <v>6975.3928204921413</v>
      </c>
      <c r="U177" s="47">
        <f t="shared" si="109"/>
        <v>8837.7543832448137</v>
      </c>
      <c r="V177" s="45">
        <f t="shared" si="110"/>
        <v>1629.5663674085877</v>
      </c>
      <c r="W177" s="108">
        <f t="shared" si="111"/>
        <v>6103.4687179306229</v>
      </c>
      <c r="X177" s="46">
        <f t="shared" si="112"/>
        <v>7733.0350853392101</v>
      </c>
      <c r="Y177" s="43">
        <f t="shared" si="113"/>
        <v>1396.7711720645036</v>
      </c>
      <c r="Z177" s="108">
        <f t="shared" si="114"/>
        <v>5231.5446153691055</v>
      </c>
      <c r="AA177" s="46">
        <f t="shared" si="115"/>
        <v>6628.3157874336093</v>
      </c>
      <c r="AB177" s="381"/>
    </row>
    <row r="178" spans="1:36" ht="13.5" customHeight="1" thickBot="1">
      <c r="A178" s="305">
        <v>1</v>
      </c>
      <c r="B178" s="383">
        <v>45261</v>
      </c>
      <c r="C178" s="142">
        <f>C177*2</f>
        <v>2640</v>
      </c>
      <c r="D178" s="343">
        <f>'base(indices)'!G171</f>
        <v>0.99999998000000001</v>
      </c>
      <c r="E178" s="170">
        <f t="shared" si="116"/>
        <v>2639.9999472</v>
      </c>
      <c r="F178" s="307">
        <f>'base(indices)'!I171</f>
        <v>0.06</v>
      </c>
      <c r="G178" s="170">
        <f t="shared" si="98"/>
        <v>158.399996832</v>
      </c>
      <c r="H178" s="368">
        <f t="shared" si="99"/>
        <v>2798.3999440319999</v>
      </c>
      <c r="I178" s="359">
        <f>I177-H177</f>
        <v>2798.3999440318794</v>
      </c>
      <c r="J178" s="85">
        <f>IF(((I178/2)+(H$177/12*1-(H178/4)))+K178&gt;I$197,I$197-K178,((I178/2)+(H$177/12*1-(H178/4))))</f>
        <v>817.21198365569967</v>
      </c>
      <c r="K178" s="86">
        <f t="shared" si="117"/>
        <v>8719.2410256151761</v>
      </c>
      <c r="L178" s="287">
        <f t="shared" si="100"/>
        <v>9536.4530092708756</v>
      </c>
      <c r="M178" s="85">
        <f t="shared" si="101"/>
        <v>776.35138447291467</v>
      </c>
      <c r="N178" s="86">
        <f t="shared" si="102"/>
        <v>8283.2789743344165</v>
      </c>
      <c r="O178" s="107">
        <f t="shared" si="103"/>
        <v>9059.6303588073315</v>
      </c>
      <c r="P178" s="175">
        <f t="shared" si="104"/>
        <v>735.49078529012968</v>
      </c>
      <c r="Q178" s="86">
        <f t="shared" si="105"/>
        <v>7847.3169230536587</v>
      </c>
      <c r="R178" s="165">
        <f t="shared" si="106"/>
        <v>8582.8077083437893</v>
      </c>
      <c r="S178" s="85">
        <f t="shared" si="107"/>
        <v>653.7695869245598</v>
      </c>
      <c r="T178" s="86">
        <f t="shared" si="108"/>
        <v>6975.3928204921413</v>
      </c>
      <c r="U178" s="107">
        <f t="shared" si="109"/>
        <v>7629.1624074167012</v>
      </c>
      <c r="V178" s="175">
        <f t="shared" si="110"/>
        <v>572.0483885589897</v>
      </c>
      <c r="W178" s="86">
        <f t="shared" si="111"/>
        <v>6103.4687179306229</v>
      </c>
      <c r="X178" s="165">
        <f t="shared" si="112"/>
        <v>6675.5171064896131</v>
      </c>
      <c r="Y178" s="85">
        <f t="shared" si="113"/>
        <v>490.32719019341977</v>
      </c>
      <c r="Z178" s="86">
        <f t="shared" si="114"/>
        <v>5231.5446153691055</v>
      </c>
      <c r="AA178" s="165">
        <f t="shared" si="115"/>
        <v>5721.871805562525</v>
      </c>
      <c r="AB178" s="381"/>
    </row>
    <row r="179" spans="1:36" ht="13.5" customHeight="1" thickBot="1">
      <c r="A179" s="171"/>
      <c r="B179" s="172" t="s">
        <v>24</v>
      </c>
      <c r="C179" s="172"/>
      <c r="D179" s="376"/>
      <c r="E179" s="174"/>
      <c r="F179" s="437">
        <f>W7</f>
        <v>45474</v>
      </c>
      <c r="G179" s="437"/>
      <c r="H179" s="377"/>
      <c r="I179" s="438">
        <f>SUM(H11:H178)</f>
        <v>264533.07392837765</v>
      </c>
      <c r="J179" s="439"/>
      <c r="K179" s="35"/>
      <c r="L179" s="35"/>
      <c r="M179" s="36"/>
      <c r="N179" s="34"/>
      <c r="O179" s="34"/>
      <c r="P179" s="34"/>
      <c r="Q179" s="34"/>
      <c r="R179" s="34"/>
      <c r="S179" s="34"/>
      <c r="T179" s="34"/>
      <c r="U179" s="34"/>
      <c r="V179" s="34"/>
      <c r="W179" s="34"/>
      <c r="Y179" s="34"/>
      <c r="Z179" s="34"/>
    </row>
    <row r="180" spans="1:36" ht="13.5" customHeight="1">
      <c r="A180" s="169"/>
      <c r="B180" s="405" t="s">
        <v>238</v>
      </c>
      <c r="C180" s="134"/>
      <c r="D180" s="194"/>
      <c r="E180" s="135"/>
      <c r="F180" s="149"/>
      <c r="G180" s="149"/>
      <c r="H180" s="147"/>
      <c r="I180" s="35"/>
      <c r="J180" s="35"/>
      <c r="K180" s="35"/>
      <c r="L180" s="35"/>
      <c r="M180" s="36"/>
      <c r="N180" s="34"/>
      <c r="O180" s="34"/>
      <c r="P180" s="34"/>
      <c r="Q180" s="34"/>
      <c r="R180" s="34"/>
      <c r="S180" s="34"/>
      <c r="T180" s="34"/>
      <c r="U180" s="34"/>
      <c r="V180" s="34"/>
      <c r="W180" s="34"/>
      <c r="Y180" s="34"/>
      <c r="Z180" s="34"/>
    </row>
    <row r="181" spans="1:36" ht="13.5" customHeight="1" thickBot="1">
      <c r="A181" s="169"/>
      <c r="B181" s="134"/>
      <c r="C181" s="134"/>
      <c r="D181" s="194"/>
      <c r="E181" s="135"/>
      <c r="F181" s="149"/>
      <c r="G181" s="149"/>
      <c r="H181" s="147"/>
      <c r="I181" s="147"/>
      <c r="J181" s="402"/>
      <c r="K181" s="35"/>
      <c r="L181" s="35"/>
      <c r="M181" s="36"/>
      <c r="N181" s="34"/>
      <c r="O181" s="34"/>
      <c r="P181" s="34"/>
      <c r="Q181" s="34"/>
      <c r="R181" s="34"/>
      <c r="S181" s="34"/>
      <c r="T181" s="34"/>
      <c r="U181" s="34"/>
      <c r="V181" s="34"/>
      <c r="W181" s="34"/>
      <c r="Y181" s="34"/>
      <c r="Z181" s="34"/>
    </row>
    <row r="182" spans="1:36" ht="13.5" customHeight="1">
      <c r="A182" s="166">
        <v>1</v>
      </c>
      <c r="B182" s="136">
        <v>45292</v>
      </c>
      <c r="C182" s="120">
        <f>VLOOKUP(B182,'base(indices)'!$A$4:$C$183,3,FALSE)</f>
        <v>1412</v>
      </c>
      <c r="D182" s="196">
        <f>'base(indices)'!G172</f>
        <v>0.99999998000000001</v>
      </c>
      <c r="E182" s="125">
        <f>C182*D182</f>
        <v>1411.9999717600001</v>
      </c>
      <c r="F182" s="79">
        <f>'base(indices)'!I172</f>
        <v>5.11E-2</v>
      </c>
      <c r="G182" s="78">
        <f t="shared" ref="G182:G193" si="118">E182*F182</f>
        <v>72.153198556936005</v>
      </c>
      <c r="H182" s="80">
        <f>E182+G182</f>
        <v>1484.1531703169362</v>
      </c>
      <c r="I182" s="81">
        <f>I196</f>
        <v>8719.2410256151761</v>
      </c>
      <c r="J182" s="114">
        <v>0</v>
      </c>
      <c r="K182" s="90">
        <f t="shared" ref="K182:K193" si="119">I182-(H182/2)</f>
        <v>7977.1644404567078</v>
      </c>
      <c r="L182" s="112">
        <f t="shared" ref="L182:L192" si="120">J182+K182</f>
        <v>7977.1644404567078</v>
      </c>
      <c r="M182" s="48">
        <f>$J182*M$9</f>
        <v>0</v>
      </c>
      <c r="N182" s="109">
        <f>$K182*M$9</f>
        <v>7578.3062184338723</v>
      </c>
      <c r="O182" s="49">
        <f>M182+N182</f>
        <v>7578.3062184338723</v>
      </c>
      <c r="P182" s="138">
        <f>$J182*P$9</f>
        <v>0</v>
      </c>
      <c r="Q182" s="138">
        <f>$K182*P$9</f>
        <v>7179.4479964110369</v>
      </c>
      <c r="R182" s="139">
        <f>P182+Q182</f>
        <v>7179.4479964110369</v>
      </c>
      <c r="S182" s="48">
        <f>$J182*S$9</f>
        <v>0</v>
      </c>
      <c r="T182" s="109">
        <f>$K182*S$9</f>
        <v>6381.731552365367</v>
      </c>
      <c r="U182" s="49">
        <f>S182+T182</f>
        <v>6381.731552365367</v>
      </c>
      <c r="V182" s="48">
        <f>$J182*V$9</f>
        <v>0</v>
      </c>
      <c r="W182" s="138">
        <f>$K182*V$9</f>
        <v>5584.0151083196952</v>
      </c>
      <c r="X182" s="49">
        <f>V182+W182</f>
        <v>5584.0151083196952</v>
      </c>
      <c r="Y182" s="48">
        <f>$J182*Y$9</f>
        <v>0</v>
      </c>
      <c r="Z182" s="138">
        <f>$K182*Y$9</f>
        <v>4786.2986642740243</v>
      </c>
      <c r="AA182" s="49">
        <f>Y182+Z182</f>
        <v>4786.2986642740243</v>
      </c>
      <c r="AB182" s="380"/>
      <c r="AC182" s="16"/>
      <c r="AD182" s="16"/>
      <c r="AE182" s="16"/>
      <c r="AF182" s="16"/>
      <c r="AG182" s="16"/>
      <c r="AH182" s="17"/>
      <c r="AI182" s="16"/>
      <c r="AJ182" s="16"/>
    </row>
    <row r="183" spans="1:36" s="26" customFormat="1" ht="13.5" customHeight="1">
      <c r="A183" s="105">
        <v>2</v>
      </c>
      <c r="B183" s="50">
        <v>45323</v>
      </c>
      <c r="C183" s="61">
        <f>VLOOKUP(B183,'base(indices)'!$A$4:$C$183,3,FALSE)</f>
        <v>1412</v>
      </c>
      <c r="D183" s="192">
        <f>'base(indices)'!G173</f>
        <v>0.99999998000000001</v>
      </c>
      <c r="E183" s="63">
        <f>C183*D183</f>
        <v>1411.9999717600001</v>
      </c>
      <c r="F183" s="53">
        <f>'base(indices)'!I173</f>
        <v>4.1399999999999999E-2</v>
      </c>
      <c r="G183" s="54">
        <f t="shared" si="118"/>
        <v>58.456798830864003</v>
      </c>
      <c r="H183" s="55">
        <f>E183+G183</f>
        <v>1470.4567705908642</v>
      </c>
      <c r="I183" s="56">
        <f t="shared" ref="I183:I193" si="121">I182-H182</f>
        <v>7235.0878552982394</v>
      </c>
      <c r="J183" s="57">
        <v>0</v>
      </c>
      <c r="K183" s="91">
        <f t="shared" si="119"/>
        <v>6499.859470002807</v>
      </c>
      <c r="L183" s="113">
        <f t="shared" si="120"/>
        <v>6499.859470002807</v>
      </c>
      <c r="M183" s="58">
        <f t="shared" ref="M183:M193" si="122">$J183*M$9</f>
        <v>0</v>
      </c>
      <c r="N183" s="91">
        <f t="shared" ref="N183:N188" si="123">$K183*M$9</f>
        <v>6174.8664965026665</v>
      </c>
      <c r="O183" s="59">
        <f t="shared" ref="O183:O188" si="124">M183+N183</f>
        <v>6174.8664965026665</v>
      </c>
      <c r="P183" s="57">
        <f t="shared" ref="P183:P193" si="125">$J183*P$9</f>
        <v>0</v>
      </c>
      <c r="Q183" s="57">
        <f t="shared" ref="Q183:Q188" si="126">$K183*P$9</f>
        <v>5849.8735230025268</v>
      </c>
      <c r="R183" s="60">
        <f t="shared" ref="R183:R188" si="127">P183+Q183</f>
        <v>5849.8735230025268</v>
      </c>
      <c r="S183" s="58">
        <f t="shared" ref="S183:S193" si="128">$J183*S$9</f>
        <v>0</v>
      </c>
      <c r="T183" s="91">
        <f t="shared" ref="T183:T188" si="129">$K183*S$9</f>
        <v>5199.8875760022456</v>
      </c>
      <c r="U183" s="59">
        <f t="shared" ref="U183:U188" si="130">S183+T183</f>
        <v>5199.8875760022456</v>
      </c>
      <c r="V183" s="58">
        <f t="shared" ref="V183:V193" si="131">$J183*V$9</f>
        <v>0</v>
      </c>
      <c r="W183" s="57">
        <f t="shared" ref="W183:W188" si="132">$K183*V$9</f>
        <v>4549.9016290019645</v>
      </c>
      <c r="X183" s="59">
        <f t="shared" ref="X183:X188" si="133">V183+W183</f>
        <v>4549.9016290019645</v>
      </c>
      <c r="Y183" s="58">
        <f t="shared" ref="Y183:Y193" si="134">$J183*Y$9</f>
        <v>0</v>
      </c>
      <c r="Z183" s="57">
        <f t="shared" ref="Z183:Z192" si="135">$K183*Y$9</f>
        <v>3899.9156820016842</v>
      </c>
      <c r="AA183" s="59">
        <f t="shared" ref="AA183:AA192" si="136">Y183+Z183</f>
        <v>3899.9156820016842</v>
      </c>
      <c r="AB183" s="381"/>
      <c r="AC183" s="32"/>
      <c r="AD183" s="32"/>
      <c r="AE183" s="32"/>
      <c r="AF183" s="32"/>
      <c r="AG183" s="32"/>
      <c r="AH183" s="33"/>
      <c r="AI183" s="32"/>
      <c r="AJ183" s="32"/>
    </row>
    <row r="184" spans="1:36" ht="13.5" customHeight="1">
      <c r="A184" s="104">
        <v>3</v>
      </c>
      <c r="B184" s="40">
        <v>45352</v>
      </c>
      <c r="C184" s="61">
        <f>VLOOKUP(B184,'base(indices)'!$A$4:$C$183,3,FALSE)</f>
        <v>1412</v>
      </c>
      <c r="D184" s="192">
        <f>'base(indices)'!G174</f>
        <v>0.99999998000000001</v>
      </c>
      <c r="E184" s="63">
        <f>C184*D184</f>
        <v>1411.9999717600001</v>
      </c>
      <c r="F184" s="53">
        <f>'base(indices)'!I174</f>
        <v>3.3399999999999999E-2</v>
      </c>
      <c r="G184" s="63">
        <f t="shared" si="118"/>
        <v>47.160799056784001</v>
      </c>
      <c r="H184" s="64">
        <f>E184+G184</f>
        <v>1459.1607708167842</v>
      </c>
      <c r="I184" s="65">
        <f t="shared" si="121"/>
        <v>5764.6310847073755</v>
      </c>
      <c r="J184" s="66">
        <v>0</v>
      </c>
      <c r="K184" s="93">
        <f t="shared" si="119"/>
        <v>5035.0506992989831</v>
      </c>
      <c r="L184" s="115">
        <f>J184+K184</f>
        <v>5035.0506992989831</v>
      </c>
      <c r="M184" s="45">
        <f t="shared" si="122"/>
        <v>0</v>
      </c>
      <c r="N184" s="108">
        <f t="shared" si="123"/>
        <v>4783.2981643340336</v>
      </c>
      <c r="O184" s="46">
        <f t="shared" si="124"/>
        <v>4783.2981643340336</v>
      </c>
      <c r="P184" s="43">
        <f t="shared" si="125"/>
        <v>0</v>
      </c>
      <c r="Q184" s="43">
        <f t="shared" si="126"/>
        <v>4531.545629369085</v>
      </c>
      <c r="R184" s="47">
        <f t="shared" si="127"/>
        <v>4531.545629369085</v>
      </c>
      <c r="S184" s="45">
        <f t="shared" si="128"/>
        <v>0</v>
      </c>
      <c r="T184" s="108">
        <f t="shared" si="129"/>
        <v>4028.0405594391868</v>
      </c>
      <c r="U184" s="46">
        <f t="shared" si="130"/>
        <v>4028.0405594391868</v>
      </c>
      <c r="V184" s="45">
        <f t="shared" si="131"/>
        <v>0</v>
      </c>
      <c r="W184" s="43">
        <f t="shared" si="132"/>
        <v>3524.5354895092878</v>
      </c>
      <c r="X184" s="46">
        <f t="shared" si="133"/>
        <v>3524.5354895092878</v>
      </c>
      <c r="Y184" s="45">
        <f t="shared" si="134"/>
        <v>0</v>
      </c>
      <c r="Z184" s="43">
        <f t="shared" si="135"/>
        <v>3021.0304195793897</v>
      </c>
      <c r="AA184" s="46">
        <f t="shared" si="136"/>
        <v>3021.0304195793897</v>
      </c>
      <c r="AB184" s="380"/>
      <c r="AC184" s="16"/>
      <c r="AD184" s="16"/>
      <c r="AE184" s="16"/>
      <c r="AF184" s="16"/>
      <c r="AG184" s="16"/>
      <c r="AH184" s="17"/>
      <c r="AI184" s="16"/>
      <c r="AJ184" s="16"/>
    </row>
    <row r="185" spans="1:36" s="26" customFormat="1" ht="13.5" customHeight="1">
      <c r="A185" s="105">
        <v>4</v>
      </c>
      <c r="B185" s="50">
        <v>45383</v>
      </c>
      <c r="C185" s="61">
        <f>VLOOKUP(B185,'base(indices)'!$A$4:$C$183,3,FALSE)</f>
        <v>1412</v>
      </c>
      <c r="D185" s="192">
        <f>'base(indices)'!G175</f>
        <v>0.99999998000000001</v>
      </c>
      <c r="E185" s="63">
        <f>C185*D185</f>
        <v>1411.9999717600001</v>
      </c>
      <c r="F185" s="53">
        <f>'base(indices)'!I175</f>
        <v>2.5100000000000001E-2</v>
      </c>
      <c r="G185" s="54">
        <f t="shared" si="118"/>
        <v>35.441199291176005</v>
      </c>
      <c r="H185" s="55">
        <f t="shared" ref="H185:H193" si="137">E185+G185</f>
        <v>1447.4411710511761</v>
      </c>
      <c r="I185" s="56">
        <f t="shared" si="121"/>
        <v>4305.4703138905916</v>
      </c>
      <c r="J185" s="57">
        <v>0</v>
      </c>
      <c r="K185" s="91">
        <f t="shared" si="119"/>
        <v>3581.7497283650036</v>
      </c>
      <c r="L185" s="113">
        <f t="shared" si="120"/>
        <v>3581.7497283650036</v>
      </c>
      <c r="M185" s="58">
        <f t="shared" si="122"/>
        <v>0</v>
      </c>
      <c r="N185" s="91">
        <f t="shared" si="123"/>
        <v>3402.6622419467535</v>
      </c>
      <c r="O185" s="59">
        <f t="shared" si="124"/>
        <v>3402.6622419467535</v>
      </c>
      <c r="P185" s="57">
        <f t="shared" si="125"/>
        <v>0</v>
      </c>
      <c r="Q185" s="57">
        <f t="shared" si="126"/>
        <v>3223.5747555285034</v>
      </c>
      <c r="R185" s="60">
        <f t="shared" si="127"/>
        <v>3223.5747555285034</v>
      </c>
      <c r="S185" s="58">
        <f t="shared" si="128"/>
        <v>0</v>
      </c>
      <c r="T185" s="91">
        <f t="shared" si="129"/>
        <v>2865.3997826920031</v>
      </c>
      <c r="U185" s="59">
        <f t="shared" si="130"/>
        <v>2865.3997826920031</v>
      </c>
      <c r="V185" s="58">
        <f t="shared" si="131"/>
        <v>0</v>
      </c>
      <c r="W185" s="57">
        <f t="shared" si="132"/>
        <v>2507.2248098555024</v>
      </c>
      <c r="X185" s="59">
        <f t="shared" si="133"/>
        <v>2507.2248098555024</v>
      </c>
      <c r="Y185" s="58">
        <f t="shared" si="134"/>
        <v>0</v>
      </c>
      <c r="Z185" s="57">
        <f t="shared" si="135"/>
        <v>2149.0498370190021</v>
      </c>
      <c r="AA185" s="59">
        <f t="shared" si="136"/>
        <v>2149.0498370190021</v>
      </c>
      <c r="AB185" s="381"/>
      <c r="AC185" s="32"/>
      <c r="AD185" s="32"/>
      <c r="AE185" s="32"/>
      <c r="AF185" s="32"/>
      <c r="AG185" s="32"/>
      <c r="AH185" s="33"/>
      <c r="AI185" s="32"/>
      <c r="AJ185" s="32"/>
    </row>
    <row r="186" spans="1:36" ht="13.5" customHeight="1">
      <c r="A186" s="105">
        <v>5</v>
      </c>
      <c r="B186" s="40">
        <v>45413</v>
      </c>
      <c r="C186" s="61">
        <f>VLOOKUP(B186,'base(indices)'!$A$4:$C$183,3,FALSE)</f>
        <v>1412</v>
      </c>
      <c r="D186" s="192">
        <f>'base(indices)'!G176</f>
        <v>0.99999998000000001</v>
      </c>
      <c r="E186" s="63">
        <f>C186*D186</f>
        <v>1411.9999717600001</v>
      </c>
      <c r="F186" s="53">
        <f>'base(indices)'!I176</f>
        <v>1.6199999999999999E-2</v>
      </c>
      <c r="G186" s="63">
        <f t="shared" si="118"/>
        <v>22.874399542512002</v>
      </c>
      <c r="H186" s="64">
        <f t="shared" si="137"/>
        <v>1434.8743713025121</v>
      </c>
      <c r="I186" s="83">
        <f t="shared" si="121"/>
        <v>2858.0291428394157</v>
      </c>
      <c r="J186" s="66">
        <v>0</v>
      </c>
      <c r="K186" s="93">
        <f>I186-(H186/2)</f>
        <v>2140.5919571881595</v>
      </c>
      <c r="L186" s="115">
        <f t="shared" si="120"/>
        <v>2140.5919571881595</v>
      </c>
      <c r="M186" s="45">
        <f t="shared" si="122"/>
        <v>0</v>
      </c>
      <c r="N186" s="108">
        <f t="shared" si="123"/>
        <v>2033.5623593287514</v>
      </c>
      <c r="O186" s="46">
        <f t="shared" si="124"/>
        <v>2033.5623593287514</v>
      </c>
      <c r="P186" s="43">
        <f t="shared" si="125"/>
        <v>0</v>
      </c>
      <c r="Q186" s="43">
        <f t="shared" si="126"/>
        <v>1926.5327614693435</v>
      </c>
      <c r="R186" s="47">
        <f t="shared" si="127"/>
        <v>1926.5327614693435</v>
      </c>
      <c r="S186" s="45">
        <f t="shared" si="128"/>
        <v>0</v>
      </c>
      <c r="T186" s="108">
        <f t="shared" si="129"/>
        <v>1712.4735657505278</v>
      </c>
      <c r="U186" s="46">
        <f t="shared" si="130"/>
        <v>1712.4735657505278</v>
      </c>
      <c r="V186" s="45">
        <f t="shared" si="131"/>
        <v>0</v>
      </c>
      <c r="W186" s="43">
        <f t="shared" si="132"/>
        <v>1498.4143700317115</v>
      </c>
      <c r="X186" s="46">
        <f t="shared" si="133"/>
        <v>1498.4143700317115</v>
      </c>
      <c r="Y186" s="45">
        <f t="shared" si="134"/>
        <v>0</v>
      </c>
      <c r="Z186" s="43">
        <f t="shared" si="135"/>
        <v>1284.3551743128958</v>
      </c>
      <c r="AA186" s="46">
        <f t="shared" si="136"/>
        <v>1284.3551743128958</v>
      </c>
      <c r="AB186" s="380"/>
      <c r="AC186" s="16"/>
      <c r="AD186" s="16"/>
      <c r="AE186" s="16"/>
      <c r="AF186" s="16"/>
      <c r="AG186" s="16"/>
      <c r="AH186" s="17"/>
      <c r="AI186" s="16"/>
      <c r="AJ186" s="16"/>
    </row>
    <row r="187" spans="1:36" s="26" customFormat="1" ht="13.5" customHeight="1">
      <c r="A187" s="104">
        <v>6</v>
      </c>
      <c r="B187" s="50">
        <v>45444</v>
      </c>
      <c r="C187" s="61">
        <f>VLOOKUP(B187,'base(indices)'!$A$4:$C$183,3,FALSE)</f>
        <v>1412</v>
      </c>
      <c r="D187" s="192">
        <f>'base(indices)'!G177</f>
        <v>0.99999998000000001</v>
      </c>
      <c r="E187" s="63">
        <f t="shared" ref="E187:E193" si="138">C187*D187</f>
        <v>1411.9999717600001</v>
      </c>
      <c r="F187" s="53">
        <f>'base(indices)'!I177</f>
        <v>7.9000000000000008E-3</v>
      </c>
      <c r="G187" s="54">
        <f t="shared" si="118"/>
        <v>11.154799776904001</v>
      </c>
      <c r="H187" s="55">
        <f t="shared" si="137"/>
        <v>1423.154771536904</v>
      </c>
      <c r="I187" s="56">
        <f t="shared" si="121"/>
        <v>1423.1547715369036</v>
      </c>
      <c r="J187" s="57">
        <v>0</v>
      </c>
      <c r="K187" s="91">
        <f t="shared" si="119"/>
        <v>711.57738576845156</v>
      </c>
      <c r="L187" s="113">
        <f t="shared" si="120"/>
        <v>711.57738576845156</v>
      </c>
      <c r="M187" s="58">
        <f t="shared" si="122"/>
        <v>0</v>
      </c>
      <c r="N187" s="91">
        <f t="shared" si="123"/>
        <v>675.99851648002891</v>
      </c>
      <c r="O187" s="59">
        <f t="shared" si="124"/>
        <v>675.99851648002891</v>
      </c>
      <c r="P187" s="57">
        <f t="shared" si="125"/>
        <v>0</v>
      </c>
      <c r="Q187" s="57">
        <f t="shared" si="126"/>
        <v>640.41964719160637</v>
      </c>
      <c r="R187" s="60">
        <f t="shared" si="127"/>
        <v>640.41964719160637</v>
      </c>
      <c r="S187" s="58">
        <f t="shared" si="128"/>
        <v>0</v>
      </c>
      <c r="T187" s="91">
        <f t="shared" si="129"/>
        <v>569.2619086147613</v>
      </c>
      <c r="U187" s="59">
        <f t="shared" si="130"/>
        <v>569.2619086147613</v>
      </c>
      <c r="V187" s="58">
        <f t="shared" si="131"/>
        <v>0</v>
      </c>
      <c r="W187" s="57">
        <f t="shared" si="132"/>
        <v>498.10417003791605</v>
      </c>
      <c r="X187" s="59">
        <f t="shared" si="133"/>
        <v>498.10417003791605</v>
      </c>
      <c r="Y187" s="58">
        <f t="shared" si="134"/>
        <v>0</v>
      </c>
      <c r="Z187" s="57">
        <f t="shared" si="135"/>
        <v>426.94643146107092</v>
      </c>
      <c r="AA187" s="59">
        <f t="shared" si="136"/>
        <v>426.94643146107092</v>
      </c>
      <c r="AB187" s="381"/>
      <c r="AC187" s="32"/>
      <c r="AD187" s="32"/>
      <c r="AE187" s="32"/>
      <c r="AF187" s="32"/>
      <c r="AG187" s="32"/>
      <c r="AH187" s="33"/>
      <c r="AI187" s="32"/>
      <c r="AJ187" s="32"/>
    </row>
    <row r="188" spans="1:36" ht="13.5" customHeight="1">
      <c r="A188" s="105">
        <v>7</v>
      </c>
      <c r="B188" s="40">
        <v>45474</v>
      </c>
      <c r="C188" s="61">
        <f>VLOOKUP(B188,'base(indices)'!$A$4:$C$183,3,FALSE)</f>
        <v>1412</v>
      </c>
      <c r="D188" s="192">
        <f>'base(indices)'!G178</f>
        <v>0</v>
      </c>
      <c r="E188" s="63">
        <f t="shared" si="138"/>
        <v>0</v>
      </c>
      <c r="F188" s="53">
        <f>'base(indices)'!I178</f>
        <v>0</v>
      </c>
      <c r="G188" s="63">
        <f t="shared" si="118"/>
        <v>0</v>
      </c>
      <c r="H188" s="55">
        <f t="shared" si="137"/>
        <v>0</v>
      </c>
      <c r="I188" s="65">
        <f t="shared" si="121"/>
        <v>0</v>
      </c>
      <c r="J188" s="66">
        <v>0</v>
      </c>
      <c r="K188" s="93">
        <f t="shared" si="119"/>
        <v>0</v>
      </c>
      <c r="L188" s="115">
        <f t="shared" si="120"/>
        <v>0</v>
      </c>
      <c r="M188" s="45">
        <f t="shared" si="122"/>
        <v>0</v>
      </c>
      <c r="N188" s="108">
        <f t="shared" si="123"/>
        <v>0</v>
      </c>
      <c r="O188" s="46">
        <f t="shared" si="124"/>
        <v>0</v>
      </c>
      <c r="P188" s="43">
        <f t="shared" si="125"/>
        <v>0</v>
      </c>
      <c r="Q188" s="43">
        <f t="shared" si="126"/>
        <v>0</v>
      </c>
      <c r="R188" s="47">
        <f t="shared" si="127"/>
        <v>0</v>
      </c>
      <c r="S188" s="45">
        <f t="shared" si="128"/>
        <v>0</v>
      </c>
      <c r="T188" s="108">
        <f t="shared" si="129"/>
        <v>0</v>
      </c>
      <c r="U188" s="46">
        <f t="shared" si="130"/>
        <v>0</v>
      </c>
      <c r="V188" s="45">
        <f t="shared" si="131"/>
        <v>0</v>
      </c>
      <c r="W188" s="43">
        <f t="shared" si="132"/>
        <v>0</v>
      </c>
      <c r="X188" s="46">
        <f t="shared" si="133"/>
        <v>0</v>
      </c>
      <c r="Y188" s="45">
        <f t="shared" si="134"/>
        <v>0</v>
      </c>
      <c r="Z188" s="43">
        <f t="shared" si="135"/>
        <v>0</v>
      </c>
      <c r="AA188" s="46">
        <f t="shared" si="136"/>
        <v>0</v>
      </c>
      <c r="AB188" s="380"/>
      <c r="AC188" s="16"/>
      <c r="AD188" s="16"/>
      <c r="AE188" s="16"/>
      <c r="AF188" s="16"/>
      <c r="AG188" s="16"/>
      <c r="AH188" s="17"/>
      <c r="AI188" s="16"/>
      <c r="AJ188" s="16"/>
    </row>
    <row r="189" spans="1:36" s="26" customFormat="1" ht="13.5" customHeight="1">
      <c r="A189" s="105">
        <v>8</v>
      </c>
      <c r="B189" s="50">
        <v>45505</v>
      </c>
      <c r="C189" s="61">
        <f>VLOOKUP(B189,'base(indices)'!$A$4:$C$183,3,FALSE)</f>
        <v>1412</v>
      </c>
      <c r="D189" s="192">
        <f>'base(indices)'!G179</f>
        <v>0</v>
      </c>
      <c r="E189" s="63">
        <f t="shared" si="138"/>
        <v>0</v>
      </c>
      <c r="F189" s="53">
        <f>'base(indices)'!I179</f>
        <v>0</v>
      </c>
      <c r="G189" s="63">
        <f t="shared" si="118"/>
        <v>0</v>
      </c>
      <c r="H189" s="55">
        <f t="shared" si="137"/>
        <v>0</v>
      </c>
      <c r="I189" s="56">
        <f t="shared" si="121"/>
        <v>0</v>
      </c>
      <c r="J189" s="57">
        <v>0</v>
      </c>
      <c r="K189" s="91">
        <f t="shared" si="119"/>
        <v>0</v>
      </c>
      <c r="L189" s="113">
        <f t="shared" si="120"/>
        <v>0</v>
      </c>
      <c r="M189" s="58">
        <f t="shared" si="122"/>
        <v>0</v>
      </c>
      <c r="N189" s="91">
        <f>$K189*M$9</f>
        <v>0</v>
      </c>
      <c r="O189" s="59">
        <f>M189+N189</f>
        <v>0</v>
      </c>
      <c r="P189" s="57">
        <f t="shared" si="125"/>
        <v>0</v>
      </c>
      <c r="Q189" s="57">
        <f>$K189*P$9</f>
        <v>0</v>
      </c>
      <c r="R189" s="60">
        <f>P189+Q189</f>
        <v>0</v>
      </c>
      <c r="S189" s="58">
        <f t="shared" si="128"/>
        <v>0</v>
      </c>
      <c r="T189" s="91">
        <f>$K189*S$9</f>
        <v>0</v>
      </c>
      <c r="U189" s="59">
        <f>S189+T189</f>
        <v>0</v>
      </c>
      <c r="V189" s="58">
        <f t="shared" si="131"/>
        <v>0</v>
      </c>
      <c r="W189" s="57">
        <f>$K189*V$9</f>
        <v>0</v>
      </c>
      <c r="X189" s="59">
        <f>V189+W189</f>
        <v>0</v>
      </c>
      <c r="Y189" s="58">
        <f t="shared" si="134"/>
        <v>0</v>
      </c>
      <c r="Z189" s="57">
        <f t="shared" si="135"/>
        <v>0</v>
      </c>
      <c r="AA189" s="59">
        <f t="shared" si="136"/>
        <v>0</v>
      </c>
      <c r="AB189" s="381"/>
      <c r="AC189" s="32"/>
      <c r="AD189" s="32"/>
      <c r="AE189" s="32"/>
      <c r="AF189" s="32"/>
      <c r="AG189" s="32"/>
      <c r="AH189" s="33"/>
      <c r="AI189" s="32"/>
      <c r="AJ189" s="32"/>
    </row>
    <row r="190" spans="1:36" ht="13.5" customHeight="1">
      <c r="A190" s="104">
        <v>9</v>
      </c>
      <c r="B190" s="40">
        <v>45536</v>
      </c>
      <c r="C190" s="61">
        <f>VLOOKUP(B190,'base(indices)'!$A$4:$C$183,3,FALSE)</f>
        <v>1412</v>
      </c>
      <c r="D190" s="192">
        <f>'base(indices)'!G180</f>
        <v>0</v>
      </c>
      <c r="E190" s="63">
        <f t="shared" si="138"/>
        <v>0</v>
      </c>
      <c r="F190" s="53">
        <f>'base(indices)'!I180</f>
        <v>0</v>
      </c>
      <c r="G190" s="63">
        <f t="shared" si="118"/>
        <v>0</v>
      </c>
      <c r="H190" s="55">
        <f t="shared" si="137"/>
        <v>0</v>
      </c>
      <c r="I190" s="65">
        <f t="shared" si="121"/>
        <v>0</v>
      </c>
      <c r="J190" s="66">
        <v>0</v>
      </c>
      <c r="K190" s="93">
        <f t="shared" si="119"/>
        <v>0</v>
      </c>
      <c r="L190" s="115">
        <f t="shared" si="120"/>
        <v>0</v>
      </c>
      <c r="M190" s="45">
        <f t="shared" si="122"/>
        <v>0</v>
      </c>
      <c r="N190" s="108">
        <f>$K190*M$9</f>
        <v>0</v>
      </c>
      <c r="O190" s="46">
        <f>M190+N190</f>
        <v>0</v>
      </c>
      <c r="P190" s="43">
        <f t="shared" si="125"/>
        <v>0</v>
      </c>
      <c r="Q190" s="43">
        <f>$K190*P$9</f>
        <v>0</v>
      </c>
      <c r="R190" s="47">
        <f>P190+Q190</f>
        <v>0</v>
      </c>
      <c r="S190" s="45">
        <f t="shared" si="128"/>
        <v>0</v>
      </c>
      <c r="T190" s="108">
        <f>$K190*S$9</f>
        <v>0</v>
      </c>
      <c r="U190" s="46">
        <f>S190+T190</f>
        <v>0</v>
      </c>
      <c r="V190" s="45">
        <f t="shared" si="131"/>
        <v>0</v>
      </c>
      <c r="W190" s="43">
        <f>$K190*V$9</f>
        <v>0</v>
      </c>
      <c r="X190" s="46">
        <f>V190+W190</f>
        <v>0</v>
      </c>
      <c r="Y190" s="45">
        <f t="shared" si="134"/>
        <v>0</v>
      </c>
      <c r="Z190" s="43">
        <f t="shared" si="135"/>
        <v>0</v>
      </c>
      <c r="AA190" s="46">
        <f t="shared" si="136"/>
        <v>0</v>
      </c>
      <c r="AB190" s="380"/>
      <c r="AC190" s="16"/>
      <c r="AD190" s="16"/>
      <c r="AE190" s="16"/>
      <c r="AF190" s="16"/>
      <c r="AG190" s="16"/>
      <c r="AH190" s="17"/>
      <c r="AI190" s="16"/>
      <c r="AJ190" s="16"/>
    </row>
    <row r="191" spans="1:36" s="26" customFormat="1" ht="13.5" customHeight="1">
      <c r="A191" s="105">
        <v>10</v>
      </c>
      <c r="B191" s="50">
        <v>45566</v>
      </c>
      <c r="C191" s="61">
        <f>VLOOKUP(B191,'base(indices)'!$A$4:$C$183,3,FALSE)</f>
        <v>1412</v>
      </c>
      <c r="D191" s="192">
        <f>'base(indices)'!G181</f>
        <v>0</v>
      </c>
      <c r="E191" s="63">
        <f t="shared" si="138"/>
        <v>0</v>
      </c>
      <c r="F191" s="53">
        <f>'base(indices)'!I181</f>
        <v>0</v>
      </c>
      <c r="G191" s="63">
        <f t="shared" si="118"/>
        <v>0</v>
      </c>
      <c r="H191" s="55">
        <f t="shared" si="137"/>
        <v>0</v>
      </c>
      <c r="I191" s="56">
        <f t="shared" si="121"/>
        <v>0</v>
      </c>
      <c r="J191" s="57">
        <v>0</v>
      </c>
      <c r="K191" s="91">
        <f t="shared" si="119"/>
        <v>0</v>
      </c>
      <c r="L191" s="113">
        <f t="shared" si="120"/>
        <v>0</v>
      </c>
      <c r="M191" s="58">
        <f t="shared" si="122"/>
        <v>0</v>
      </c>
      <c r="N191" s="91">
        <f>$K191*M$9</f>
        <v>0</v>
      </c>
      <c r="O191" s="59">
        <f>M191+N191</f>
        <v>0</v>
      </c>
      <c r="P191" s="57">
        <f t="shared" si="125"/>
        <v>0</v>
      </c>
      <c r="Q191" s="57">
        <f>$K191*P$9</f>
        <v>0</v>
      </c>
      <c r="R191" s="60">
        <f>P191+Q191</f>
        <v>0</v>
      </c>
      <c r="S191" s="58">
        <f t="shared" si="128"/>
        <v>0</v>
      </c>
      <c r="T191" s="91">
        <f>$K191*S$9</f>
        <v>0</v>
      </c>
      <c r="U191" s="59">
        <f>S191+T191</f>
        <v>0</v>
      </c>
      <c r="V191" s="58">
        <f t="shared" si="131"/>
        <v>0</v>
      </c>
      <c r="W191" s="57">
        <f>$K191*V$9</f>
        <v>0</v>
      </c>
      <c r="X191" s="59">
        <f>V191+W191</f>
        <v>0</v>
      </c>
      <c r="Y191" s="58">
        <f t="shared" si="134"/>
        <v>0</v>
      </c>
      <c r="Z191" s="57">
        <f t="shared" si="135"/>
        <v>0</v>
      </c>
      <c r="AA191" s="59">
        <f t="shared" si="136"/>
        <v>0</v>
      </c>
      <c r="AB191" s="381"/>
      <c r="AC191" s="32"/>
      <c r="AD191" s="32"/>
      <c r="AE191" s="32"/>
      <c r="AF191" s="32"/>
      <c r="AG191" s="32"/>
      <c r="AH191" s="33"/>
      <c r="AI191" s="32"/>
      <c r="AJ191" s="32"/>
    </row>
    <row r="192" spans="1:36" ht="13.5" customHeight="1">
      <c r="A192" s="105">
        <v>11</v>
      </c>
      <c r="B192" s="40">
        <v>45597</v>
      </c>
      <c r="C192" s="61">
        <f>VLOOKUP(B192,'base(indices)'!$A$4:$C$183,3,FALSE)</f>
        <v>1412</v>
      </c>
      <c r="D192" s="192">
        <f>'base(indices)'!G182</f>
        <v>0</v>
      </c>
      <c r="E192" s="63">
        <f t="shared" si="138"/>
        <v>0</v>
      </c>
      <c r="F192" s="53">
        <f>'base(indices)'!I182</f>
        <v>0</v>
      </c>
      <c r="G192" s="63">
        <f t="shared" si="118"/>
        <v>0</v>
      </c>
      <c r="H192" s="55">
        <f t="shared" si="137"/>
        <v>0</v>
      </c>
      <c r="I192" s="65">
        <f t="shared" si="121"/>
        <v>0</v>
      </c>
      <c r="J192" s="66">
        <v>0</v>
      </c>
      <c r="K192" s="93">
        <f t="shared" si="119"/>
        <v>0</v>
      </c>
      <c r="L192" s="115">
        <f t="shared" si="120"/>
        <v>0</v>
      </c>
      <c r="M192" s="45">
        <f t="shared" si="122"/>
        <v>0</v>
      </c>
      <c r="N192" s="108">
        <f>$K192*M$9</f>
        <v>0</v>
      </c>
      <c r="O192" s="46">
        <f>M192+N192</f>
        <v>0</v>
      </c>
      <c r="P192" s="43">
        <f t="shared" si="125"/>
        <v>0</v>
      </c>
      <c r="Q192" s="43">
        <f>$K192*P$9</f>
        <v>0</v>
      </c>
      <c r="R192" s="47">
        <f>P192+Q192</f>
        <v>0</v>
      </c>
      <c r="S192" s="45">
        <f t="shared" si="128"/>
        <v>0</v>
      </c>
      <c r="T192" s="108">
        <f>$K192*S$9</f>
        <v>0</v>
      </c>
      <c r="U192" s="46">
        <f>S192+T192</f>
        <v>0</v>
      </c>
      <c r="V192" s="45">
        <f t="shared" si="131"/>
        <v>0</v>
      </c>
      <c r="W192" s="43">
        <f>$K192*V$9</f>
        <v>0</v>
      </c>
      <c r="X192" s="46">
        <f>V192+W192</f>
        <v>0</v>
      </c>
      <c r="Y192" s="45">
        <f t="shared" si="134"/>
        <v>0</v>
      </c>
      <c r="Z192" s="43">
        <f t="shared" si="135"/>
        <v>0</v>
      </c>
      <c r="AA192" s="46">
        <f t="shared" si="136"/>
        <v>0</v>
      </c>
      <c r="AB192" s="380"/>
      <c r="AC192" s="16"/>
      <c r="AD192" s="16"/>
      <c r="AE192" s="16"/>
      <c r="AF192" s="16"/>
      <c r="AG192" s="16"/>
      <c r="AH192" s="17"/>
      <c r="AI192" s="16"/>
      <c r="AJ192" s="16"/>
    </row>
    <row r="193" spans="1:38" ht="13.5" customHeight="1">
      <c r="A193" s="110">
        <v>12</v>
      </c>
      <c r="B193" s="50">
        <v>45627</v>
      </c>
      <c r="C193" s="61">
        <f>C192*2</f>
        <v>2824</v>
      </c>
      <c r="D193" s="192">
        <f>'base(indices)'!G183</f>
        <v>0</v>
      </c>
      <c r="E193" s="63">
        <f t="shared" si="138"/>
        <v>0</v>
      </c>
      <c r="F193" s="53">
        <f>'base(indices)'!I183</f>
        <v>0</v>
      </c>
      <c r="G193" s="63">
        <f t="shared" si="118"/>
        <v>0</v>
      </c>
      <c r="H193" s="55">
        <f t="shared" si="137"/>
        <v>0</v>
      </c>
      <c r="I193" s="56">
        <f t="shared" si="121"/>
        <v>0</v>
      </c>
      <c r="J193" s="57">
        <v>0</v>
      </c>
      <c r="K193" s="91">
        <f t="shared" si="119"/>
        <v>0</v>
      </c>
      <c r="L193" s="113">
        <f>J193+K193</f>
        <v>0</v>
      </c>
      <c r="M193" s="58">
        <f t="shared" si="122"/>
        <v>0</v>
      </c>
      <c r="N193" s="91">
        <f>$K193*M$9</f>
        <v>0</v>
      </c>
      <c r="O193" s="59">
        <f>M193+N193</f>
        <v>0</v>
      </c>
      <c r="P193" s="57">
        <f t="shared" si="125"/>
        <v>0</v>
      </c>
      <c r="Q193" s="57">
        <f>$K193*P$9</f>
        <v>0</v>
      </c>
      <c r="R193" s="60">
        <f>P193+Q193</f>
        <v>0</v>
      </c>
      <c r="S193" s="58">
        <f t="shared" si="128"/>
        <v>0</v>
      </c>
      <c r="T193" s="91">
        <f>$K193*S$9</f>
        <v>0</v>
      </c>
      <c r="U193" s="59">
        <f>S193+T193</f>
        <v>0</v>
      </c>
      <c r="V193" s="58">
        <f t="shared" si="131"/>
        <v>0</v>
      </c>
      <c r="W193" s="57">
        <f>$K193*V$9</f>
        <v>0</v>
      </c>
      <c r="X193" s="59">
        <f>V193+W193</f>
        <v>0</v>
      </c>
      <c r="Y193" s="58">
        <f t="shared" si="134"/>
        <v>0</v>
      </c>
      <c r="Z193" s="57">
        <f>$K193*Y$9</f>
        <v>0</v>
      </c>
      <c r="AA193" s="59">
        <f>Y193+Z193</f>
        <v>0</v>
      </c>
      <c r="AB193" s="381"/>
      <c r="AC193" s="16"/>
      <c r="AD193" s="16"/>
      <c r="AE193" s="16"/>
      <c r="AF193" s="16"/>
      <c r="AG193" s="16"/>
      <c r="AH193" s="17"/>
      <c r="AI193" s="16"/>
      <c r="AJ193" s="16"/>
    </row>
    <row r="194" spans="1:38" ht="13.5" customHeight="1" thickBot="1">
      <c r="A194" s="103"/>
      <c r="B194" s="68"/>
      <c r="C194" s="271"/>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382"/>
      <c r="AC194" s="16"/>
      <c r="AD194" s="18"/>
    </row>
    <row r="195" spans="1:38"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14"/>
      <c r="AD195" s="14"/>
    </row>
    <row r="196" spans="1:38" ht="14.25" customHeight="1">
      <c r="A196" s="37" t="s">
        <v>241</v>
      </c>
      <c r="C196" s="37"/>
      <c r="F196" s="440">
        <f>W7</f>
        <v>45474</v>
      </c>
      <c r="G196" s="440"/>
      <c r="H196" s="440"/>
      <c r="I196" s="441">
        <f>SUM(H182:H195)</f>
        <v>8719.2410256151761</v>
      </c>
      <c r="J196" s="441"/>
      <c r="K196" s="28"/>
      <c r="L196" s="28"/>
      <c r="M196" s="28"/>
      <c r="P196" s="38"/>
      <c r="Q196" s="38"/>
      <c r="R196" s="38"/>
      <c r="S196" s="38"/>
      <c r="T196" s="38"/>
      <c r="U196" s="38"/>
      <c r="V196" s="38"/>
      <c r="W196" s="38"/>
      <c r="X196" s="38"/>
      <c r="Y196" s="38"/>
      <c r="Z196" s="38"/>
      <c r="AA196" s="38"/>
      <c r="AB196" s="38"/>
    </row>
    <row r="197" spans="1:38" ht="15">
      <c r="B197" s="20"/>
      <c r="C197" s="28" t="s">
        <v>26</v>
      </c>
      <c r="E197" s="28"/>
      <c r="F197" s="28"/>
      <c r="G197" s="21"/>
      <c r="I197" s="28">
        <f>C182*60</f>
        <v>84720</v>
      </c>
      <c r="J197" s="20"/>
      <c r="K197" s="20"/>
      <c r="L197" s="20"/>
      <c r="M197" s="20"/>
      <c r="N197" s="20"/>
      <c r="O197" s="23"/>
      <c r="P197" s="23"/>
      <c r="Q197" s="23"/>
      <c r="R197" s="23"/>
      <c r="S197" s="23"/>
      <c r="T197" s="23"/>
      <c r="U197" s="23"/>
      <c r="V197" s="23"/>
      <c r="W197" s="23"/>
      <c r="X197" s="23"/>
      <c r="Y197" s="23"/>
      <c r="Z197" s="23"/>
      <c r="AA197" s="23"/>
      <c r="AB197" s="23"/>
    </row>
    <row r="198" spans="1:38"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c r="AB198" s="23"/>
    </row>
    <row r="199" spans="1:38">
      <c r="B199" s="24" t="s">
        <v>242</v>
      </c>
      <c r="C199"/>
      <c r="L199" s="29"/>
      <c r="M199" s="7"/>
      <c r="N199" s="7"/>
      <c r="O199" s="9"/>
      <c r="P199" s="9"/>
      <c r="Q199" s="9"/>
      <c r="R199" s="9"/>
      <c r="S199" s="9"/>
      <c r="T199" s="9"/>
      <c r="U199" s="9"/>
      <c r="V199" s="9"/>
      <c r="W199" s="9"/>
      <c r="X199" s="9"/>
      <c r="Y199" s="9"/>
      <c r="Z199" s="9"/>
      <c r="AA199" s="9"/>
      <c r="AB199" s="9"/>
      <c r="AD199" s="7"/>
      <c r="AE199" s="7"/>
      <c r="AF199" s="7"/>
      <c r="AG199" s="7"/>
      <c r="AH199" s="7"/>
      <c r="AI199" s="7"/>
      <c r="AJ199" s="7"/>
      <c r="AK199" s="7"/>
      <c r="AL199" s="7"/>
    </row>
    <row r="200" spans="1:38"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B200" s="9"/>
      <c r="AD200" s="8"/>
      <c r="AE200" s="9"/>
      <c r="AF200" s="9"/>
      <c r="AG200" s="9"/>
      <c r="AH200" s="11"/>
      <c r="AI200" s="12"/>
      <c r="AJ200" s="10"/>
      <c r="AK200" s="12"/>
      <c r="AL200" s="13"/>
    </row>
    <row r="201" spans="1:38"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B201" s="9"/>
      <c r="AD201" s="8"/>
      <c r="AE201" s="9"/>
      <c r="AF201" s="9"/>
      <c r="AG201" s="9"/>
      <c r="AH201" s="11"/>
      <c r="AI201" s="12"/>
      <c r="AJ201" s="10"/>
      <c r="AK201" s="12"/>
      <c r="AL201" s="13"/>
    </row>
  </sheetData>
  <sheetProtection selectLockedCells="1" selectUnlockedCells="1"/>
  <mergeCells count="21">
    <mergeCell ref="Y9:AA9"/>
    <mergeCell ref="F179:G179"/>
    <mergeCell ref="I179:J179"/>
    <mergeCell ref="F196:H196"/>
    <mergeCell ref="I196:J196"/>
    <mergeCell ref="I9:I10"/>
    <mergeCell ref="J9:L9"/>
    <mergeCell ref="M9:O9"/>
    <mergeCell ref="P9:R9"/>
    <mergeCell ref="S9:U9"/>
    <mergeCell ref="V9:X9"/>
    <mergeCell ref="W7:X7"/>
    <mergeCell ref="I8:J8"/>
    <mergeCell ref="A9:A10"/>
    <mergeCell ref="B9:B10"/>
    <mergeCell ref="C9:C10"/>
    <mergeCell ref="D9:D10"/>
    <mergeCell ref="E9:E10"/>
    <mergeCell ref="F9:F10"/>
    <mergeCell ref="G9:G10"/>
    <mergeCell ref="H9:H10"/>
  </mergeCells>
  <conditionalFormatting sqref="H195:X195 F179:F181 E11:E22 B23:B34 B47:B94 G11:H22 B11:C22 B155:B178">
    <cfRule type="cellIs" dxfId="1148" priority="181" stopIfTrue="1" operator="notEqual">
      <formula>""</formula>
    </cfRule>
  </conditionalFormatting>
  <conditionalFormatting sqref="D11:D22">
    <cfRule type="cellIs" dxfId="1147" priority="180" stopIfTrue="1" operator="equal">
      <formula>"Total"</formula>
    </cfRule>
  </conditionalFormatting>
  <conditionalFormatting sqref="E182">
    <cfRule type="cellIs" dxfId="1146" priority="177" stopIfTrue="1" operator="notEqual">
      <formula>""</formula>
    </cfRule>
  </conditionalFormatting>
  <conditionalFormatting sqref="E182">
    <cfRule type="cellIs" dxfId="1145" priority="175" stopIfTrue="1" operator="notEqual">
      <formula>""</formula>
    </cfRule>
  </conditionalFormatting>
  <conditionalFormatting sqref="E182">
    <cfRule type="cellIs" dxfId="1144" priority="176" stopIfTrue="1" operator="notEqual">
      <formula>""</formula>
    </cfRule>
  </conditionalFormatting>
  <conditionalFormatting sqref="F196">
    <cfRule type="cellIs" dxfId="1143" priority="179" stopIfTrue="1" operator="notEqual">
      <formula>""</formula>
    </cfRule>
  </conditionalFormatting>
  <conditionalFormatting sqref="F196 E194:H194">
    <cfRule type="cellIs" dxfId="1142" priority="178" stopIfTrue="1" operator="notEqual">
      <formula>""</formula>
    </cfRule>
  </conditionalFormatting>
  <conditionalFormatting sqref="C194">
    <cfRule type="cellIs" dxfId="1141" priority="173" stopIfTrue="1" operator="notEqual">
      <formula>""</formula>
    </cfRule>
  </conditionalFormatting>
  <conditionalFormatting sqref="G182:H182">
    <cfRule type="cellIs" dxfId="1140" priority="168" stopIfTrue="1" operator="notEqual">
      <formula>""</formula>
    </cfRule>
  </conditionalFormatting>
  <conditionalFormatting sqref="B194">
    <cfRule type="cellIs" dxfId="1139" priority="171" stopIfTrue="1" operator="notEqual">
      <formula>""</formula>
    </cfRule>
  </conditionalFormatting>
  <conditionalFormatting sqref="G182:H182">
    <cfRule type="cellIs" dxfId="1138" priority="167" stopIfTrue="1" operator="notEqual">
      <formula>""</formula>
    </cfRule>
  </conditionalFormatting>
  <conditionalFormatting sqref="Y195:AB195">
    <cfRule type="cellIs" dxfId="1137" priority="174" stopIfTrue="1" operator="notEqual">
      <formula>""</formula>
    </cfRule>
  </conditionalFormatting>
  <conditionalFormatting sqref="D194">
    <cfRule type="cellIs" dxfId="1136" priority="172" stopIfTrue="1" operator="equal">
      <formula>"Total"</formula>
    </cfRule>
  </conditionalFormatting>
  <conditionalFormatting sqref="D9">
    <cfRule type="cellIs" dxfId="1135" priority="170" stopIfTrue="1" operator="equal">
      <formula>"Total"</formula>
    </cfRule>
  </conditionalFormatting>
  <conditionalFormatting sqref="D9">
    <cfRule type="cellIs" dxfId="1134" priority="169" stopIfTrue="1" operator="equal">
      <formula>"Total"</formula>
    </cfRule>
  </conditionalFormatting>
  <conditionalFormatting sqref="G188:G193">
    <cfRule type="cellIs" dxfId="1133" priority="160" stopIfTrue="1" operator="notEqual">
      <formula>""</formula>
    </cfRule>
  </conditionalFormatting>
  <conditionalFormatting sqref="G187:H187 H188:H193">
    <cfRule type="cellIs" dxfId="1132" priority="161" stopIfTrue="1" operator="notEqual">
      <formula>""</formula>
    </cfRule>
  </conditionalFormatting>
  <conditionalFormatting sqref="G183:H183">
    <cfRule type="cellIs" dxfId="1131" priority="165" stopIfTrue="1" operator="notEqual">
      <formula>""</formula>
    </cfRule>
  </conditionalFormatting>
  <conditionalFormatting sqref="G183:H183">
    <cfRule type="cellIs" dxfId="1130" priority="166" stopIfTrue="1" operator="notEqual">
      <formula>""</formula>
    </cfRule>
  </conditionalFormatting>
  <conditionalFormatting sqref="G184:H186">
    <cfRule type="cellIs" dxfId="1129" priority="163" stopIfTrue="1" operator="notEqual">
      <formula>""</formula>
    </cfRule>
  </conditionalFormatting>
  <conditionalFormatting sqref="G184:H186">
    <cfRule type="cellIs" dxfId="1128" priority="164" stopIfTrue="1" operator="notEqual">
      <formula>""</formula>
    </cfRule>
  </conditionalFormatting>
  <conditionalFormatting sqref="G188:G193">
    <cfRule type="cellIs" dxfId="1127" priority="159" stopIfTrue="1" operator="notEqual">
      <formula>""</formula>
    </cfRule>
  </conditionalFormatting>
  <conditionalFormatting sqref="G187:H187 H188:H193">
    <cfRule type="cellIs" dxfId="1126" priority="162" stopIfTrue="1" operator="notEqual">
      <formula>""</formula>
    </cfRule>
  </conditionalFormatting>
  <conditionalFormatting sqref="F182">
    <cfRule type="cellIs" dxfId="1125" priority="158" stopIfTrue="1" operator="notEqual">
      <formula>""</formula>
    </cfRule>
  </conditionalFormatting>
  <conditionalFormatting sqref="F183:F193">
    <cfRule type="cellIs" dxfId="1124" priority="157" stopIfTrue="1" operator="notEqual">
      <formula>""</formula>
    </cfRule>
  </conditionalFormatting>
  <conditionalFormatting sqref="F183:F193">
    <cfRule type="cellIs" dxfId="1123" priority="156" stopIfTrue="1" operator="notEqual">
      <formula>""</formula>
    </cfRule>
  </conditionalFormatting>
  <conditionalFormatting sqref="D182">
    <cfRule type="cellIs" dxfId="1122" priority="153" stopIfTrue="1" operator="notEqual">
      <formula>""</formula>
    </cfRule>
  </conditionalFormatting>
  <conditionalFormatting sqref="D182">
    <cfRule type="cellIs" dxfId="1121" priority="155" stopIfTrue="1" operator="notEqual">
      <formula>""</formula>
    </cfRule>
  </conditionalFormatting>
  <conditionalFormatting sqref="D182">
    <cfRule type="cellIs" dxfId="1120" priority="154" stopIfTrue="1" operator="notEqual">
      <formula>""</formula>
    </cfRule>
  </conditionalFormatting>
  <conditionalFormatting sqref="E183">
    <cfRule type="cellIs" dxfId="1119" priority="152" stopIfTrue="1" operator="notEqual">
      <formula>""</formula>
    </cfRule>
  </conditionalFormatting>
  <conditionalFormatting sqref="E183">
    <cfRule type="cellIs" dxfId="1118" priority="150" stopIfTrue="1" operator="notEqual">
      <formula>""</formula>
    </cfRule>
  </conditionalFormatting>
  <conditionalFormatting sqref="E183">
    <cfRule type="cellIs" dxfId="1117" priority="151" stopIfTrue="1" operator="notEqual">
      <formula>""</formula>
    </cfRule>
  </conditionalFormatting>
  <conditionalFormatting sqref="E184:E185">
    <cfRule type="cellIs" dxfId="1116" priority="149" stopIfTrue="1" operator="notEqual">
      <formula>""</formula>
    </cfRule>
  </conditionalFormatting>
  <conditionalFormatting sqref="E184:E185">
    <cfRule type="cellIs" dxfId="1115" priority="147" stopIfTrue="1" operator="notEqual">
      <formula>""</formula>
    </cfRule>
  </conditionalFormatting>
  <conditionalFormatting sqref="E184:E185">
    <cfRule type="cellIs" dxfId="1114" priority="148" stopIfTrue="1" operator="notEqual">
      <formula>""</formula>
    </cfRule>
  </conditionalFormatting>
  <conditionalFormatting sqref="E186">
    <cfRule type="cellIs" dxfId="1113" priority="146" stopIfTrue="1" operator="notEqual">
      <formula>""</formula>
    </cfRule>
  </conditionalFormatting>
  <conditionalFormatting sqref="E186">
    <cfRule type="cellIs" dxfId="1112" priority="144" stopIfTrue="1" operator="notEqual">
      <formula>""</formula>
    </cfRule>
  </conditionalFormatting>
  <conditionalFormatting sqref="E186">
    <cfRule type="cellIs" dxfId="1111" priority="145" stopIfTrue="1" operator="notEqual">
      <formula>""</formula>
    </cfRule>
  </conditionalFormatting>
  <conditionalFormatting sqref="E187:E193">
    <cfRule type="cellIs" dxfId="1110" priority="143" stopIfTrue="1" operator="notEqual">
      <formula>""</formula>
    </cfRule>
  </conditionalFormatting>
  <conditionalFormatting sqref="E187:E193">
    <cfRule type="cellIs" dxfId="1109" priority="141" stopIfTrue="1" operator="notEqual">
      <formula>""</formula>
    </cfRule>
  </conditionalFormatting>
  <conditionalFormatting sqref="E187:E193">
    <cfRule type="cellIs" dxfId="1108" priority="142" stopIfTrue="1" operator="notEqual">
      <formula>""</formula>
    </cfRule>
  </conditionalFormatting>
  <conditionalFormatting sqref="C12:C22">
    <cfRule type="cellIs" dxfId="1107" priority="140" stopIfTrue="1" operator="notEqual">
      <formula>""</formula>
    </cfRule>
  </conditionalFormatting>
  <conditionalFormatting sqref="C12:C22">
    <cfRule type="cellIs" dxfId="1106" priority="139" stopIfTrue="1" operator="notEqual">
      <formula>""</formula>
    </cfRule>
  </conditionalFormatting>
  <conditionalFormatting sqref="D183:D193">
    <cfRule type="cellIs" dxfId="1105" priority="138" stopIfTrue="1" operator="equal">
      <formula>"Total"</formula>
    </cfRule>
  </conditionalFormatting>
  <conditionalFormatting sqref="B182:B193">
    <cfRule type="cellIs" dxfId="1104" priority="137" stopIfTrue="1" operator="notEqual">
      <formula>""</formula>
    </cfRule>
  </conditionalFormatting>
  <conditionalFormatting sqref="B182:B193">
    <cfRule type="cellIs" dxfId="1103" priority="136" stopIfTrue="1" operator="notEqual">
      <formula>""</formula>
    </cfRule>
  </conditionalFormatting>
  <conditionalFormatting sqref="B95:B154">
    <cfRule type="cellIs" dxfId="1102" priority="135" stopIfTrue="1" operator="notEqual">
      <formula>""</formula>
    </cfRule>
  </conditionalFormatting>
  <conditionalFormatting sqref="E143:E154 G143:H154">
    <cfRule type="cellIs" dxfId="1101" priority="93" stopIfTrue="1" operator="notEqual">
      <formula>""</formula>
    </cfRule>
  </conditionalFormatting>
  <conditionalFormatting sqref="B35:B46">
    <cfRule type="cellIs" dxfId="1100" priority="134" stopIfTrue="1" operator="notEqual">
      <formula>""</formula>
    </cfRule>
  </conditionalFormatting>
  <conditionalFormatting sqref="F129:F154">
    <cfRule type="cellIs" dxfId="1099" priority="81" stopIfTrue="1" operator="notEqual">
      <formula>""</formula>
    </cfRule>
  </conditionalFormatting>
  <conditionalFormatting sqref="E23:E34 G23:H34">
    <cfRule type="cellIs" dxfId="1098" priority="133" stopIfTrue="1" operator="notEqual">
      <formula>""</formula>
    </cfRule>
  </conditionalFormatting>
  <conditionalFormatting sqref="D23:D178">
    <cfRule type="cellIs" dxfId="1097" priority="132" stopIfTrue="1" operator="equal">
      <formula>"Total"</formula>
    </cfRule>
  </conditionalFormatting>
  <conditionalFormatting sqref="E35:E46 G35:H46">
    <cfRule type="cellIs" dxfId="1096" priority="129" stopIfTrue="1" operator="notEqual">
      <formula>""</formula>
    </cfRule>
  </conditionalFormatting>
  <conditionalFormatting sqref="E47:E58 G47:H58">
    <cfRule type="cellIs" dxfId="1095" priority="125" stopIfTrue="1" operator="notEqual">
      <formula>""</formula>
    </cfRule>
  </conditionalFormatting>
  <conditionalFormatting sqref="E59:E70 G59:H70">
    <cfRule type="cellIs" dxfId="1094" priority="121" stopIfTrue="1" operator="notEqual">
      <formula>""</formula>
    </cfRule>
  </conditionalFormatting>
  <conditionalFormatting sqref="E71:E82 G71:H82">
    <cfRule type="cellIs" dxfId="1093" priority="117" stopIfTrue="1" operator="notEqual">
      <formula>""</formula>
    </cfRule>
  </conditionalFormatting>
  <conditionalFormatting sqref="E83:E94 G83:H94">
    <cfRule type="cellIs" dxfId="1092" priority="113" stopIfTrue="1" operator="notEqual">
      <formula>""</formula>
    </cfRule>
  </conditionalFormatting>
  <conditionalFormatting sqref="E155:H156 E157:E166 G157:H166 F157:F178">
    <cfRule type="cellIs" dxfId="1091" priority="89" stopIfTrue="1" operator="notEqual">
      <formula>""</formula>
    </cfRule>
  </conditionalFormatting>
  <conditionalFormatting sqref="E95:E106 G95:H106">
    <cfRule type="cellIs" dxfId="1090" priority="109" stopIfTrue="1" operator="notEqual">
      <formula>""</formula>
    </cfRule>
  </conditionalFormatting>
  <conditionalFormatting sqref="E117:H118 E107:E116 G107:H116 F11:F116">
    <cfRule type="cellIs" dxfId="1089" priority="105" stopIfTrue="1" operator="notEqual">
      <formula>""</formula>
    </cfRule>
  </conditionalFormatting>
  <conditionalFormatting sqref="E119:H128 E129:E130 G129:H130">
    <cfRule type="cellIs" dxfId="1088" priority="101" stopIfTrue="1" operator="notEqual">
      <formula>""</formula>
    </cfRule>
  </conditionalFormatting>
  <conditionalFormatting sqref="E131:E142 G131:H142">
    <cfRule type="cellIs" dxfId="1087" priority="97" stopIfTrue="1" operator="notEqual">
      <formula>""</formula>
    </cfRule>
  </conditionalFormatting>
  <conditionalFormatting sqref="C35:C46">
    <cfRule type="cellIs" dxfId="1086" priority="41" stopIfTrue="1" operator="notEqual">
      <formula>""</formula>
    </cfRule>
  </conditionalFormatting>
  <conditionalFormatting sqref="C36:C46">
    <cfRule type="cellIs" dxfId="1085" priority="40" stopIfTrue="1" operator="notEqual">
      <formula>""</formula>
    </cfRule>
  </conditionalFormatting>
  <conditionalFormatting sqref="C36:C46">
    <cfRule type="cellIs" dxfId="1084" priority="39" stopIfTrue="1" operator="notEqual">
      <formula>""</formula>
    </cfRule>
  </conditionalFormatting>
  <conditionalFormatting sqref="C48:C58">
    <cfRule type="cellIs" dxfId="1083" priority="36" stopIfTrue="1" operator="notEqual">
      <formula>""</formula>
    </cfRule>
  </conditionalFormatting>
  <conditionalFormatting sqref="C59:C70">
    <cfRule type="cellIs" dxfId="1082" priority="35" stopIfTrue="1" operator="notEqual">
      <formula>""</formula>
    </cfRule>
  </conditionalFormatting>
  <conditionalFormatting sqref="C60:C70">
    <cfRule type="cellIs" dxfId="1081" priority="34" stopIfTrue="1" operator="notEqual">
      <formula>""</formula>
    </cfRule>
  </conditionalFormatting>
  <conditionalFormatting sqref="C23:C34">
    <cfRule type="cellIs" dxfId="1080" priority="44" stopIfTrue="1" operator="notEqual">
      <formula>""</formula>
    </cfRule>
  </conditionalFormatting>
  <conditionalFormatting sqref="C24:C34">
    <cfRule type="cellIs" dxfId="1079" priority="43" stopIfTrue="1" operator="notEqual">
      <formula>""</formula>
    </cfRule>
  </conditionalFormatting>
  <conditionalFormatting sqref="C24:C34">
    <cfRule type="cellIs" dxfId="1078" priority="42" stopIfTrue="1" operator="notEqual">
      <formula>""</formula>
    </cfRule>
  </conditionalFormatting>
  <conditionalFormatting sqref="C47:C58">
    <cfRule type="cellIs" dxfId="1077" priority="38" stopIfTrue="1" operator="notEqual">
      <formula>""</formula>
    </cfRule>
  </conditionalFormatting>
  <conditionalFormatting sqref="C48:C58">
    <cfRule type="cellIs" dxfId="1076" priority="37" stopIfTrue="1" operator="notEqual">
      <formula>""</formula>
    </cfRule>
  </conditionalFormatting>
  <conditionalFormatting sqref="C60:C70">
    <cfRule type="cellIs" dxfId="1075" priority="33" stopIfTrue="1" operator="notEqual">
      <formula>""</formula>
    </cfRule>
  </conditionalFormatting>
  <conditionalFormatting sqref="C71:C82">
    <cfRule type="cellIs" dxfId="1074" priority="32" stopIfTrue="1" operator="notEqual">
      <formula>""</formula>
    </cfRule>
  </conditionalFormatting>
  <conditionalFormatting sqref="C72:C82">
    <cfRule type="cellIs" dxfId="1073" priority="31" stopIfTrue="1" operator="notEqual">
      <formula>""</formula>
    </cfRule>
  </conditionalFormatting>
  <conditionalFormatting sqref="C72:C82">
    <cfRule type="cellIs" dxfId="1072" priority="30" stopIfTrue="1" operator="notEqual">
      <formula>""</formula>
    </cfRule>
  </conditionalFormatting>
  <conditionalFormatting sqref="C83:C94">
    <cfRule type="cellIs" dxfId="1071" priority="29" stopIfTrue="1" operator="notEqual">
      <formula>""</formula>
    </cfRule>
  </conditionalFormatting>
  <conditionalFormatting sqref="C84:C94">
    <cfRule type="cellIs" dxfId="1070" priority="28" stopIfTrue="1" operator="notEqual">
      <formula>""</formula>
    </cfRule>
  </conditionalFormatting>
  <conditionalFormatting sqref="C84:C94">
    <cfRule type="cellIs" dxfId="1069" priority="27" stopIfTrue="1" operator="notEqual">
      <formula>""</formula>
    </cfRule>
  </conditionalFormatting>
  <conditionalFormatting sqref="C95:C106">
    <cfRule type="cellIs" dxfId="1068" priority="26" stopIfTrue="1" operator="notEqual">
      <formula>""</formula>
    </cfRule>
  </conditionalFormatting>
  <conditionalFormatting sqref="C96:C106">
    <cfRule type="cellIs" dxfId="1067" priority="25" stopIfTrue="1" operator="notEqual">
      <formula>""</formula>
    </cfRule>
  </conditionalFormatting>
  <conditionalFormatting sqref="C96:C106">
    <cfRule type="cellIs" dxfId="1066" priority="24" stopIfTrue="1" operator="notEqual">
      <formula>""</formula>
    </cfRule>
  </conditionalFormatting>
  <conditionalFormatting sqref="C107:C118">
    <cfRule type="cellIs" dxfId="1065" priority="23" stopIfTrue="1" operator="notEqual">
      <formula>""</formula>
    </cfRule>
  </conditionalFormatting>
  <conditionalFormatting sqref="C108:C118">
    <cfRule type="cellIs" dxfId="1064" priority="22" stopIfTrue="1" operator="notEqual">
      <formula>""</formula>
    </cfRule>
  </conditionalFormatting>
  <conditionalFormatting sqref="C108:C118">
    <cfRule type="cellIs" dxfId="1063" priority="21" stopIfTrue="1" operator="notEqual">
      <formula>""</formula>
    </cfRule>
  </conditionalFormatting>
  <conditionalFormatting sqref="C119:C130">
    <cfRule type="cellIs" dxfId="1062" priority="20" stopIfTrue="1" operator="notEqual">
      <formula>""</formula>
    </cfRule>
  </conditionalFormatting>
  <conditionalFormatting sqref="C120:C130">
    <cfRule type="cellIs" dxfId="1061" priority="19" stopIfTrue="1" operator="notEqual">
      <formula>""</formula>
    </cfRule>
  </conditionalFormatting>
  <conditionalFormatting sqref="C120:C130">
    <cfRule type="cellIs" dxfId="1060" priority="18" stopIfTrue="1" operator="notEqual">
      <formula>""</formula>
    </cfRule>
  </conditionalFormatting>
  <conditionalFormatting sqref="C131:C142">
    <cfRule type="cellIs" dxfId="1059" priority="17" stopIfTrue="1" operator="notEqual">
      <formula>""</formula>
    </cfRule>
  </conditionalFormatting>
  <conditionalFormatting sqref="C132:C142">
    <cfRule type="cellIs" dxfId="1058" priority="16" stopIfTrue="1" operator="notEqual">
      <formula>""</formula>
    </cfRule>
  </conditionalFormatting>
  <conditionalFormatting sqref="C132:C142">
    <cfRule type="cellIs" dxfId="1057" priority="15" stopIfTrue="1" operator="notEqual">
      <formula>""</formula>
    </cfRule>
  </conditionalFormatting>
  <conditionalFormatting sqref="C155:C178">
    <cfRule type="cellIs" dxfId="1056" priority="8" stopIfTrue="1" operator="notEqual">
      <formula>""</formula>
    </cfRule>
  </conditionalFormatting>
  <conditionalFormatting sqref="C156:C178">
    <cfRule type="cellIs" dxfId="1055" priority="7" stopIfTrue="1" operator="notEqual">
      <formula>""</formula>
    </cfRule>
  </conditionalFormatting>
  <conditionalFormatting sqref="C156:C178">
    <cfRule type="cellIs" dxfId="1054" priority="6" stopIfTrue="1" operator="notEqual">
      <formula>""</formula>
    </cfRule>
  </conditionalFormatting>
  <conditionalFormatting sqref="C143:C154">
    <cfRule type="cellIs" dxfId="1053" priority="11" stopIfTrue="1" operator="notEqual">
      <formula>""</formula>
    </cfRule>
  </conditionalFormatting>
  <conditionalFormatting sqref="C144:C154">
    <cfRule type="cellIs" dxfId="1052" priority="10" stopIfTrue="1" operator="notEqual">
      <formula>""</formula>
    </cfRule>
  </conditionalFormatting>
  <conditionalFormatting sqref="C144:C154">
    <cfRule type="cellIs" dxfId="1051" priority="9" stopIfTrue="1" operator="notEqual">
      <formula>""</formula>
    </cfRule>
  </conditionalFormatting>
  <conditionalFormatting sqref="C182:C193">
    <cfRule type="cellIs" dxfId="1050" priority="3" stopIfTrue="1" operator="notEqual">
      <formula>""</formula>
    </cfRule>
  </conditionalFormatting>
  <conditionalFormatting sqref="C182:C193">
    <cfRule type="cellIs" dxfId="1049" priority="2" stopIfTrue="1" operator="notEqual">
      <formula>""</formula>
    </cfRule>
  </conditionalFormatting>
  <conditionalFormatting sqref="C182:C193">
    <cfRule type="cellIs" dxfId="1048" priority="1" stopIfTrue="1" operator="notEqual">
      <formula>""</formula>
    </cfRule>
  </conditionalFormatting>
  <conditionalFormatting sqref="E167:E178 G167:H178">
    <cfRule type="cellIs" dxfId="1047" priority="5"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7" width="4.5703125" style="1" customWidth="1"/>
    <col min="8" max="8" width="5.85546875" style="1" customWidth="1"/>
    <col min="9" max="9" width="7.5703125" style="1" customWidth="1"/>
    <col min="10" max="10" width="7.140625" style="1" customWidth="1"/>
    <col min="11" max="11" width="6.42578125" style="1" customWidth="1"/>
    <col min="12" max="13" width="6.7109375" style="1" customWidth="1"/>
    <col min="14" max="14" width="6.28515625" style="1" customWidth="1"/>
    <col min="15" max="15" width="6.7109375" style="1" customWidth="1"/>
    <col min="16" max="16" width="6.42578125" style="1" customWidth="1"/>
    <col min="17" max="17" width="6.28515625" style="1" customWidth="1"/>
    <col min="18" max="19" width="6.7109375" style="1" customWidth="1"/>
    <col min="20" max="21" width="6.5703125" style="1" customWidth="1"/>
    <col min="22" max="24" width="6.42578125" style="1" customWidth="1"/>
    <col min="25" max="25" width="4" style="1" customWidth="1"/>
    <col min="26" max="27" width="2.85546875" style="1" customWidth="1"/>
    <col min="30" max="30" width="10" bestFit="1" customWidth="1"/>
    <col min="33" max="33" width="10.85546875" customWidth="1"/>
    <col min="34" max="34" width="9.85546875" customWidth="1"/>
    <col min="37" max="37"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251" t="s">
        <v>28</v>
      </c>
      <c r="N7" s="252"/>
      <c r="O7" s="252"/>
      <c r="P7" s="252"/>
      <c r="Q7" s="252"/>
      <c r="R7" s="252"/>
      <c r="T7" s="102" t="s">
        <v>4</v>
      </c>
      <c r="U7" s="19"/>
      <c r="V7" s="19"/>
      <c r="W7" s="420">
        <f>'base(indices)'!I2</f>
        <v>45474</v>
      </c>
      <c r="X7" s="420"/>
    </row>
    <row r="8" spans="1:28" ht="13.5" thickBot="1">
      <c r="B8" s="6" t="s">
        <v>5</v>
      </c>
      <c r="C8" s="6"/>
      <c r="F8" s="5"/>
      <c r="G8" s="5"/>
      <c r="I8" s="421">
        <f>W7</f>
        <v>45474</v>
      </c>
      <c r="J8" s="421"/>
      <c r="K8" s="179"/>
      <c r="L8" s="97"/>
      <c r="M8" s="98"/>
      <c r="N8" s="99"/>
      <c r="O8" s="98"/>
    </row>
    <row r="9" spans="1:28" ht="12.75" customHeight="1" thickBot="1">
      <c r="A9" s="422" t="s">
        <v>6</v>
      </c>
      <c r="B9" s="424" t="s">
        <v>7</v>
      </c>
      <c r="C9" s="426" t="s">
        <v>29</v>
      </c>
      <c r="D9" s="428" t="s">
        <v>9</v>
      </c>
      <c r="E9" s="428" t="s">
        <v>10</v>
      </c>
      <c r="F9" s="430" t="s">
        <v>11</v>
      </c>
      <c r="G9" s="430" t="s">
        <v>12</v>
      </c>
      <c r="H9" s="432" t="s">
        <v>13</v>
      </c>
      <c r="I9" s="442" t="s">
        <v>14</v>
      </c>
      <c r="J9" s="450" t="s">
        <v>15</v>
      </c>
      <c r="K9" s="445"/>
      <c r="L9" s="446"/>
      <c r="M9" s="245">
        <v>0.95</v>
      </c>
      <c r="N9" s="254" t="s">
        <v>30</v>
      </c>
      <c r="O9" s="253"/>
      <c r="P9" s="244">
        <v>0.9</v>
      </c>
      <c r="Q9" s="256" t="s">
        <v>30</v>
      </c>
      <c r="R9" s="255"/>
      <c r="S9" s="244">
        <v>0.8</v>
      </c>
      <c r="T9" s="256" t="s">
        <v>30</v>
      </c>
      <c r="U9" s="255"/>
      <c r="V9" s="244">
        <v>0.7</v>
      </c>
      <c r="W9" s="256" t="s">
        <v>30</v>
      </c>
      <c r="X9" s="255"/>
      <c r="Y9" s="244">
        <v>0.6</v>
      </c>
      <c r="Z9" s="256" t="s">
        <v>30</v>
      </c>
      <c r="AA9" s="255"/>
    </row>
    <row r="10" spans="1:28" ht="13.5" customHeight="1" thickBot="1">
      <c r="A10" s="423"/>
      <c r="B10" s="425"/>
      <c r="C10" s="427"/>
      <c r="D10" s="429"/>
      <c r="E10" s="429"/>
      <c r="F10" s="431"/>
      <c r="G10" s="431"/>
      <c r="H10" s="433"/>
      <c r="I10" s="443"/>
      <c r="J10" s="258" t="s">
        <v>16</v>
      </c>
      <c r="K10" s="259" t="s">
        <v>17</v>
      </c>
      <c r="L10" s="363" t="s">
        <v>18</v>
      </c>
      <c r="M10" s="261" t="s">
        <v>16</v>
      </c>
      <c r="N10" s="259" t="s">
        <v>17</v>
      </c>
      <c r="O10" s="364" t="s">
        <v>19</v>
      </c>
      <c r="P10" s="262" t="s">
        <v>16</v>
      </c>
      <c r="Q10" s="259" t="s">
        <v>17</v>
      </c>
      <c r="R10" s="365" t="s">
        <v>20</v>
      </c>
      <c r="S10" s="261" t="s">
        <v>16</v>
      </c>
      <c r="T10" s="259" t="s">
        <v>17</v>
      </c>
      <c r="U10" s="364" t="s">
        <v>21</v>
      </c>
      <c r="V10" s="261" t="s">
        <v>16</v>
      </c>
      <c r="W10" s="259" t="s">
        <v>17</v>
      </c>
      <c r="X10" s="364" t="s">
        <v>22</v>
      </c>
      <c r="Y10" s="261" t="s">
        <v>16</v>
      </c>
      <c r="Z10" s="259" t="s">
        <v>17</v>
      </c>
      <c r="AA10" s="364" t="s">
        <v>23</v>
      </c>
    </row>
    <row r="11" spans="1:28" ht="13.5" customHeight="1">
      <c r="A11" s="350">
        <v>156</v>
      </c>
      <c r="B11" s="136">
        <v>40179</v>
      </c>
      <c r="C11" s="120">
        <f>VLOOKUP(B11,'base(indices)'!$A$4:$C$183,3,FALSE)*1.25</f>
        <v>637.5</v>
      </c>
      <c r="D11" s="193">
        <f>'base(indices)'!G4</f>
        <v>2.0114918099999999</v>
      </c>
      <c r="E11" s="78">
        <f>C11*D11</f>
        <v>1282.326028875</v>
      </c>
      <c r="F11" s="79">
        <f>'base(indices)'!$I$147</f>
        <v>0.29920000000000002</v>
      </c>
      <c r="G11" s="78">
        <f t="shared" ref="G11:G22" si="0">E11*F11</f>
        <v>383.67194783940005</v>
      </c>
      <c r="H11" s="266">
        <f t="shared" ref="H11:H22" si="1">E11+G11</f>
        <v>1665.9979767144</v>
      </c>
      <c r="I11" s="358">
        <f>I179</f>
        <v>330666.34241047199</v>
      </c>
      <c r="J11" s="48">
        <f>IF((I11-H$21+(H$21))+K11-(H11/2)&gt;$I$197,$I$197-K11,(I11-H$21+(H$21)-(H11/2)))</f>
        <v>73820.948717981024</v>
      </c>
      <c r="K11" s="109">
        <f t="shared" ref="K11:K22" si="2">I$196</f>
        <v>10899.051282018971</v>
      </c>
      <c r="L11" s="49">
        <f t="shared" ref="L11:L22" si="3">J11+K11</f>
        <v>84720</v>
      </c>
      <c r="M11" s="138">
        <f t="shared" ref="M11:M22" si="4">J11*M$9</f>
        <v>70129.901282081963</v>
      </c>
      <c r="N11" s="109">
        <f t="shared" ref="N11:N22" si="5">K11*M$9</f>
        <v>10354.098717918021</v>
      </c>
      <c r="O11" s="139">
        <f t="shared" ref="O11:O22" si="6">M11+N11</f>
        <v>80483.999999999985</v>
      </c>
      <c r="P11" s="291">
        <f t="shared" ref="P11:P22" si="7">J11*$P$9</f>
        <v>66438.85384618293</v>
      </c>
      <c r="Q11" s="109">
        <f t="shared" ref="Q11:Q22" si="8">K11*P$9</f>
        <v>9809.1461538170734</v>
      </c>
      <c r="R11" s="49">
        <f t="shared" ref="R11:R22" si="9">P11+Q11</f>
        <v>76248</v>
      </c>
      <c r="S11" s="138">
        <f t="shared" ref="S11:S22" si="10">J11*S$9</f>
        <v>59056.758974384822</v>
      </c>
      <c r="T11" s="109">
        <f t="shared" ref="T11:T22" si="11">K11*S$9</f>
        <v>8719.2410256151761</v>
      </c>
      <c r="U11" s="139">
        <f t="shared" ref="U11:U22" si="12">S11+T11</f>
        <v>67776</v>
      </c>
      <c r="V11" s="48">
        <f t="shared" ref="V11:V22" si="13">J11*V$9</f>
        <v>51674.664102586714</v>
      </c>
      <c r="W11" s="109">
        <f t="shared" ref="W11:W22" si="14">K11*V$9</f>
        <v>7629.3358974132789</v>
      </c>
      <c r="X11" s="49">
        <f t="shared" ref="X11:X22" si="15">V11+W11</f>
        <v>59303.999999999993</v>
      </c>
      <c r="Y11" s="138">
        <f t="shared" ref="Y11:Y22" si="16">J11*Y$9</f>
        <v>44292.569230788613</v>
      </c>
      <c r="Z11" s="109">
        <f t="shared" ref="Z11:Z22" si="17">K11*Y$9</f>
        <v>6539.4307692113825</v>
      </c>
      <c r="AA11" s="49">
        <f t="shared" ref="AA11:AA22" si="18">Y11+Z11</f>
        <v>50831.999999999993</v>
      </c>
      <c r="AB11" s="380"/>
    </row>
    <row r="12" spans="1:28" ht="13.5" customHeight="1">
      <c r="A12" s="327">
        <v>155</v>
      </c>
      <c r="B12" s="50">
        <v>40210</v>
      </c>
      <c r="C12" s="61">
        <f>VLOOKUP(B12,'base(indices)'!$A$4:$C$183,3,FALSE)*1.25</f>
        <v>637.5</v>
      </c>
      <c r="D12" s="192">
        <f>'base(indices)'!G5</f>
        <v>2.0010861599999998</v>
      </c>
      <c r="E12" s="54">
        <f t="shared" ref="E12:E22" si="19">C12*D12</f>
        <v>1275.692427</v>
      </c>
      <c r="F12" s="82">
        <f>'base(indices)'!$I$147</f>
        <v>0.29920000000000002</v>
      </c>
      <c r="G12" s="54">
        <f t="shared" si="0"/>
        <v>381.68717415840001</v>
      </c>
      <c r="H12" s="267">
        <f t="shared" si="1"/>
        <v>1657.3796011584</v>
      </c>
      <c r="I12" s="359">
        <f>I11-H11</f>
        <v>329000.34443375759</v>
      </c>
      <c r="J12" s="58">
        <f>IF((I12-H$21+(H$21/12*11))+K12-(H12/2)&gt;$I$197,$I$197-K12,(I12-H$21+(H$21/12*11)-(H12/2)))</f>
        <v>73820.948717981024</v>
      </c>
      <c r="K12" s="91">
        <f t="shared" si="2"/>
        <v>10899.051282018971</v>
      </c>
      <c r="L12" s="284">
        <f t="shared" si="3"/>
        <v>84720</v>
      </c>
      <c r="M12" s="57">
        <f t="shared" si="4"/>
        <v>70129.901282081963</v>
      </c>
      <c r="N12" s="91">
        <f t="shared" si="5"/>
        <v>10354.098717918021</v>
      </c>
      <c r="O12" s="60">
        <f t="shared" si="6"/>
        <v>80483.999999999985</v>
      </c>
      <c r="P12" s="58">
        <f t="shared" si="7"/>
        <v>66438.85384618293</v>
      </c>
      <c r="Q12" s="91">
        <f t="shared" si="8"/>
        <v>9809.1461538170734</v>
      </c>
      <c r="R12" s="59">
        <f t="shared" si="9"/>
        <v>76248</v>
      </c>
      <c r="S12" s="57">
        <f t="shared" si="10"/>
        <v>59056.758974384822</v>
      </c>
      <c r="T12" s="91">
        <f t="shared" si="11"/>
        <v>8719.2410256151761</v>
      </c>
      <c r="U12" s="60">
        <f t="shared" si="12"/>
        <v>67776</v>
      </c>
      <c r="V12" s="58">
        <f t="shared" si="13"/>
        <v>51674.664102586714</v>
      </c>
      <c r="W12" s="91">
        <f t="shared" si="14"/>
        <v>7629.3358974132789</v>
      </c>
      <c r="X12" s="59">
        <f t="shared" si="15"/>
        <v>59303.999999999993</v>
      </c>
      <c r="Y12" s="57">
        <f t="shared" si="16"/>
        <v>44292.569230788613</v>
      </c>
      <c r="Z12" s="91">
        <f t="shared" si="17"/>
        <v>6539.4307692113825</v>
      </c>
      <c r="AA12" s="59">
        <f t="shared" si="18"/>
        <v>50831.999999999993</v>
      </c>
      <c r="AB12" s="381"/>
    </row>
    <row r="13" spans="1:28" ht="13.5" customHeight="1">
      <c r="A13" s="327">
        <v>154</v>
      </c>
      <c r="B13" s="40">
        <v>40238</v>
      </c>
      <c r="C13" s="61">
        <f>VLOOKUP(B13,'base(indices)'!$A$4:$C$183,3,FALSE)*1.25</f>
        <v>637.5</v>
      </c>
      <c r="D13" s="192">
        <f>'base(indices)'!G6</f>
        <v>1.9824511199999999</v>
      </c>
      <c r="E13" s="63">
        <f t="shared" si="19"/>
        <v>1263.8125889999999</v>
      </c>
      <c r="F13" s="82">
        <f>'base(indices)'!$I$147</f>
        <v>0.29920000000000002</v>
      </c>
      <c r="G13" s="63">
        <f t="shared" si="0"/>
        <v>378.13272662880001</v>
      </c>
      <c r="H13" s="268">
        <f t="shared" si="1"/>
        <v>1641.9453156288</v>
      </c>
      <c r="I13" s="360">
        <f t="shared" ref="I13:I76" si="20">I12-H12</f>
        <v>327342.96483259922</v>
      </c>
      <c r="J13" s="45">
        <f>IF((I13-H$21+(H$21/12*10))+K13-(H13/2)&gt;$I$197,$I$197-K13,(I13-H$21+(H$21/12*10)-(H13/2)))</f>
        <v>73820.948717981024</v>
      </c>
      <c r="K13" s="108">
        <f t="shared" si="2"/>
        <v>10899.051282018971</v>
      </c>
      <c r="L13" s="46">
        <f t="shared" si="3"/>
        <v>84720</v>
      </c>
      <c r="M13" s="43">
        <f t="shared" si="4"/>
        <v>70129.901282081963</v>
      </c>
      <c r="N13" s="108">
        <f t="shared" si="5"/>
        <v>10354.098717918021</v>
      </c>
      <c r="O13" s="47">
        <f t="shared" si="6"/>
        <v>80483.999999999985</v>
      </c>
      <c r="P13" s="119">
        <f t="shared" si="7"/>
        <v>66438.85384618293</v>
      </c>
      <c r="Q13" s="108">
        <f t="shared" si="8"/>
        <v>9809.1461538170734</v>
      </c>
      <c r="R13" s="46">
        <f t="shared" si="9"/>
        <v>76248</v>
      </c>
      <c r="S13" s="43">
        <f t="shared" si="10"/>
        <v>59056.758974384822</v>
      </c>
      <c r="T13" s="108">
        <f t="shared" si="11"/>
        <v>8719.2410256151761</v>
      </c>
      <c r="U13" s="47">
        <f t="shared" si="12"/>
        <v>67776</v>
      </c>
      <c r="V13" s="45">
        <f t="shared" si="13"/>
        <v>51674.664102586714</v>
      </c>
      <c r="W13" s="108">
        <f t="shared" si="14"/>
        <v>7629.3358974132789</v>
      </c>
      <c r="X13" s="46">
        <f t="shared" si="15"/>
        <v>59303.999999999993</v>
      </c>
      <c r="Y13" s="43">
        <f t="shared" si="16"/>
        <v>44292.569230788613</v>
      </c>
      <c r="Z13" s="108">
        <f t="shared" si="17"/>
        <v>6539.4307692113825</v>
      </c>
      <c r="AA13" s="46">
        <f t="shared" si="18"/>
        <v>50831.999999999993</v>
      </c>
      <c r="AB13" s="380"/>
    </row>
    <row r="14" spans="1:28" ht="13.5" customHeight="1">
      <c r="A14" s="327">
        <v>153</v>
      </c>
      <c r="B14" s="50">
        <v>40269</v>
      </c>
      <c r="C14" s="61">
        <f>VLOOKUP(B14,'base(indices)'!$A$4:$C$183,3,FALSE)*1.25</f>
        <v>637.5</v>
      </c>
      <c r="D14" s="192">
        <f>'base(indices)'!G7</f>
        <v>1.97160728</v>
      </c>
      <c r="E14" s="54">
        <f t="shared" si="19"/>
        <v>1256.899641</v>
      </c>
      <c r="F14" s="82">
        <f>'base(indices)'!$I$147</f>
        <v>0.29920000000000002</v>
      </c>
      <c r="G14" s="54">
        <f t="shared" si="0"/>
        <v>376.06437258720001</v>
      </c>
      <c r="H14" s="267">
        <f t="shared" si="1"/>
        <v>1632.9640135872</v>
      </c>
      <c r="I14" s="359">
        <f t="shared" si="20"/>
        <v>325701.01951697044</v>
      </c>
      <c r="J14" s="58">
        <f>IF((I14-H$21+(H$21/12*9))+K14-(H14/2)&gt;$I$197,$I$197-K14,(I14-H$21+(H$21/12*9)-(H14/2)))</f>
        <v>73820.948717981024</v>
      </c>
      <c r="K14" s="91">
        <f t="shared" si="2"/>
        <v>10899.051282018971</v>
      </c>
      <c r="L14" s="284">
        <f t="shared" si="3"/>
        <v>84720</v>
      </c>
      <c r="M14" s="57">
        <f t="shared" si="4"/>
        <v>70129.901282081963</v>
      </c>
      <c r="N14" s="91">
        <f t="shared" si="5"/>
        <v>10354.098717918021</v>
      </c>
      <c r="O14" s="60">
        <f t="shared" si="6"/>
        <v>80483.999999999985</v>
      </c>
      <c r="P14" s="58">
        <f t="shared" si="7"/>
        <v>66438.85384618293</v>
      </c>
      <c r="Q14" s="91">
        <f t="shared" si="8"/>
        <v>9809.1461538170734</v>
      </c>
      <c r="R14" s="59">
        <f t="shared" si="9"/>
        <v>76248</v>
      </c>
      <c r="S14" s="57">
        <f t="shared" si="10"/>
        <v>59056.758974384822</v>
      </c>
      <c r="T14" s="91">
        <f t="shared" si="11"/>
        <v>8719.2410256151761</v>
      </c>
      <c r="U14" s="60">
        <f t="shared" si="12"/>
        <v>67776</v>
      </c>
      <c r="V14" s="58">
        <f t="shared" si="13"/>
        <v>51674.664102586714</v>
      </c>
      <c r="W14" s="91">
        <f t="shared" si="14"/>
        <v>7629.3358974132789</v>
      </c>
      <c r="X14" s="59">
        <f t="shared" si="15"/>
        <v>59303.999999999993</v>
      </c>
      <c r="Y14" s="57">
        <f t="shared" si="16"/>
        <v>44292.569230788613</v>
      </c>
      <c r="Z14" s="91">
        <f t="shared" si="17"/>
        <v>6539.4307692113825</v>
      </c>
      <c r="AA14" s="59">
        <f t="shared" si="18"/>
        <v>50831.999999999993</v>
      </c>
      <c r="AB14" s="381"/>
    </row>
    <row r="15" spans="1:28" ht="13.5" customHeight="1">
      <c r="A15" s="327">
        <v>152</v>
      </c>
      <c r="B15" s="40">
        <v>40299</v>
      </c>
      <c r="C15" s="61">
        <f>VLOOKUP(B15,'base(indices)'!$A$4:$C$183,3,FALSE)*1.25</f>
        <v>637.5</v>
      </c>
      <c r="D15" s="192">
        <f>'base(indices)'!G8</f>
        <v>1.96218878</v>
      </c>
      <c r="E15" s="63">
        <f t="shared" si="19"/>
        <v>1250.89534725</v>
      </c>
      <c r="F15" s="82">
        <f>'base(indices)'!$I$147</f>
        <v>0.29920000000000002</v>
      </c>
      <c r="G15" s="63">
        <f t="shared" si="0"/>
        <v>374.26788789720001</v>
      </c>
      <c r="H15" s="268">
        <f t="shared" si="1"/>
        <v>1625.1632351471999</v>
      </c>
      <c r="I15" s="360">
        <f t="shared" si="20"/>
        <v>324068.05550338322</v>
      </c>
      <c r="J15" s="45">
        <f>IF((I15-H$21+(H$21/12*8))+K15-(H15/2)&gt;$I$197,$I$197-K15,(I15-H$21+(H$21/12*8)-(H15/2)))</f>
        <v>73820.948717981024</v>
      </c>
      <c r="K15" s="108">
        <f t="shared" si="2"/>
        <v>10899.051282018971</v>
      </c>
      <c r="L15" s="46">
        <f t="shared" si="3"/>
        <v>84720</v>
      </c>
      <c r="M15" s="43">
        <f t="shared" si="4"/>
        <v>70129.901282081963</v>
      </c>
      <c r="N15" s="108">
        <f t="shared" si="5"/>
        <v>10354.098717918021</v>
      </c>
      <c r="O15" s="47">
        <f t="shared" si="6"/>
        <v>80483.999999999985</v>
      </c>
      <c r="P15" s="119">
        <f t="shared" si="7"/>
        <v>66438.85384618293</v>
      </c>
      <c r="Q15" s="108">
        <f t="shared" si="8"/>
        <v>9809.1461538170734</v>
      </c>
      <c r="R15" s="46">
        <f t="shared" si="9"/>
        <v>76248</v>
      </c>
      <c r="S15" s="43">
        <f t="shared" si="10"/>
        <v>59056.758974384822</v>
      </c>
      <c r="T15" s="108">
        <f t="shared" si="11"/>
        <v>8719.2410256151761</v>
      </c>
      <c r="U15" s="47">
        <f t="shared" si="12"/>
        <v>67776</v>
      </c>
      <c r="V15" s="45">
        <f t="shared" si="13"/>
        <v>51674.664102586714</v>
      </c>
      <c r="W15" s="108">
        <f t="shared" si="14"/>
        <v>7629.3358974132789</v>
      </c>
      <c r="X15" s="46">
        <f t="shared" si="15"/>
        <v>59303.999999999993</v>
      </c>
      <c r="Y15" s="43">
        <f t="shared" si="16"/>
        <v>44292.569230788613</v>
      </c>
      <c r="Z15" s="108">
        <f t="shared" si="17"/>
        <v>6539.4307692113825</v>
      </c>
      <c r="AA15" s="46">
        <f t="shared" si="18"/>
        <v>50831.999999999993</v>
      </c>
      <c r="AB15" s="380"/>
    </row>
    <row r="16" spans="1:28" ht="13.5" customHeight="1">
      <c r="A16" s="327">
        <v>151</v>
      </c>
      <c r="B16" s="50">
        <v>40330</v>
      </c>
      <c r="C16" s="61">
        <f>VLOOKUP(B16,'base(indices)'!$A$4:$C$183,3,FALSE)*1.25</f>
        <v>637.5</v>
      </c>
      <c r="D16" s="192">
        <f>'base(indices)'!G9</f>
        <v>1.94990438</v>
      </c>
      <c r="E16" s="54">
        <f t="shared" si="19"/>
        <v>1243.0640422500001</v>
      </c>
      <c r="F16" s="82">
        <f>'base(indices)'!$I$147</f>
        <v>0.29920000000000002</v>
      </c>
      <c r="G16" s="54">
        <f t="shared" si="0"/>
        <v>371.92476144120002</v>
      </c>
      <c r="H16" s="267">
        <f t="shared" si="1"/>
        <v>1614.9888036912</v>
      </c>
      <c r="I16" s="359">
        <f t="shared" si="20"/>
        <v>322442.89226823603</v>
      </c>
      <c r="J16" s="58">
        <f>IF((I16-H$21+(H$21/12*7))+K16-(H16/2)&gt;$I$197,$I$197-K16,(I16-H$21+(H$21/12*7)-(H16/2)))</f>
        <v>73820.948717981024</v>
      </c>
      <c r="K16" s="91">
        <f t="shared" si="2"/>
        <v>10899.051282018971</v>
      </c>
      <c r="L16" s="284">
        <f t="shared" si="3"/>
        <v>84720</v>
      </c>
      <c r="M16" s="57">
        <f t="shared" si="4"/>
        <v>70129.901282081963</v>
      </c>
      <c r="N16" s="91">
        <f t="shared" si="5"/>
        <v>10354.098717918021</v>
      </c>
      <c r="O16" s="60">
        <f t="shared" si="6"/>
        <v>80483.999999999985</v>
      </c>
      <c r="P16" s="58">
        <f t="shared" si="7"/>
        <v>66438.85384618293</v>
      </c>
      <c r="Q16" s="91">
        <f t="shared" si="8"/>
        <v>9809.1461538170734</v>
      </c>
      <c r="R16" s="59">
        <f t="shared" si="9"/>
        <v>76248</v>
      </c>
      <c r="S16" s="57">
        <f t="shared" si="10"/>
        <v>59056.758974384822</v>
      </c>
      <c r="T16" s="91">
        <f t="shared" si="11"/>
        <v>8719.2410256151761</v>
      </c>
      <c r="U16" s="60">
        <f t="shared" si="12"/>
        <v>67776</v>
      </c>
      <c r="V16" s="58">
        <f t="shared" si="13"/>
        <v>51674.664102586714</v>
      </c>
      <c r="W16" s="91">
        <f t="shared" si="14"/>
        <v>7629.3358974132789</v>
      </c>
      <c r="X16" s="59">
        <f t="shared" si="15"/>
        <v>59303.999999999993</v>
      </c>
      <c r="Y16" s="57">
        <f t="shared" si="16"/>
        <v>44292.569230788613</v>
      </c>
      <c r="Z16" s="91">
        <f t="shared" si="17"/>
        <v>6539.4307692113825</v>
      </c>
      <c r="AA16" s="59">
        <f t="shared" si="18"/>
        <v>50831.999999999993</v>
      </c>
      <c r="AB16" s="381"/>
    </row>
    <row r="17" spans="1:35" ht="13.5" customHeight="1">
      <c r="A17" s="327">
        <v>150</v>
      </c>
      <c r="B17" s="40">
        <v>40360</v>
      </c>
      <c r="C17" s="61">
        <f>VLOOKUP(B17,'base(indices)'!$A$4:$C$183,3,FALSE)*1.25</f>
        <v>637.5</v>
      </c>
      <c r="D17" s="192">
        <f>'base(indices)'!G10</f>
        <v>1.9462065900000001</v>
      </c>
      <c r="E17" s="63">
        <f t="shared" si="19"/>
        <v>1240.7067011250001</v>
      </c>
      <c r="F17" s="82">
        <f>'base(indices)'!$I$147</f>
        <v>0.29920000000000002</v>
      </c>
      <c r="G17" s="63">
        <f t="shared" si="0"/>
        <v>371.21944497660007</v>
      </c>
      <c r="H17" s="268">
        <f t="shared" si="1"/>
        <v>1611.9261461016001</v>
      </c>
      <c r="I17" s="360">
        <f t="shared" si="20"/>
        <v>320827.90346454486</v>
      </c>
      <c r="J17" s="45">
        <f>IF((I17-H$21+(H$21/12*6))+K17-(H17/2)&gt;$I$197,$I$197-K17,(I17-H$21+(H$21/12*6)-(H17/2)))</f>
        <v>73820.948717981024</v>
      </c>
      <c r="K17" s="108">
        <f t="shared" si="2"/>
        <v>10899.051282018971</v>
      </c>
      <c r="L17" s="46">
        <f t="shared" si="3"/>
        <v>84720</v>
      </c>
      <c r="M17" s="43">
        <f t="shared" si="4"/>
        <v>70129.901282081963</v>
      </c>
      <c r="N17" s="108">
        <f t="shared" si="5"/>
        <v>10354.098717918021</v>
      </c>
      <c r="O17" s="47">
        <f t="shared" si="6"/>
        <v>80483.999999999985</v>
      </c>
      <c r="P17" s="119">
        <f t="shared" si="7"/>
        <v>66438.85384618293</v>
      </c>
      <c r="Q17" s="108">
        <f t="shared" si="8"/>
        <v>9809.1461538170734</v>
      </c>
      <c r="R17" s="46">
        <f t="shared" si="9"/>
        <v>76248</v>
      </c>
      <c r="S17" s="43">
        <f t="shared" si="10"/>
        <v>59056.758974384822</v>
      </c>
      <c r="T17" s="108">
        <f t="shared" si="11"/>
        <v>8719.2410256151761</v>
      </c>
      <c r="U17" s="47">
        <f t="shared" si="12"/>
        <v>67776</v>
      </c>
      <c r="V17" s="45">
        <f t="shared" si="13"/>
        <v>51674.664102586714</v>
      </c>
      <c r="W17" s="108">
        <f t="shared" si="14"/>
        <v>7629.3358974132789</v>
      </c>
      <c r="X17" s="46">
        <f t="shared" si="15"/>
        <v>59303.999999999993</v>
      </c>
      <c r="Y17" s="43">
        <f t="shared" si="16"/>
        <v>44292.569230788613</v>
      </c>
      <c r="Z17" s="108">
        <f t="shared" si="17"/>
        <v>6539.4307692113825</v>
      </c>
      <c r="AA17" s="46">
        <f t="shared" si="18"/>
        <v>50831.999999999993</v>
      </c>
      <c r="AB17" s="380"/>
    </row>
    <row r="18" spans="1:35" ht="13.5" customHeight="1">
      <c r="A18" s="327">
        <v>149</v>
      </c>
      <c r="B18" s="50">
        <v>40391</v>
      </c>
      <c r="C18" s="61">
        <f>VLOOKUP(B18,'base(indices)'!$A$4:$C$183,3,FALSE)*1.25</f>
        <v>637.5</v>
      </c>
      <c r="D18" s="192">
        <f>'base(indices)'!G11</f>
        <v>1.9479597500000001</v>
      </c>
      <c r="E18" s="54">
        <f t="shared" si="19"/>
        <v>1241.8243406250001</v>
      </c>
      <c r="F18" s="82">
        <f>'base(indices)'!$I$147</f>
        <v>0.29920000000000002</v>
      </c>
      <c r="G18" s="54">
        <f t="shared" si="0"/>
        <v>371.55384271500003</v>
      </c>
      <c r="H18" s="267">
        <f t="shared" si="1"/>
        <v>1613.3781833400001</v>
      </c>
      <c r="I18" s="359">
        <f t="shared" si="20"/>
        <v>319215.97731844324</v>
      </c>
      <c r="J18" s="58">
        <f>IF((I18-H$21+(H$21/12*5))+K18-(H18/2)&gt;$I$197,$I$197-K18,(I18-H$21+(H$21/12*5)-(H18/2)))</f>
        <v>73820.948717981024</v>
      </c>
      <c r="K18" s="91">
        <f t="shared" si="2"/>
        <v>10899.051282018971</v>
      </c>
      <c r="L18" s="284">
        <f t="shared" si="3"/>
        <v>84720</v>
      </c>
      <c r="M18" s="57">
        <f t="shared" si="4"/>
        <v>70129.901282081963</v>
      </c>
      <c r="N18" s="91">
        <f t="shared" si="5"/>
        <v>10354.098717918021</v>
      </c>
      <c r="O18" s="60">
        <f t="shared" si="6"/>
        <v>80483.999999999985</v>
      </c>
      <c r="P18" s="58">
        <f t="shared" si="7"/>
        <v>66438.85384618293</v>
      </c>
      <c r="Q18" s="91">
        <f t="shared" si="8"/>
        <v>9809.1461538170734</v>
      </c>
      <c r="R18" s="59">
        <f t="shared" si="9"/>
        <v>76248</v>
      </c>
      <c r="S18" s="57">
        <f t="shared" si="10"/>
        <v>59056.758974384822</v>
      </c>
      <c r="T18" s="91">
        <f t="shared" si="11"/>
        <v>8719.2410256151761</v>
      </c>
      <c r="U18" s="60">
        <f t="shared" si="12"/>
        <v>67776</v>
      </c>
      <c r="V18" s="58">
        <f t="shared" si="13"/>
        <v>51674.664102586714</v>
      </c>
      <c r="W18" s="91">
        <f t="shared" si="14"/>
        <v>7629.3358974132789</v>
      </c>
      <c r="X18" s="59">
        <f t="shared" si="15"/>
        <v>59303.999999999993</v>
      </c>
      <c r="Y18" s="57">
        <f t="shared" si="16"/>
        <v>44292.569230788613</v>
      </c>
      <c r="Z18" s="91">
        <f t="shared" si="17"/>
        <v>6539.4307692113825</v>
      </c>
      <c r="AA18" s="59">
        <f t="shared" si="18"/>
        <v>50831.999999999993</v>
      </c>
      <c r="AB18" s="381"/>
    </row>
    <row r="19" spans="1:35" ht="13.5" customHeight="1">
      <c r="A19" s="327">
        <v>148</v>
      </c>
      <c r="B19" s="40">
        <v>40422</v>
      </c>
      <c r="C19" s="61">
        <f>VLOOKUP(B19,'base(indices)'!$A$4:$C$183,3,FALSE)*1.25</f>
        <v>637.5</v>
      </c>
      <c r="D19" s="192">
        <f>'base(indices)'!G12</f>
        <v>1.9489342199999999</v>
      </c>
      <c r="E19" s="63">
        <f t="shared" si="19"/>
        <v>1242.4455652500001</v>
      </c>
      <c r="F19" s="82">
        <f>'base(indices)'!$I$147</f>
        <v>0.29920000000000002</v>
      </c>
      <c r="G19" s="63">
        <f t="shared" si="0"/>
        <v>371.73971312280003</v>
      </c>
      <c r="H19" s="268">
        <f t="shared" si="1"/>
        <v>1614.1852783728</v>
      </c>
      <c r="I19" s="360">
        <f t="shared" si="20"/>
        <v>317602.59913510323</v>
      </c>
      <c r="J19" s="45">
        <f>IF((I19-H$21+(H$21/12*4))+K19-(H19/2)&gt;$I$197,$I$197-K19,(I19-H$21+(H$21/12*4)-(H19/2)))</f>
        <v>73820.948717981024</v>
      </c>
      <c r="K19" s="108">
        <f t="shared" si="2"/>
        <v>10899.051282018971</v>
      </c>
      <c r="L19" s="46">
        <f t="shared" si="3"/>
        <v>84720</v>
      </c>
      <c r="M19" s="43">
        <f t="shared" si="4"/>
        <v>70129.901282081963</v>
      </c>
      <c r="N19" s="108">
        <f t="shared" si="5"/>
        <v>10354.098717918021</v>
      </c>
      <c r="O19" s="47">
        <f t="shared" si="6"/>
        <v>80483.999999999985</v>
      </c>
      <c r="P19" s="119">
        <f t="shared" si="7"/>
        <v>66438.85384618293</v>
      </c>
      <c r="Q19" s="108">
        <f t="shared" si="8"/>
        <v>9809.1461538170734</v>
      </c>
      <c r="R19" s="46">
        <f t="shared" si="9"/>
        <v>76248</v>
      </c>
      <c r="S19" s="43">
        <f t="shared" si="10"/>
        <v>59056.758974384822</v>
      </c>
      <c r="T19" s="108">
        <f t="shared" si="11"/>
        <v>8719.2410256151761</v>
      </c>
      <c r="U19" s="47">
        <f t="shared" si="12"/>
        <v>67776</v>
      </c>
      <c r="V19" s="45">
        <f t="shared" si="13"/>
        <v>51674.664102586714</v>
      </c>
      <c r="W19" s="108">
        <f t="shared" si="14"/>
        <v>7629.3358974132789</v>
      </c>
      <c r="X19" s="46">
        <f t="shared" si="15"/>
        <v>59303.999999999993</v>
      </c>
      <c r="Y19" s="43">
        <f t="shared" si="16"/>
        <v>44292.569230788613</v>
      </c>
      <c r="Z19" s="108">
        <f t="shared" si="17"/>
        <v>6539.4307692113825</v>
      </c>
      <c r="AA19" s="46">
        <f t="shared" si="18"/>
        <v>50831.999999999993</v>
      </c>
      <c r="AB19" s="380"/>
    </row>
    <row r="20" spans="1:35" ht="13.5" customHeight="1">
      <c r="A20" s="327">
        <v>147</v>
      </c>
      <c r="B20" s="50">
        <v>40452</v>
      </c>
      <c r="C20" s="61">
        <f>VLOOKUP(B20,'base(indices)'!$A$4:$C$183,3,FALSE)*1.25</f>
        <v>637.5</v>
      </c>
      <c r="D20" s="192">
        <f>'base(indices)'!G13</f>
        <v>1.94291119</v>
      </c>
      <c r="E20" s="54">
        <f t="shared" si="19"/>
        <v>1238.6058836249999</v>
      </c>
      <c r="F20" s="82">
        <f>'base(indices)'!$I$147</f>
        <v>0.29920000000000002</v>
      </c>
      <c r="G20" s="54">
        <f t="shared" si="0"/>
        <v>370.59088038060003</v>
      </c>
      <c r="H20" s="267">
        <f t="shared" si="1"/>
        <v>1609.1967640056</v>
      </c>
      <c r="I20" s="359">
        <f t="shared" si="20"/>
        <v>315988.41385673045</v>
      </c>
      <c r="J20" s="58">
        <f>IF((I20-H$21+(H$21/12*3))+K20-(H20/2)&gt;$I$197,$I$197-K20,(I20-H$21+(H$21/12*3)-(H20/2)))</f>
        <v>73820.948717981024</v>
      </c>
      <c r="K20" s="91">
        <f t="shared" si="2"/>
        <v>10899.051282018971</v>
      </c>
      <c r="L20" s="284">
        <f t="shared" si="3"/>
        <v>84720</v>
      </c>
      <c r="M20" s="57">
        <f t="shared" si="4"/>
        <v>70129.901282081963</v>
      </c>
      <c r="N20" s="91">
        <f t="shared" si="5"/>
        <v>10354.098717918021</v>
      </c>
      <c r="O20" s="60">
        <f t="shared" si="6"/>
        <v>80483.999999999985</v>
      </c>
      <c r="P20" s="58">
        <f t="shared" si="7"/>
        <v>66438.85384618293</v>
      </c>
      <c r="Q20" s="91">
        <f t="shared" si="8"/>
        <v>9809.1461538170734</v>
      </c>
      <c r="R20" s="59">
        <f t="shared" si="9"/>
        <v>76248</v>
      </c>
      <c r="S20" s="57">
        <f t="shared" si="10"/>
        <v>59056.758974384822</v>
      </c>
      <c r="T20" s="91">
        <f t="shared" si="11"/>
        <v>8719.2410256151761</v>
      </c>
      <c r="U20" s="60">
        <f t="shared" si="12"/>
        <v>67776</v>
      </c>
      <c r="V20" s="58">
        <f t="shared" si="13"/>
        <v>51674.664102586714</v>
      </c>
      <c r="W20" s="91">
        <f t="shared" si="14"/>
        <v>7629.3358974132789</v>
      </c>
      <c r="X20" s="59">
        <f t="shared" si="15"/>
        <v>59303.999999999993</v>
      </c>
      <c r="Y20" s="57">
        <f t="shared" si="16"/>
        <v>44292.569230788613</v>
      </c>
      <c r="Z20" s="91">
        <f t="shared" si="17"/>
        <v>6539.4307692113825</v>
      </c>
      <c r="AA20" s="59">
        <f t="shared" si="18"/>
        <v>50831.999999999993</v>
      </c>
      <c r="AB20" s="381"/>
    </row>
    <row r="21" spans="1:35" ht="13.5" customHeight="1">
      <c r="A21" s="327">
        <v>146</v>
      </c>
      <c r="B21" s="40">
        <v>40483</v>
      </c>
      <c r="C21" s="61">
        <f>VLOOKUP(B21,'base(indices)'!$A$4:$C$183,3,FALSE)*1.25</f>
        <v>637.5</v>
      </c>
      <c r="D21" s="192">
        <f>'base(indices)'!G14</f>
        <v>1.9309393699999999</v>
      </c>
      <c r="E21" s="63">
        <f t="shared" si="19"/>
        <v>1230.973848375</v>
      </c>
      <c r="F21" s="82">
        <f>'base(indices)'!$I$147</f>
        <v>0.29920000000000002</v>
      </c>
      <c r="G21" s="63">
        <f t="shared" si="0"/>
        <v>368.30737543380002</v>
      </c>
      <c r="H21" s="268">
        <f t="shared" si="1"/>
        <v>1599.2812238088</v>
      </c>
      <c r="I21" s="360">
        <f t="shared" si="20"/>
        <v>314379.21709272487</v>
      </c>
      <c r="J21" s="45">
        <f>IF((I21-H$21+(H$21/12*2))+K21-(H21/2)&gt;$I$197,$I$197-K21,(I21-H$21+(H$21/12*2)-(H21/2)))</f>
        <v>73820.948717981024</v>
      </c>
      <c r="K21" s="108">
        <f t="shared" si="2"/>
        <v>10899.051282018971</v>
      </c>
      <c r="L21" s="46">
        <f t="shared" si="3"/>
        <v>84720</v>
      </c>
      <c r="M21" s="43">
        <f t="shared" si="4"/>
        <v>70129.901282081963</v>
      </c>
      <c r="N21" s="108">
        <f t="shared" si="5"/>
        <v>10354.098717918021</v>
      </c>
      <c r="O21" s="47">
        <f t="shared" si="6"/>
        <v>80483.999999999985</v>
      </c>
      <c r="P21" s="119">
        <f t="shared" si="7"/>
        <v>66438.85384618293</v>
      </c>
      <c r="Q21" s="108">
        <f t="shared" si="8"/>
        <v>9809.1461538170734</v>
      </c>
      <c r="R21" s="46">
        <f t="shared" si="9"/>
        <v>76248</v>
      </c>
      <c r="S21" s="43">
        <f t="shared" si="10"/>
        <v>59056.758974384822</v>
      </c>
      <c r="T21" s="108">
        <f t="shared" si="11"/>
        <v>8719.2410256151761</v>
      </c>
      <c r="U21" s="47">
        <f t="shared" si="12"/>
        <v>67776</v>
      </c>
      <c r="V21" s="45">
        <f t="shared" si="13"/>
        <v>51674.664102586714</v>
      </c>
      <c r="W21" s="108">
        <f t="shared" si="14"/>
        <v>7629.3358974132789</v>
      </c>
      <c r="X21" s="46">
        <f t="shared" si="15"/>
        <v>59303.999999999993</v>
      </c>
      <c r="Y21" s="43">
        <f t="shared" si="16"/>
        <v>44292.569230788613</v>
      </c>
      <c r="Z21" s="108">
        <f t="shared" si="17"/>
        <v>6539.4307692113825</v>
      </c>
      <c r="AA21" s="46">
        <f t="shared" si="18"/>
        <v>50831.999999999993</v>
      </c>
      <c r="AB21" s="380"/>
    </row>
    <row r="22" spans="1:35" ht="13.5" customHeight="1" thickBot="1">
      <c r="A22" s="356">
        <v>145</v>
      </c>
      <c r="B22" s="300">
        <v>40513</v>
      </c>
      <c r="C22" s="69">
        <f>C21*2</f>
        <v>1275</v>
      </c>
      <c r="D22" s="335">
        <f>'base(indices)'!G15</f>
        <v>1.91447488</v>
      </c>
      <c r="E22" s="163">
        <f t="shared" si="19"/>
        <v>2440.9554720000001</v>
      </c>
      <c r="F22" s="304">
        <f>'base(indices)'!$I$147</f>
        <v>0.29920000000000002</v>
      </c>
      <c r="G22" s="163">
        <f t="shared" si="0"/>
        <v>730.33387722240013</v>
      </c>
      <c r="H22" s="355">
        <f t="shared" si="1"/>
        <v>3171.2893492224002</v>
      </c>
      <c r="I22" s="361">
        <f t="shared" si="20"/>
        <v>312779.93586891604</v>
      </c>
      <c r="J22" s="175">
        <f>IF((I22-H$21+(H$21/12*1))+K22-(H22/4)&gt;$I$197,$I$197-K22,(I22-H$21+(H$21/12*1)-(H22/4)))</f>
        <v>73820.948717981024</v>
      </c>
      <c r="K22" s="202">
        <f t="shared" si="2"/>
        <v>10899.051282018971</v>
      </c>
      <c r="L22" s="286">
        <f t="shared" si="3"/>
        <v>84720</v>
      </c>
      <c r="M22" s="282">
        <f t="shared" si="4"/>
        <v>70129.901282081963</v>
      </c>
      <c r="N22" s="202">
        <f t="shared" si="5"/>
        <v>10354.098717918021</v>
      </c>
      <c r="O22" s="289">
        <f t="shared" si="6"/>
        <v>80483.999999999985</v>
      </c>
      <c r="P22" s="285">
        <f t="shared" si="7"/>
        <v>66438.85384618293</v>
      </c>
      <c r="Q22" s="202">
        <f t="shared" si="8"/>
        <v>9809.1461538170734</v>
      </c>
      <c r="R22" s="203">
        <f t="shared" si="9"/>
        <v>76248</v>
      </c>
      <c r="S22" s="282">
        <f t="shared" si="10"/>
        <v>59056.758974384822</v>
      </c>
      <c r="T22" s="202">
        <f t="shared" si="11"/>
        <v>8719.2410256151761</v>
      </c>
      <c r="U22" s="289">
        <f t="shared" si="12"/>
        <v>67776</v>
      </c>
      <c r="V22" s="285">
        <f t="shared" si="13"/>
        <v>51674.664102586714</v>
      </c>
      <c r="W22" s="202">
        <f t="shared" si="14"/>
        <v>7629.3358974132789</v>
      </c>
      <c r="X22" s="203">
        <f t="shared" si="15"/>
        <v>59303.999999999993</v>
      </c>
      <c r="Y22" s="282">
        <f t="shared" si="16"/>
        <v>44292.569230788613</v>
      </c>
      <c r="Z22" s="202">
        <f t="shared" si="17"/>
        <v>6539.4307692113825</v>
      </c>
      <c r="AA22" s="203">
        <f t="shared" si="18"/>
        <v>50831.999999999993</v>
      </c>
      <c r="AB22" s="381"/>
    </row>
    <row r="23" spans="1:35" ht="13.5" customHeight="1">
      <c r="A23" s="158">
        <v>156</v>
      </c>
      <c r="B23" s="246">
        <v>40544</v>
      </c>
      <c r="C23" s="273">
        <f>VLOOKUP(B23,'base(indices)'!$A$4:$C$183,3,FALSE)*1.25</f>
        <v>675</v>
      </c>
      <c r="D23" s="306">
        <f>'base(indices)'!G16</f>
        <v>1.90135553</v>
      </c>
      <c r="E23" s="154">
        <f t="shared" ref="E23:E28" si="21">C23*D23</f>
        <v>1283.41498275</v>
      </c>
      <c r="F23" s="264">
        <f>'base(indices)'!$I$147</f>
        <v>0.29920000000000002</v>
      </c>
      <c r="G23" s="154">
        <f t="shared" ref="G23:G28" si="22">E23*F23</f>
        <v>383.99776283880004</v>
      </c>
      <c r="H23" s="362">
        <f t="shared" ref="H23:H28" si="23">E23+G23</f>
        <v>1667.4127455888001</v>
      </c>
      <c r="I23" s="401">
        <f t="shared" si="20"/>
        <v>309608.64651969366</v>
      </c>
      <c r="J23" s="288">
        <f>IF((I23-H$33+(H$33))+K23-(H23/2)&gt;$I$197,$I$197-K23,(I23-H$33+(H$33)-(H23/2)))</f>
        <v>73820.948717981024</v>
      </c>
      <c r="K23" s="109">
        <f t="shared" ref="K23:K28" si="24">I$196</f>
        <v>10899.051282018971</v>
      </c>
      <c r="L23" s="109">
        <f t="shared" ref="L23:L28" si="25">J23+K23</f>
        <v>84720</v>
      </c>
      <c r="M23" s="109">
        <f t="shared" ref="M23:M28" si="26">J23*M$9</f>
        <v>70129.901282081963</v>
      </c>
      <c r="N23" s="109">
        <f t="shared" ref="N23:N28" si="27">K23*M$9</f>
        <v>10354.098717918021</v>
      </c>
      <c r="O23" s="109">
        <f t="shared" ref="O23:O28" si="28">M23+N23</f>
        <v>80483.999999999985</v>
      </c>
      <c r="P23" s="90">
        <f t="shared" ref="P23:P28" si="29">J23*$P$9</f>
        <v>66438.85384618293</v>
      </c>
      <c r="Q23" s="109">
        <f t="shared" ref="Q23:Q28" si="30">K23*P$9</f>
        <v>9809.1461538170734</v>
      </c>
      <c r="R23" s="109">
        <f t="shared" ref="R23:R28" si="31">P23+Q23</f>
        <v>76248</v>
      </c>
      <c r="S23" s="109">
        <f t="shared" ref="S23:S28" si="32">J23*S$9</f>
        <v>59056.758974384822</v>
      </c>
      <c r="T23" s="109">
        <f t="shared" ref="T23:T28" si="33">K23*S$9</f>
        <v>8719.2410256151761</v>
      </c>
      <c r="U23" s="109">
        <f t="shared" ref="U23:U28" si="34">S23+T23</f>
        <v>67776</v>
      </c>
      <c r="V23" s="109">
        <f t="shared" ref="V23:V28" si="35">J23*V$9</f>
        <v>51674.664102586714</v>
      </c>
      <c r="W23" s="109">
        <f t="shared" ref="W23:W28" si="36">K23*V$9</f>
        <v>7629.3358974132789</v>
      </c>
      <c r="X23" s="109">
        <f t="shared" ref="X23:X28" si="37">V23+W23</f>
        <v>59303.999999999993</v>
      </c>
      <c r="Y23" s="109">
        <f t="shared" ref="Y23:Y28" si="38">J23*Y$9</f>
        <v>44292.569230788613</v>
      </c>
      <c r="Z23" s="109">
        <f t="shared" ref="Z23:Z28" si="39">K23*Y$9</f>
        <v>6539.4307692113825</v>
      </c>
      <c r="AA23" s="49">
        <f t="shared" ref="AA23:AA28" si="40">Y23+Z23</f>
        <v>50831.999999999993</v>
      </c>
      <c r="AB23" s="16"/>
      <c r="AC23" s="16"/>
      <c r="AD23" s="16"/>
      <c r="AE23" s="16"/>
      <c r="AF23" s="16"/>
      <c r="AG23" s="17"/>
      <c r="AH23" s="16"/>
      <c r="AI23" s="16"/>
    </row>
    <row r="24" spans="1:35" ht="13.5" customHeight="1">
      <c r="A24" s="105">
        <v>155</v>
      </c>
      <c r="B24" s="50">
        <v>40575</v>
      </c>
      <c r="C24" s="61">
        <f>VLOOKUP(B24,'base(indices)'!$A$4:$C$183,3,FALSE)*1.25</f>
        <v>675</v>
      </c>
      <c r="D24" s="343">
        <f>'base(indices)'!G17</f>
        <v>1.88701422</v>
      </c>
      <c r="E24" s="54">
        <f t="shared" si="21"/>
        <v>1273.7345984999999</v>
      </c>
      <c r="F24" s="307">
        <f>'base(indices)'!$I$147</f>
        <v>0.29920000000000002</v>
      </c>
      <c r="G24" s="54">
        <f t="shared" si="22"/>
        <v>381.10139187120001</v>
      </c>
      <c r="H24" s="267">
        <f t="shared" si="23"/>
        <v>1654.8359903711998</v>
      </c>
      <c r="I24" s="384">
        <f t="shared" si="20"/>
        <v>307941.23377410485</v>
      </c>
      <c r="J24" s="58">
        <f>IF((I24-H$33+(H$33/12*11))+K24-(H24/2)&gt;$I$197,$I$197-K24,(I24-H$33+(H$33/12*11)-(H24/2)))</f>
        <v>73820.948717981024</v>
      </c>
      <c r="K24" s="91">
        <f t="shared" si="24"/>
        <v>10899.051282018971</v>
      </c>
      <c r="L24" s="92">
        <f t="shared" si="25"/>
        <v>84720</v>
      </c>
      <c r="M24" s="91">
        <f t="shared" si="26"/>
        <v>70129.901282081963</v>
      </c>
      <c r="N24" s="91">
        <f t="shared" si="27"/>
        <v>10354.098717918021</v>
      </c>
      <c r="O24" s="91">
        <f t="shared" si="28"/>
        <v>80483.999999999985</v>
      </c>
      <c r="P24" s="91">
        <f t="shared" si="29"/>
        <v>66438.85384618293</v>
      </c>
      <c r="Q24" s="91">
        <f t="shared" si="30"/>
        <v>9809.1461538170734</v>
      </c>
      <c r="R24" s="91">
        <f t="shared" si="31"/>
        <v>76248</v>
      </c>
      <c r="S24" s="91">
        <f t="shared" si="32"/>
        <v>59056.758974384822</v>
      </c>
      <c r="T24" s="91">
        <f t="shared" si="33"/>
        <v>8719.2410256151761</v>
      </c>
      <c r="U24" s="91">
        <f t="shared" si="34"/>
        <v>67776</v>
      </c>
      <c r="V24" s="91">
        <f t="shared" si="35"/>
        <v>51674.664102586714</v>
      </c>
      <c r="W24" s="91">
        <f t="shared" si="36"/>
        <v>7629.3358974132789</v>
      </c>
      <c r="X24" s="91">
        <f t="shared" si="37"/>
        <v>59303.999999999993</v>
      </c>
      <c r="Y24" s="91">
        <f t="shared" si="38"/>
        <v>44292.569230788613</v>
      </c>
      <c r="Z24" s="91">
        <f t="shared" si="39"/>
        <v>6539.4307692113825</v>
      </c>
      <c r="AA24" s="59">
        <f t="shared" si="40"/>
        <v>50831.999999999993</v>
      </c>
      <c r="AB24" s="16"/>
      <c r="AC24" s="16"/>
      <c r="AD24" s="16"/>
      <c r="AE24" s="16"/>
      <c r="AF24" s="16"/>
      <c r="AG24" s="17"/>
      <c r="AH24" s="16"/>
      <c r="AI24" s="16"/>
    </row>
    <row r="25" spans="1:35" ht="13.5" customHeight="1">
      <c r="A25" s="105">
        <v>154</v>
      </c>
      <c r="B25" s="40">
        <v>40603</v>
      </c>
      <c r="C25" s="61">
        <f>VLOOKUP(B25,'base(indices)'!$A$4:$C$183,3,FALSE)*1.25</f>
        <v>681.25</v>
      </c>
      <c r="D25" s="343">
        <f>'base(indices)'!G18</f>
        <v>1.8688860300000001</v>
      </c>
      <c r="E25" s="63">
        <f t="shared" si="21"/>
        <v>1273.1786079375001</v>
      </c>
      <c r="F25" s="307">
        <f>'base(indices)'!$I$147</f>
        <v>0.29920000000000002</v>
      </c>
      <c r="G25" s="63">
        <f t="shared" si="22"/>
        <v>380.93503949490008</v>
      </c>
      <c r="H25" s="268">
        <f t="shared" si="23"/>
        <v>1654.1136474324003</v>
      </c>
      <c r="I25" s="360">
        <f t="shared" si="20"/>
        <v>306286.39778373367</v>
      </c>
      <c r="J25" s="45">
        <f>IF((I25-H$33+(H$33/12*10))+K25-(H25/2)&gt;$I$197,$I$197-K25,(I25-H$33+(H$33/12*10)-(H25/2)))</f>
        <v>73820.948717981024</v>
      </c>
      <c r="K25" s="108">
        <f t="shared" si="24"/>
        <v>10899.051282018971</v>
      </c>
      <c r="L25" s="108">
        <f t="shared" si="25"/>
        <v>84720</v>
      </c>
      <c r="M25" s="108">
        <f t="shared" si="26"/>
        <v>70129.901282081963</v>
      </c>
      <c r="N25" s="108">
        <f t="shared" si="27"/>
        <v>10354.098717918021</v>
      </c>
      <c r="O25" s="108">
        <f t="shared" si="28"/>
        <v>80483.999999999985</v>
      </c>
      <c r="P25" s="93">
        <f t="shared" si="29"/>
        <v>66438.85384618293</v>
      </c>
      <c r="Q25" s="108">
        <f t="shared" si="30"/>
        <v>9809.1461538170734</v>
      </c>
      <c r="R25" s="108">
        <f t="shared" si="31"/>
        <v>76248</v>
      </c>
      <c r="S25" s="108">
        <f t="shared" si="32"/>
        <v>59056.758974384822</v>
      </c>
      <c r="T25" s="108">
        <f t="shared" si="33"/>
        <v>8719.2410256151761</v>
      </c>
      <c r="U25" s="108">
        <f t="shared" si="34"/>
        <v>67776</v>
      </c>
      <c r="V25" s="108">
        <f t="shared" si="35"/>
        <v>51674.664102586714</v>
      </c>
      <c r="W25" s="108">
        <f t="shared" si="36"/>
        <v>7629.3358974132789</v>
      </c>
      <c r="X25" s="108">
        <f t="shared" si="37"/>
        <v>59303.999999999993</v>
      </c>
      <c r="Y25" s="108">
        <f t="shared" si="38"/>
        <v>44292.569230788613</v>
      </c>
      <c r="Z25" s="108">
        <f t="shared" si="39"/>
        <v>6539.4307692113825</v>
      </c>
      <c r="AA25" s="46">
        <f t="shared" si="40"/>
        <v>50831.999999999993</v>
      </c>
      <c r="AB25" s="16"/>
      <c r="AC25" s="16"/>
      <c r="AD25" s="16"/>
      <c r="AE25" s="16"/>
      <c r="AF25" s="16"/>
      <c r="AG25" s="17"/>
      <c r="AH25" s="16"/>
      <c r="AI25" s="16"/>
    </row>
    <row r="26" spans="1:35" ht="13.5" customHeight="1">
      <c r="A26" s="105">
        <v>153</v>
      </c>
      <c r="B26" s="50">
        <v>40634</v>
      </c>
      <c r="C26" s="61">
        <f>VLOOKUP(B26,'base(indices)'!$A$4:$C$183,3,FALSE)*1.25</f>
        <v>681.25</v>
      </c>
      <c r="D26" s="343">
        <f>'base(indices)'!G19</f>
        <v>1.85773959</v>
      </c>
      <c r="E26" s="54">
        <f t="shared" si="21"/>
        <v>1265.5850956874999</v>
      </c>
      <c r="F26" s="307">
        <f>'base(indices)'!$I$147</f>
        <v>0.29920000000000002</v>
      </c>
      <c r="G26" s="54">
        <f t="shared" si="22"/>
        <v>378.6630606297</v>
      </c>
      <c r="H26" s="267">
        <f t="shared" si="23"/>
        <v>1644.2481563172</v>
      </c>
      <c r="I26" s="384">
        <f t="shared" si="20"/>
        <v>304632.28413630126</v>
      </c>
      <c r="J26" s="58">
        <f>IF((I26-H$33+(H$33/12*9))+K26-(H26/2)&gt;$I$197,$I$197-K26,(I26-H$33+(H$33/12*9)-(H26/2)))</f>
        <v>73820.948717981024</v>
      </c>
      <c r="K26" s="91">
        <f t="shared" si="24"/>
        <v>10899.051282018971</v>
      </c>
      <c r="L26" s="92">
        <f t="shared" si="25"/>
        <v>84720</v>
      </c>
      <c r="M26" s="91">
        <f t="shared" si="26"/>
        <v>70129.901282081963</v>
      </c>
      <c r="N26" s="91">
        <f t="shared" si="27"/>
        <v>10354.098717918021</v>
      </c>
      <c r="O26" s="91">
        <f t="shared" si="28"/>
        <v>80483.999999999985</v>
      </c>
      <c r="P26" s="91">
        <f t="shared" si="29"/>
        <v>66438.85384618293</v>
      </c>
      <c r="Q26" s="91">
        <f t="shared" si="30"/>
        <v>9809.1461538170734</v>
      </c>
      <c r="R26" s="91">
        <f t="shared" si="31"/>
        <v>76248</v>
      </c>
      <c r="S26" s="91">
        <f t="shared" si="32"/>
        <v>59056.758974384822</v>
      </c>
      <c r="T26" s="91">
        <f t="shared" si="33"/>
        <v>8719.2410256151761</v>
      </c>
      <c r="U26" s="91">
        <f t="shared" si="34"/>
        <v>67776</v>
      </c>
      <c r="V26" s="91">
        <f t="shared" si="35"/>
        <v>51674.664102586714</v>
      </c>
      <c r="W26" s="91">
        <f t="shared" si="36"/>
        <v>7629.3358974132789</v>
      </c>
      <c r="X26" s="91">
        <f t="shared" si="37"/>
        <v>59303.999999999993</v>
      </c>
      <c r="Y26" s="91">
        <f t="shared" si="38"/>
        <v>44292.569230788613</v>
      </c>
      <c r="Z26" s="91">
        <f t="shared" si="39"/>
        <v>6539.4307692113825</v>
      </c>
      <c r="AA26" s="59">
        <f t="shared" si="40"/>
        <v>50831.999999999993</v>
      </c>
      <c r="AB26" s="16"/>
      <c r="AC26" s="16"/>
      <c r="AD26" s="16"/>
      <c r="AE26" s="16"/>
      <c r="AF26" s="16"/>
      <c r="AG26" s="17"/>
      <c r="AH26" s="16"/>
      <c r="AI26" s="16"/>
    </row>
    <row r="27" spans="1:35" ht="13.5" customHeight="1">
      <c r="A27" s="105">
        <v>152</v>
      </c>
      <c r="B27" s="40">
        <v>40664</v>
      </c>
      <c r="C27" s="61">
        <f>VLOOKUP(B27,'base(indices)'!$A$4:$C$183,3,FALSE)*1.25</f>
        <v>681.25</v>
      </c>
      <c r="D27" s="343">
        <f>'base(indices)'!G20</f>
        <v>1.8435443</v>
      </c>
      <c r="E27" s="63">
        <f t="shared" si="21"/>
        <v>1255.9145543750001</v>
      </c>
      <c r="F27" s="307">
        <f>'base(indices)'!$I$147</f>
        <v>0.29920000000000002</v>
      </c>
      <c r="G27" s="63">
        <f t="shared" si="22"/>
        <v>375.76963466900003</v>
      </c>
      <c r="H27" s="268">
        <f t="shared" si="23"/>
        <v>1631.684189044</v>
      </c>
      <c r="I27" s="360">
        <f t="shared" si="20"/>
        <v>302988.03597998404</v>
      </c>
      <c r="J27" s="45">
        <f>IF((I27-H$33+(H$33/12*8))+K27-(H27/2)&gt;$I$197,$I$197-K27,(I27-H$33+(H$33/12*8)-(H27/2)))</f>
        <v>73820.948717981024</v>
      </c>
      <c r="K27" s="108">
        <f t="shared" si="24"/>
        <v>10899.051282018971</v>
      </c>
      <c r="L27" s="108">
        <f t="shared" si="25"/>
        <v>84720</v>
      </c>
      <c r="M27" s="108">
        <f t="shared" si="26"/>
        <v>70129.901282081963</v>
      </c>
      <c r="N27" s="108">
        <f t="shared" si="27"/>
        <v>10354.098717918021</v>
      </c>
      <c r="O27" s="108">
        <f t="shared" si="28"/>
        <v>80483.999999999985</v>
      </c>
      <c r="P27" s="93">
        <f t="shared" si="29"/>
        <v>66438.85384618293</v>
      </c>
      <c r="Q27" s="108">
        <f t="shared" si="30"/>
        <v>9809.1461538170734</v>
      </c>
      <c r="R27" s="108">
        <f t="shared" si="31"/>
        <v>76248</v>
      </c>
      <c r="S27" s="108">
        <f t="shared" si="32"/>
        <v>59056.758974384822</v>
      </c>
      <c r="T27" s="108">
        <f t="shared" si="33"/>
        <v>8719.2410256151761</v>
      </c>
      <c r="U27" s="108">
        <f t="shared" si="34"/>
        <v>67776</v>
      </c>
      <c r="V27" s="108">
        <f t="shared" si="35"/>
        <v>51674.664102586714</v>
      </c>
      <c r="W27" s="108">
        <f t="shared" si="36"/>
        <v>7629.3358974132789</v>
      </c>
      <c r="X27" s="108">
        <f t="shared" si="37"/>
        <v>59303.999999999993</v>
      </c>
      <c r="Y27" s="108">
        <f t="shared" si="38"/>
        <v>44292.569230788613</v>
      </c>
      <c r="Z27" s="108">
        <f t="shared" si="39"/>
        <v>6539.4307692113825</v>
      </c>
      <c r="AA27" s="46">
        <f t="shared" si="40"/>
        <v>50831.999999999993</v>
      </c>
      <c r="AB27" s="16"/>
      <c r="AC27" s="16"/>
      <c r="AD27" s="16"/>
      <c r="AE27" s="16"/>
      <c r="AF27" s="16"/>
      <c r="AG27" s="17"/>
      <c r="AH27" s="16"/>
      <c r="AI27" s="16"/>
    </row>
    <row r="28" spans="1:35" ht="13.5" customHeight="1">
      <c r="A28" s="105">
        <v>151</v>
      </c>
      <c r="B28" s="50">
        <v>40695</v>
      </c>
      <c r="C28" s="61">
        <f>VLOOKUP(B28,'base(indices)'!$A$4:$C$183,3,FALSE)*1.25</f>
        <v>681.25</v>
      </c>
      <c r="D28" s="343">
        <f>'base(indices)'!G21</f>
        <v>1.8307291999999999</v>
      </c>
      <c r="E28" s="54">
        <f t="shared" si="21"/>
        <v>1247.1842675</v>
      </c>
      <c r="F28" s="307">
        <f>'base(indices)'!$I$147</f>
        <v>0.29920000000000002</v>
      </c>
      <c r="G28" s="54">
        <f t="shared" si="22"/>
        <v>373.15753283600003</v>
      </c>
      <c r="H28" s="267">
        <f t="shared" si="23"/>
        <v>1620.341800336</v>
      </c>
      <c r="I28" s="384">
        <f t="shared" si="20"/>
        <v>301356.35179094004</v>
      </c>
      <c r="J28" s="58">
        <f>IF((I28-H$33+(H$33/12*7))+K28-(H28/2)&gt;$I$197,$I$197-K28,(I28-H$33+(H$33/12*7)-(H28/2)))</f>
        <v>73820.948717981024</v>
      </c>
      <c r="K28" s="91">
        <f t="shared" si="24"/>
        <v>10899.051282018971</v>
      </c>
      <c r="L28" s="92">
        <f t="shared" si="25"/>
        <v>84720</v>
      </c>
      <c r="M28" s="91">
        <f t="shared" si="26"/>
        <v>70129.901282081963</v>
      </c>
      <c r="N28" s="91">
        <f t="shared" si="27"/>
        <v>10354.098717918021</v>
      </c>
      <c r="O28" s="91">
        <f t="shared" si="28"/>
        <v>80483.999999999985</v>
      </c>
      <c r="P28" s="91">
        <f t="shared" si="29"/>
        <v>66438.85384618293</v>
      </c>
      <c r="Q28" s="91">
        <f t="shared" si="30"/>
        <v>9809.1461538170734</v>
      </c>
      <c r="R28" s="91">
        <f t="shared" si="31"/>
        <v>76248</v>
      </c>
      <c r="S28" s="91">
        <f t="shared" si="32"/>
        <v>59056.758974384822</v>
      </c>
      <c r="T28" s="91">
        <f t="shared" si="33"/>
        <v>8719.2410256151761</v>
      </c>
      <c r="U28" s="91">
        <f t="shared" si="34"/>
        <v>67776</v>
      </c>
      <c r="V28" s="91">
        <f t="shared" si="35"/>
        <v>51674.664102586714</v>
      </c>
      <c r="W28" s="91">
        <f t="shared" si="36"/>
        <v>7629.3358974132789</v>
      </c>
      <c r="X28" s="91">
        <f t="shared" si="37"/>
        <v>59303.999999999993</v>
      </c>
      <c r="Y28" s="91">
        <f t="shared" si="38"/>
        <v>44292.569230788613</v>
      </c>
      <c r="Z28" s="91">
        <f t="shared" si="39"/>
        <v>6539.4307692113825</v>
      </c>
      <c r="AA28" s="59">
        <f t="shared" si="40"/>
        <v>50831.999999999993</v>
      </c>
      <c r="AB28" s="16"/>
      <c r="AC28" s="16"/>
      <c r="AD28" s="16"/>
      <c r="AE28" s="16"/>
      <c r="AF28" s="16"/>
      <c r="AG28" s="17"/>
      <c r="AH28" s="16"/>
      <c r="AI28" s="16"/>
    </row>
    <row r="29" spans="1:35" ht="13.5" customHeight="1">
      <c r="A29" s="105">
        <v>150</v>
      </c>
      <c r="B29" s="40">
        <v>40725</v>
      </c>
      <c r="C29" s="61">
        <f>VLOOKUP(B29,'base(indices)'!$A$4:$C$183,3,FALSE)*1.25</f>
        <v>681.25</v>
      </c>
      <c r="D29" s="343">
        <f>'base(indices)'!G22</f>
        <v>1.8265281799999999</v>
      </c>
      <c r="E29" s="63">
        <f t="shared" ref="E29:E35" si="41">C29*D29</f>
        <v>1244.322322625</v>
      </c>
      <c r="F29" s="307">
        <f>'base(indices)'!$I$147</f>
        <v>0.29920000000000002</v>
      </c>
      <c r="G29" s="63">
        <f t="shared" ref="G29:G35" si="42">E29*F29</f>
        <v>372.30123892940003</v>
      </c>
      <c r="H29" s="268">
        <f t="shared" ref="H29:H35" si="43">E29+G29</f>
        <v>1616.6235615544001</v>
      </c>
      <c r="I29" s="360">
        <f t="shared" si="20"/>
        <v>299736.00999060401</v>
      </c>
      <c r="J29" s="45">
        <f>IF((I29-H$33+(H$33/12*6))+K29-(H29/2)&gt;$I$197,$I$197-K29,(I29-H$33+(H$33/12*6)-(H29/2)))</f>
        <v>73820.948717981024</v>
      </c>
      <c r="K29" s="108">
        <f t="shared" ref="K29:K35" si="44">I$196</f>
        <v>10899.051282018971</v>
      </c>
      <c r="L29" s="108">
        <f t="shared" ref="L29:L35" si="45">J29+K29</f>
        <v>84720</v>
      </c>
      <c r="M29" s="108">
        <f t="shared" ref="M29:M35" si="46">J29*M$9</f>
        <v>70129.901282081963</v>
      </c>
      <c r="N29" s="108">
        <f t="shared" ref="N29:N35" si="47">K29*M$9</f>
        <v>10354.098717918021</v>
      </c>
      <c r="O29" s="108">
        <f t="shared" ref="O29:O35" si="48">M29+N29</f>
        <v>80483.999999999985</v>
      </c>
      <c r="P29" s="93">
        <f t="shared" ref="P29:P35" si="49">J29*$P$9</f>
        <v>66438.85384618293</v>
      </c>
      <c r="Q29" s="108">
        <f t="shared" ref="Q29:Q35" si="50">K29*P$9</f>
        <v>9809.1461538170734</v>
      </c>
      <c r="R29" s="108">
        <f t="shared" ref="R29:R35" si="51">P29+Q29</f>
        <v>76248</v>
      </c>
      <c r="S29" s="108">
        <f t="shared" ref="S29:S35" si="52">J29*S$9</f>
        <v>59056.758974384822</v>
      </c>
      <c r="T29" s="108">
        <f t="shared" ref="T29:T35" si="53">K29*S$9</f>
        <v>8719.2410256151761</v>
      </c>
      <c r="U29" s="108">
        <f t="shared" ref="U29:U35" si="54">S29+T29</f>
        <v>67776</v>
      </c>
      <c r="V29" s="108">
        <f t="shared" ref="V29:V35" si="55">J29*V$9</f>
        <v>51674.664102586714</v>
      </c>
      <c r="W29" s="108">
        <f t="shared" ref="W29:W35" si="56">K29*V$9</f>
        <v>7629.3358974132789</v>
      </c>
      <c r="X29" s="108">
        <f t="shared" ref="X29:X35" si="57">V29+W29</f>
        <v>59303.999999999993</v>
      </c>
      <c r="Y29" s="108">
        <f t="shared" ref="Y29:Y35" si="58">J29*Y$9</f>
        <v>44292.569230788613</v>
      </c>
      <c r="Z29" s="108">
        <f t="shared" ref="Z29:Z35" si="59">K29*Y$9</f>
        <v>6539.4307692113825</v>
      </c>
      <c r="AA29" s="46">
        <f t="shared" ref="AA29:AA35" si="60">Y29+Z29</f>
        <v>50831.999999999993</v>
      </c>
      <c r="AB29" s="16"/>
      <c r="AC29" s="16"/>
      <c r="AD29" s="16"/>
      <c r="AE29" s="16"/>
      <c r="AF29" s="16"/>
      <c r="AG29" s="17"/>
      <c r="AH29" s="16"/>
      <c r="AI29" s="16"/>
    </row>
    <row r="30" spans="1:35" ht="13.5" customHeight="1">
      <c r="A30" s="105">
        <v>149</v>
      </c>
      <c r="B30" s="50">
        <v>40756</v>
      </c>
      <c r="C30" s="61">
        <f>VLOOKUP(B30,'base(indices)'!$A$4:$C$183,3,FALSE)*1.25</f>
        <v>681.25</v>
      </c>
      <c r="D30" s="343">
        <f>'base(indices)'!G23</f>
        <v>1.8247034799999999</v>
      </c>
      <c r="E30" s="54">
        <f t="shared" si="41"/>
        <v>1243.0792457499999</v>
      </c>
      <c r="F30" s="307">
        <f>'base(indices)'!$I$147</f>
        <v>0.29920000000000002</v>
      </c>
      <c r="G30" s="54">
        <f t="shared" si="42"/>
        <v>371.92931032839999</v>
      </c>
      <c r="H30" s="267">
        <f t="shared" si="43"/>
        <v>1615.0085560784</v>
      </c>
      <c r="I30" s="384">
        <f t="shared" si="20"/>
        <v>298119.3864290496</v>
      </c>
      <c r="J30" s="58">
        <f>IF((I30-H$33+(H$33/12*5))+K30-(H30/2)&gt;$I$197,$I$197-K30,(I30-H$33+(H$33/12*5)-(H30/2)))</f>
        <v>73820.948717981024</v>
      </c>
      <c r="K30" s="91">
        <f t="shared" si="44"/>
        <v>10899.051282018971</v>
      </c>
      <c r="L30" s="92">
        <f t="shared" si="45"/>
        <v>84720</v>
      </c>
      <c r="M30" s="91">
        <f t="shared" si="46"/>
        <v>70129.901282081963</v>
      </c>
      <c r="N30" s="91">
        <f t="shared" si="47"/>
        <v>10354.098717918021</v>
      </c>
      <c r="O30" s="91">
        <f t="shared" si="48"/>
        <v>80483.999999999985</v>
      </c>
      <c r="P30" s="91">
        <f t="shared" si="49"/>
        <v>66438.85384618293</v>
      </c>
      <c r="Q30" s="91">
        <f t="shared" si="50"/>
        <v>9809.1461538170734</v>
      </c>
      <c r="R30" s="91">
        <f t="shared" si="51"/>
        <v>76248</v>
      </c>
      <c r="S30" s="91">
        <f t="shared" si="52"/>
        <v>59056.758974384822</v>
      </c>
      <c r="T30" s="91">
        <f t="shared" si="53"/>
        <v>8719.2410256151761</v>
      </c>
      <c r="U30" s="91">
        <f t="shared" si="54"/>
        <v>67776</v>
      </c>
      <c r="V30" s="91">
        <f t="shared" si="55"/>
        <v>51674.664102586714</v>
      </c>
      <c r="W30" s="91">
        <f t="shared" si="56"/>
        <v>7629.3358974132789</v>
      </c>
      <c r="X30" s="91">
        <f t="shared" si="57"/>
        <v>59303.999999999993</v>
      </c>
      <c r="Y30" s="91">
        <f t="shared" si="58"/>
        <v>44292.569230788613</v>
      </c>
      <c r="Z30" s="91">
        <f t="shared" si="59"/>
        <v>6539.4307692113825</v>
      </c>
      <c r="AA30" s="59">
        <f t="shared" si="60"/>
        <v>50831.999999999993</v>
      </c>
      <c r="AB30" s="16"/>
      <c r="AC30" s="16"/>
      <c r="AD30" s="16"/>
      <c r="AE30" s="16"/>
      <c r="AF30" s="16"/>
      <c r="AG30" s="17"/>
      <c r="AH30" s="16"/>
      <c r="AI30" s="16"/>
    </row>
    <row r="31" spans="1:35" ht="13.5" customHeight="1">
      <c r="A31" s="105">
        <v>148</v>
      </c>
      <c r="B31" s="40">
        <v>40787</v>
      </c>
      <c r="C31" s="61">
        <f>VLOOKUP(B31,'base(indices)'!$A$4:$C$183,3,FALSE)*1.25</f>
        <v>681.25</v>
      </c>
      <c r="D31" s="343">
        <f>'base(indices)'!G24</f>
        <v>1.81979004</v>
      </c>
      <c r="E31" s="63">
        <f t="shared" si="41"/>
        <v>1239.7319647500001</v>
      </c>
      <c r="F31" s="307">
        <f>'base(indices)'!$I$147</f>
        <v>0.29920000000000002</v>
      </c>
      <c r="G31" s="63">
        <f t="shared" si="42"/>
        <v>370.92780385320003</v>
      </c>
      <c r="H31" s="268">
        <f t="shared" si="43"/>
        <v>1610.6597686032001</v>
      </c>
      <c r="I31" s="360">
        <f t="shared" si="20"/>
        <v>296504.37787297118</v>
      </c>
      <c r="J31" s="45">
        <f>IF((I31-H$33+(H$33/12*4))+K31-(H31/2)&gt;$I$197,$I$197-K31,(I31-H$33+(H$33/12*4)-(H31/2)))</f>
        <v>73820.948717981024</v>
      </c>
      <c r="K31" s="108">
        <f t="shared" si="44"/>
        <v>10899.051282018971</v>
      </c>
      <c r="L31" s="108">
        <f t="shared" si="45"/>
        <v>84720</v>
      </c>
      <c r="M31" s="108">
        <f t="shared" si="46"/>
        <v>70129.901282081963</v>
      </c>
      <c r="N31" s="108">
        <f t="shared" si="47"/>
        <v>10354.098717918021</v>
      </c>
      <c r="O31" s="108">
        <f t="shared" si="48"/>
        <v>80483.999999999985</v>
      </c>
      <c r="P31" s="93">
        <f t="shared" si="49"/>
        <v>66438.85384618293</v>
      </c>
      <c r="Q31" s="108">
        <f t="shared" si="50"/>
        <v>9809.1461538170734</v>
      </c>
      <c r="R31" s="108">
        <f t="shared" si="51"/>
        <v>76248</v>
      </c>
      <c r="S31" s="108">
        <f t="shared" si="52"/>
        <v>59056.758974384822</v>
      </c>
      <c r="T31" s="108">
        <f t="shared" si="53"/>
        <v>8719.2410256151761</v>
      </c>
      <c r="U31" s="108">
        <f t="shared" si="54"/>
        <v>67776</v>
      </c>
      <c r="V31" s="108">
        <f t="shared" si="55"/>
        <v>51674.664102586714</v>
      </c>
      <c r="W31" s="108">
        <f t="shared" si="56"/>
        <v>7629.3358974132789</v>
      </c>
      <c r="X31" s="108">
        <f t="shared" si="57"/>
        <v>59303.999999999993</v>
      </c>
      <c r="Y31" s="108">
        <f t="shared" si="58"/>
        <v>44292.569230788613</v>
      </c>
      <c r="Z31" s="108">
        <f t="shared" si="59"/>
        <v>6539.4307692113825</v>
      </c>
      <c r="AA31" s="46">
        <f t="shared" si="60"/>
        <v>50831.999999999993</v>
      </c>
      <c r="AB31" s="16"/>
      <c r="AC31" s="16"/>
      <c r="AD31" s="16"/>
      <c r="AE31" s="16"/>
      <c r="AF31" s="16"/>
      <c r="AG31" s="17"/>
      <c r="AH31" s="16"/>
      <c r="AI31" s="16"/>
    </row>
    <row r="32" spans="1:35" ht="13.5" customHeight="1">
      <c r="A32" s="105">
        <v>147</v>
      </c>
      <c r="B32" s="50">
        <v>40817</v>
      </c>
      <c r="C32" s="61">
        <f>VLOOKUP(B32,'base(indices)'!$A$4:$C$183,3,FALSE)*1.25</f>
        <v>681.25</v>
      </c>
      <c r="D32" s="343">
        <f>'base(indices)'!G25</f>
        <v>1.8101960100000001</v>
      </c>
      <c r="E32" s="54">
        <f t="shared" si="41"/>
        <v>1233.1960318125</v>
      </c>
      <c r="F32" s="307">
        <f>'base(indices)'!$I$147</f>
        <v>0.29920000000000002</v>
      </c>
      <c r="G32" s="54">
        <f t="shared" si="42"/>
        <v>368.97225271830001</v>
      </c>
      <c r="H32" s="267">
        <f t="shared" si="43"/>
        <v>1602.1682845308001</v>
      </c>
      <c r="I32" s="384">
        <f t="shared" si="20"/>
        <v>294893.71810436796</v>
      </c>
      <c r="J32" s="58">
        <f>IF((I32-H$33+(H$33/12*3))+K32-(H32/2)&gt;$I$197,$I$197-K32,(I32-H$33+(H$33/12*3)-(H32/2)))</f>
        <v>73820.948717981024</v>
      </c>
      <c r="K32" s="91">
        <f t="shared" si="44"/>
        <v>10899.051282018971</v>
      </c>
      <c r="L32" s="92">
        <f t="shared" si="45"/>
        <v>84720</v>
      </c>
      <c r="M32" s="91">
        <f t="shared" si="46"/>
        <v>70129.901282081963</v>
      </c>
      <c r="N32" s="91">
        <f t="shared" si="47"/>
        <v>10354.098717918021</v>
      </c>
      <c r="O32" s="91">
        <f t="shared" si="48"/>
        <v>80483.999999999985</v>
      </c>
      <c r="P32" s="91">
        <f t="shared" si="49"/>
        <v>66438.85384618293</v>
      </c>
      <c r="Q32" s="91">
        <f t="shared" si="50"/>
        <v>9809.1461538170734</v>
      </c>
      <c r="R32" s="91">
        <f t="shared" si="51"/>
        <v>76248</v>
      </c>
      <c r="S32" s="91">
        <f t="shared" si="52"/>
        <v>59056.758974384822</v>
      </c>
      <c r="T32" s="91">
        <f t="shared" si="53"/>
        <v>8719.2410256151761</v>
      </c>
      <c r="U32" s="91">
        <f t="shared" si="54"/>
        <v>67776</v>
      </c>
      <c r="V32" s="91">
        <f t="shared" si="55"/>
        <v>51674.664102586714</v>
      </c>
      <c r="W32" s="91">
        <f t="shared" si="56"/>
        <v>7629.3358974132789</v>
      </c>
      <c r="X32" s="91">
        <f t="shared" si="57"/>
        <v>59303.999999999993</v>
      </c>
      <c r="Y32" s="91">
        <f t="shared" si="58"/>
        <v>44292.569230788613</v>
      </c>
      <c r="Z32" s="91">
        <f t="shared" si="59"/>
        <v>6539.4307692113825</v>
      </c>
      <c r="AA32" s="59">
        <f t="shared" si="60"/>
        <v>50831.999999999993</v>
      </c>
      <c r="AB32" s="16"/>
      <c r="AC32" s="16"/>
      <c r="AD32" s="16"/>
      <c r="AE32" s="16"/>
      <c r="AF32" s="16"/>
      <c r="AG32" s="17"/>
      <c r="AH32" s="16"/>
      <c r="AI32" s="16"/>
    </row>
    <row r="33" spans="1:35" ht="13.5" customHeight="1">
      <c r="A33" s="105">
        <v>146</v>
      </c>
      <c r="B33" s="40">
        <v>40848</v>
      </c>
      <c r="C33" s="61">
        <f>VLOOKUP(B33,'base(indices)'!$A$4:$C$183,3,FALSE)*1.25</f>
        <v>681.25</v>
      </c>
      <c r="D33" s="343">
        <f>'base(indices)'!G26</f>
        <v>1.80262498</v>
      </c>
      <c r="E33" s="63">
        <f t="shared" si="41"/>
        <v>1228.0382676250001</v>
      </c>
      <c r="F33" s="307">
        <f>'base(indices)'!$I$147</f>
        <v>0.29920000000000002</v>
      </c>
      <c r="G33" s="63">
        <f t="shared" si="42"/>
        <v>367.42904967340007</v>
      </c>
      <c r="H33" s="268">
        <f t="shared" si="43"/>
        <v>1595.4673172984003</v>
      </c>
      <c r="I33" s="360">
        <f t="shared" si="20"/>
        <v>293291.54981983715</v>
      </c>
      <c r="J33" s="45">
        <f>IF((I33-H$33+(H$33/12*2))+K33-(H33/2)&gt;$I$197,$I$197-K33,(I33-H$33+(H$33/12*2)-(H33/2)))</f>
        <v>73820.948717981024</v>
      </c>
      <c r="K33" s="108">
        <f t="shared" si="44"/>
        <v>10899.051282018971</v>
      </c>
      <c r="L33" s="108">
        <f t="shared" si="45"/>
        <v>84720</v>
      </c>
      <c r="M33" s="108">
        <f t="shared" si="46"/>
        <v>70129.901282081963</v>
      </c>
      <c r="N33" s="108">
        <f t="shared" si="47"/>
        <v>10354.098717918021</v>
      </c>
      <c r="O33" s="108">
        <f t="shared" si="48"/>
        <v>80483.999999999985</v>
      </c>
      <c r="P33" s="93">
        <f t="shared" si="49"/>
        <v>66438.85384618293</v>
      </c>
      <c r="Q33" s="108">
        <f t="shared" si="50"/>
        <v>9809.1461538170734</v>
      </c>
      <c r="R33" s="108">
        <f t="shared" si="51"/>
        <v>76248</v>
      </c>
      <c r="S33" s="108">
        <f t="shared" si="52"/>
        <v>59056.758974384822</v>
      </c>
      <c r="T33" s="108">
        <f t="shared" si="53"/>
        <v>8719.2410256151761</v>
      </c>
      <c r="U33" s="108">
        <f t="shared" si="54"/>
        <v>67776</v>
      </c>
      <c r="V33" s="108">
        <f t="shared" si="55"/>
        <v>51674.664102586714</v>
      </c>
      <c r="W33" s="108">
        <f t="shared" si="56"/>
        <v>7629.3358974132789</v>
      </c>
      <c r="X33" s="108">
        <f t="shared" si="57"/>
        <v>59303.999999999993</v>
      </c>
      <c r="Y33" s="108">
        <f t="shared" si="58"/>
        <v>44292.569230788613</v>
      </c>
      <c r="Z33" s="108">
        <f t="shared" si="59"/>
        <v>6539.4307692113825</v>
      </c>
      <c r="AA33" s="46">
        <f t="shared" si="60"/>
        <v>50831.999999999993</v>
      </c>
      <c r="AB33" s="16"/>
      <c r="AC33" s="16"/>
      <c r="AD33" s="16"/>
      <c r="AE33" s="16"/>
      <c r="AF33" s="16"/>
      <c r="AG33" s="17"/>
      <c r="AH33" s="16"/>
      <c r="AI33" s="16"/>
    </row>
    <row r="34" spans="1:35" ht="13.5" customHeight="1" thickBot="1">
      <c r="A34" s="161">
        <v>145</v>
      </c>
      <c r="B34" s="383">
        <v>40878</v>
      </c>
      <c r="C34" s="142">
        <f>C33*2</f>
        <v>1362.5</v>
      </c>
      <c r="D34" s="343">
        <f>'base(indices)'!G27</f>
        <v>1.7943708700000001</v>
      </c>
      <c r="E34" s="170">
        <f t="shared" si="41"/>
        <v>2444.830310375</v>
      </c>
      <c r="F34" s="307">
        <f>'base(indices)'!$I$147</f>
        <v>0.29920000000000002</v>
      </c>
      <c r="G34" s="170">
        <f t="shared" si="42"/>
        <v>731.49322886420009</v>
      </c>
      <c r="H34" s="368">
        <f t="shared" si="43"/>
        <v>3176.3235392391998</v>
      </c>
      <c r="I34" s="384">
        <f t="shared" si="20"/>
        <v>291696.08250253875</v>
      </c>
      <c r="J34" s="285">
        <f>IF((I34-H$33+(H$33/12*1))+K34-(H34/4)&gt;$I$197,$I$197-K34,(I34-H$33+(H$33/12*1)-(H34/4)))</f>
        <v>73820.948717981024</v>
      </c>
      <c r="K34" s="86">
        <f t="shared" si="44"/>
        <v>10899.051282018971</v>
      </c>
      <c r="L34" s="164">
        <f t="shared" si="45"/>
        <v>84720</v>
      </c>
      <c r="M34" s="86">
        <f t="shared" si="46"/>
        <v>70129.901282081963</v>
      </c>
      <c r="N34" s="86">
        <f t="shared" si="47"/>
        <v>10354.098717918021</v>
      </c>
      <c r="O34" s="86">
        <f t="shared" si="48"/>
        <v>80483.999999999985</v>
      </c>
      <c r="P34" s="86">
        <f t="shared" si="49"/>
        <v>66438.85384618293</v>
      </c>
      <c r="Q34" s="86">
        <f t="shared" si="50"/>
        <v>9809.1461538170734</v>
      </c>
      <c r="R34" s="86">
        <f t="shared" si="51"/>
        <v>76248</v>
      </c>
      <c r="S34" s="86">
        <f t="shared" si="52"/>
        <v>59056.758974384822</v>
      </c>
      <c r="T34" s="86">
        <f t="shared" si="53"/>
        <v>8719.2410256151761</v>
      </c>
      <c r="U34" s="86">
        <f t="shared" si="54"/>
        <v>67776</v>
      </c>
      <c r="V34" s="86">
        <f t="shared" si="55"/>
        <v>51674.664102586714</v>
      </c>
      <c r="W34" s="86">
        <f t="shared" si="56"/>
        <v>7629.3358974132789</v>
      </c>
      <c r="X34" s="86">
        <f t="shared" si="57"/>
        <v>59303.999999999993</v>
      </c>
      <c r="Y34" s="86">
        <f t="shared" si="58"/>
        <v>44292.569230788613</v>
      </c>
      <c r="Z34" s="86">
        <f t="shared" si="59"/>
        <v>6539.4307692113825</v>
      </c>
      <c r="AA34" s="165">
        <f t="shared" si="60"/>
        <v>50831.999999999993</v>
      </c>
      <c r="AB34" s="16"/>
      <c r="AC34" s="16"/>
      <c r="AD34" s="16"/>
      <c r="AE34" s="16"/>
      <c r="AF34" s="16"/>
      <c r="AG34" s="17"/>
      <c r="AH34" s="16"/>
      <c r="AI34" s="16"/>
    </row>
    <row r="35" spans="1:35" ht="13.5" customHeight="1">
      <c r="A35" s="158">
        <v>144</v>
      </c>
      <c r="B35" s="136">
        <v>40909</v>
      </c>
      <c r="C35" s="120">
        <f>VLOOKUP(B35,'base(indices)'!$A$4:$C$183,3,FALSE)*1.25</f>
        <v>777.5</v>
      </c>
      <c r="D35" s="386">
        <f>'base(indices)'!G28</f>
        <v>1.7843783600000001</v>
      </c>
      <c r="E35" s="78">
        <f t="shared" si="41"/>
        <v>1387.3541749000001</v>
      </c>
      <c r="F35" s="371">
        <f>'base(indices)'!$I$147</f>
        <v>0.29920000000000002</v>
      </c>
      <c r="G35" s="78">
        <f t="shared" si="42"/>
        <v>415.09636913008006</v>
      </c>
      <c r="H35" s="80">
        <f t="shared" si="43"/>
        <v>1802.4505440300802</v>
      </c>
      <c r="I35" s="358">
        <f t="shared" si="20"/>
        <v>288519.75896329957</v>
      </c>
      <c r="J35" s="48">
        <f>IF((I35-H$45+(H$45))+K35-(H35/2)&gt;$I$197,$I$197-K35,(I35-H$45+(H$45)-(H35/2)))</f>
        <v>73820.948717981024</v>
      </c>
      <c r="K35" s="109">
        <f t="shared" si="44"/>
        <v>10899.051282018971</v>
      </c>
      <c r="L35" s="109">
        <f t="shared" si="45"/>
        <v>84720</v>
      </c>
      <c r="M35" s="109">
        <f t="shared" si="46"/>
        <v>70129.901282081963</v>
      </c>
      <c r="N35" s="109">
        <f t="shared" si="47"/>
        <v>10354.098717918021</v>
      </c>
      <c r="O35" s="109">
        <f t="shared" si="48"/>
        <v>80483.999999999985</v>
      </c>
      <c r="P35" s="90">
        <f t="shared" si="49"/>
        <v>66438.85384618293</v>
      </c>
      <c r="Q35" s="109">
        <f t="shared" si="50"/>
        <v>9809.1461538170734</v>
      </c>
      <c r="R35" s="109">
        <f t="shared" si="51"/>
        <v>76248</v>
      </c>
      <c r="S35" s="109">
        <f t="shared" si="52"/>
        <v>59056.758974384822</v>
      </c>
      <c r="T35" s="109">
        <f t="shared" si="53"/>
        <v>8719.2410256151761</v>
      </c>
      <c r="U35" s="109">
        <f t="shared" si="54"/>
        <v>67776</v>
      </c>
      <c r="V35" s="109">
        <f t="shared" si="55"/>
        <v>51674.664102586714</v>
      </c>
      <c r="W35" s="109">
        <f t="shared" si="56"/>
        <v>7629.3358974132789</v>
      </c>
      <c r="X35" s="109">
        <f t="shared" si="57"/>
        <v>59303.999999999993</v>
      </c>
      <c r="Y35" s="109">
        <f t="shared" si="58"/>
        <v>44292.569230788613</v>
      </c>
      <c r="Z35" s="49">
        <f t="shared" si="59"/>
        <v>6539.4307692113825</v>
      </c>
      <c r="AA35" s="283">
        <f t="shared" si="60"/>
        <v>50831.999999999993</v>
      </c>
      <c r="AB35" s="16"/>
      <c r="AC35" s="16"/>
      <c r="AD35" s="16"/>
      <c r="AE35" s="16"/>
      <c r="AF35" s="16"/>
      <c r="AG35" s="17"/>
      <c r="AH35" s="16"/>
      <c r="AI35" s="16"/>
    </row>
    <row r="36" spans="1:35" s="26" customFormat="1" ht="13.5" customHeight="1">
      <c r="A36" s="105">
        <v>143</v>
      </c>
      <c r="B36" s="50">
        <v>40940</v>
      </c>
      <c r="C36" s="61">
        <f>VLOOKUP(B36,'base(indices)'!$A$4:$C$183,3,FALSE)*1.25</f>
        <v>777.5</v>
      </c>
      <c r="D36" s="343">
        <f>'base(indices)'!G29</f>
        <v>1.7728548</v>
      </c>
      <c r="E36" s="54">
        <f t="shared" ref="E36:E94" si="61">C36*D36</f>
        <v>1378.394607</v>
      </c>
      <c r="F36" s="307">
        <f>'base(indices)'!$I$147</f>
        <v>0.29920000000000002</v>
      </c>
      <c r="G36" s="54">
        <f t="shared" ref="G36:G94" si="62">E36*F36</f>
        <v>412.41566641439999</v>
      </c>
      <c r="H36" s="55">
        <f t="shared" ref="H36:H94" si="63">E36+G36</f>
        <v>1790.8102734143999</v>
      </c>
      <c r="I36" s="384">
        <f t="shared" si="20"/>
        <v>286717.30841926951</v>
      </c>
      <c r="J36" s="58">
        <f>IF((I36-H$45+(H$45/12*11))+K36-(H36/2)&gt;$I$197,$I$197-K36,(I36-H$45+(H$45/12*11)-(H36/2)))</f>
        <v>73820.948717981024</v>
      </c>
      <c r="K36" s="91">
        <f t="shared" ref="K36:K94" si="64">I$196</f>
        <v>10899.051282018971</v>
      </c>
      <c r="L36" s="92">
        <f t="shared" ref="L36:L94" si="65">J36+K36</f>
        <v>84720</v>
      </c>
      <c r="M36" s="91">
        <f t="shared" ref="M36:M94" si="66">J36*M$9</f>
        <v>70129.901282081963</v>
      </c>
      <c r="N36" s="91">
        <f t="shared" ref="N36:N94" si="67">K36*M$9</f>
        <v>10354.098717918021</v>
      </c>
      <c r="O36" s="91">
        <f t="shared" ref="O36:O94" si="68">M36+N36</f>
        <v>80483.999999999985</v>
      </c>
      <c r="P36" s="91">
        <f t="shared" ref="P36:P94" si="69">J36*$P$9</f>
        <v>66438.85384618293</v>
      </c>
      <c r="Q36" s="91">
        <f t="shared" ref="Q36:Q94" si="70">K36*P$9</f>
        <v>9809.1461538170734</v>
      </c>
      <c r="R36" s="91">
        <f t="shared" ref="R36:R94" si="71">P36+Q36</f>
        <v>76248</v>
      </c>
      <c r="S36" s="91">
        <f t="shared" ref="S36:S94" si="72">J36*S$9</f>
        <v>59056.758974384822</v>
      </c>
      <c r="T36" s="91">
        <f t="shared" ref="T36:T94" si="73">K36*S$9</f>
        <v>8719.2410256151761</v>
      </c>
      <c r="U36" s="91">
        <f t="shared" ref="U36:U94" si="74">S36+T36</f>
        <v>67776</v>
      </c>
      <c r="V36" s="91">
        <f t="shared" ref="V36:V94" si="75">J36*V$9</f>
        <v>51674.664102586714</v>
      </c>
      <c r="W36" s="91">
        <f t="shared" ref="W36:W94" si="76">K36*V$9</f>
        <v>7629.3358974132789</v>
      </c>
      <c r="X36" s="91">
        <f t="shared" ref="X36:X94" si="77">V36+W36</f>
        <v>59303.999999999993</v>
      </c>
      <c r="Y36" s="91">
        <f t="shared" ref="Y36:Y94" si="78">J36*Y$9</f>
        <v>44292.569230788613</v>
      </c>
      <c r="Z36" s="59">
        <f t="shared" ref="Z36:Z94" si="79">K36*Y$9</f>
        <v>6539.4307692113825</v>
      </c>
      <c r="AA36" s="57">
        <f t="shared" ref="AA36:AA94" si="80">Y36+Z36</f>
        <v>50831.999999999993</v>
      </c>
      <c r="AB36" s="32"/>
      <c r="AC36" s="32"/>
      <c r="AD36" s="32"/>
      <c r="AE36" s="32"/>
      <c r="AF36" s="32"/>
      <c r="AG36" s="33"/>
      <c r="AH36" s="32"/>
      <c r="AI36" s="32"/>
    </row>
    <row r="37" spans="1:35" ht="13.5" customHeight="1">
      <c r="A37" s="105">
        <v>142</v>
      </c>
      <c r="B37" s="40">
        <v>40969</v>
      </c>
      <c r="C37" s="61">
        <f>VLOOKUP(B37,'base(indices)'!$A$4:$C$183,3,FALSE)*1.25</f>
        <v>777.5</v>
      </c>
      <c r="D37" s="343">
        <f>'base(indices)'!G30</f>
        <v>1.7635082099999999</v>
      </c>
      <c r="E37" s="63">
        <f t="shared" si="61"/>
        <v>1371.1276332749999</v>
      </c>
      <c r="F37" s="307">
        <f>'base(indices)'!$I$147</f>
        <v>0.29920000000000002</v>
      </c>
      <c r="G37" s="63">
        <f t="shared" si="62"/>
        <v>410.24138787587998</v>
      </c>
      <c r="H37" s="64">
        <f t="shared" si="63"/>
        <v>1781.3690211508799</v>
      </c>
      <c r="I37" s="360">
        <f t="shared" si="20"/>
        <v>284926.49814585509</v>
      </c>
      <c r="J37" s="45">
        <f>IF((I37-H$45+(H$45/12*10))+K37-(H37/2)&gt;$I$197,$I$197-K37,(I37-H$45+(H$45/12*10)-(H37/2)))</f>
        <v>73820.948717981024</v>
      </c>
      <c r="K37" s="108">
        <f t="shared" si="64"/>
        <v>10899.051282018971</v>
      </c>
      <c r="L37" s="108">
        <f t="shared" si="65"/>
        <v>84720</v>
      </c>
      <c r="M37" s="108">
        <f t="shared" si="66"/>
        <v>70129.901282081963</v>
      </c>
      <c r="N37" s="108">
        <f t="shared" si="67"/>
        <v>10354.098717918021</v>
      </c>
      <c r="O37" s="108">
        <f t="shared" si="68"/>
        <v>80483.999999999985</v>
      </c>
      <c r="P37" s="93">
        <f t="shared" si="69"/>
        <v>66438.85384618293</v>
      </c>
      <c r="Q37" s="108">
        <f t="shared" si="70"/>
        <v>9809.1461538170734</v>
      </c>
      <c r="R37" s="108">
        <f t="shared" si="71"/>
        <v>76248</v>
      </c>
      <c r="S37" s="108">
        <f t="shared" si="72"/>
        <v>59056.758974384822</v>
      </c>
      <c r="T37" s="108">
        <f t="shared" si="73"/>
        <v>8719.2410256151761</v>
      </c>
      <c r="U37" s="108">
        <f t="shared" si="74"/>
        <v>67776</v>
      </c>
      <c r="V37" s="108">
        <f t="shared" si="75"/>
        <v>51674.664102586714</v>
      </c>
      <c r="W37" s="108">
        <f t="shared" si="76"/>
        <v>7629.3358974132789</v>
      </c>
      <c r="X37" s="108">
        <f t="shared" si="77"/>
        <v>59303.999999999993</v>
      </c>
      <c r="Y37" s="108">
        <f t="shared" si="78"/>
        <v>44292.569230788613</v>
      </c>
      <c r="Z37" s="46">
        <f t="shared" si="79"/>
        <v>6539.4307692113825</v>
      </c>
      <c r="AA37" s="43">
        <f t="shared" si="80"/>
        <v>50831.999999999993</v>
      </c>
      <c r="AB37" s="16"/>
      <c r="AC37" s="16"/>
      <c r="AD37" s="16"/>
      <c r="AE37" s="16"/>
      <c r="AF37" s="16"/>
      <c r="AG37" s="17"/>
      <c r="AH37" s="16"/>
      <c r="AI37" s="16"/>
    </row>
    <row r="38" spans="1:35" s="26" customFormat="1" ht="13.5" customHeight="1">
      <c r="A38" s="105">
        <v>141</v>
      </c>
      <c r="B38" s="50">
        <v>41000</v>
      </c>
      <c r="C38" s="61">
        <f>VLOOKUP(B38,'base(indices)'!$A$4:$C$183,3,FALSE)*1.25</f>
        <v>777.5</v>
      </c>
      <c r="D38" s="343">
        <f>'base(indices)'!G31</f>
        <v>1.75911043</v>
      </c>
      <c r="E38" s="54">
        <f t="shared" si="61"/>
        <v>1367.7083593249999</v>
      </c>
      <c r="F38" s="307">
        <f>'base(indices)'!$I$147</f>
        <v>0.29920000000000002</v>
      </c>
      <c r="G38" s="54">
        <f t="shared" si="62"/>
        <v>409.21834111004</v>
      </c>
      <c r="H38" s="55">
        <f t="shared" si="63"/>
        <v>1776.9267004350399</v>
      </c>
      <c r="I38" s="384">
        <f t="shared" si="20"/>
        <v>283145.12912470422</v>
      </c>
      <c r="J38" s="58">
        <f>IF((I38-H$45+(H$45/12*9))+K38-(H38/2)&gt;$I$197,$I$197-K38,(I38-H$45+(H$45/12*9)-(H38/2)))</f>
        <v>73820.948717981024</v>
      </c>
      <c r="K38" s="91">
        <f t="shared" si="64"/>
        <v>10899.051282018971</v>
      </c>
      <c r="L38" s="92">
        <f t="shared" si="65"/>
        <v>84720</v>
      </c>
      <c r="M38" s="91">
        <f t="shared" si="66"/>
        <v>70129.901282081963</v>
      </c>
      <c r="N38" s="91">
        <f t="shared" si="67"/>
        <v>10354.098717918021</v>
      </c>
      <c r="O38" s="91">
        <f t="shared" si="68"/>
        <v>80483.999999999985</v>
      </c>
      <c r="P38" s="91">
        <f t="shared" si="69"/>
        <v>66438.85384618293</v>
      </c>
      <c r="Q38" s="91">
        <f t="shared" si="70"/>
        <v>9809.1461538170734</v>
      </c>
      <c r="R38" s="91">
        <f t="shared" si="71"/>
        <v>76248</v>
      </c>
      <c r="S38" s="91">
        <f t="shared" si="72"/>
        <v>59056.758974384822</v>
      </c>
      <c r="T38" s="91">
        <f t="shared" si="73"/>
        <v>8719.2410256151761</v>
      </c>
      <c r="U38" s="91">
        <f t="shared" si="74"/>
        <v>67776</v>
      </c>
      <c r="V38" s="91">
        <f t="shared" si="75"/>
        <v>51674.664102586714</v>
      </c>
      <c r="W38" s="91">
        <f t="shared" si="76"/>
        <v>7629.3358974132789</v>
      </c>
      <c r="X38" s="91">
        <f t="shared" si="77"/>
        <v>59303.999999999993</v>
      </c>
      <c r="Y38" s="91">
        <f t="shared" si="78"/>
        <v>44292.569230788613</v>
      </c>
      <c r="Z38" s="59">
        <f t="shared" si="79"/>
        <v>6539.4307692113825</v>
      </c>
      <c r="AA38" s="57">
        <f t="shared" si="80"/>
        <v>50831.999999999993</v>
      </c>
      <c r="AB38" s="32"/>
      <c r="AC38" s="32"/>
      <c r="AD38" s="32"/>
      <c r="AE38" s="32"/>
      <c r="AF38" s="32"/>
      <c r="AG38" s="33"/>
      <c r="AH38" s="32"/>
      <c r="AI38" s="32"/>
    </row>
    <row r="39" spans="1:35" ht="13.5" customHeight="1">
      <c r="A39" s="105">
        <v>140</v>
      </c>
      <c r="B39" s="40">
        <v>41030</v>
      </c>
      <c r="C39" s="61">
        <f>VLOOKUP(B39,'base(indices)'!$A$4:$C$183,3,FALSE)*1.25</f>
        <v>777.5</v>
      </c>
      <c r="D39" s="343">
        <f>'base(indices)'!G32</f>
        <v>1.75157864</v>
      </c>
      <c r="E39" s="63">
        <f t="shared" si="61"/>
        <v>1361.8523926</v>
      </c>
      <c r="F39" s="307">
        <f>'base(indices)'!$I$147</f>
        <v>0.29920000000000002</v>
      </c>
      <c r="G39" s="63">
        <f t="shared" si="62"/>
        <v>407.46623586592005</v>
      </c>
      <c r="H39" s="64">
        <f t="shared" si="63"/>
        <v>1769.31862846592</v>
      </c>
      <c r="I39" s="360">
        <f t="shared" si="20"/>
        <v>281368.20242426917</v>
      </c>
      <c r="J39" s="45">
        <f>IF((I39-H$45+(H$45/12*8))+K39-(H39/2)&gt;$I$197,$I$197-K39,(I39-H$45+(H$45/12*8)-(H39/2)))</f>
        <v>73820.948717981024</v>
      </c>
      <c r="K39" s="108">
        <f t="shared" si="64"/>
        <v>10899.051282018971</v>
      </c>
      <c r="L39" s="108">
        <f t="shared" si="65"/>
        <v>84720</v>
      </c>
      <c r="M39" s="108">
        <f t="shared" si="66"/>
        <v>70129.901282081963</v>
      </c>
      <c r="N39" s="108">
        <f t="shared" si="67"/>
        <v>10354.098717918021</v>
      </c>
      <c r="O39" s="108">
        <f t="shared" si="68"/>
        <v>80483.999999999985</v>
      </c>
      <c r="P39" s="93">
        <f t="shared" si="69"/>
        <v>66438.85384618293</v>
      </c>
      <c r="Q39" s="108">
        <f t="shared" si="70"/>
        <v>9809.1461538170734</v>
      </c>
      <c r="R39" s="108">
        <f t="shared" si="71"/>
        <v>76248</v>
      </c>
      <c r="S39" s="108">
        <f t="shared" si="72"/>
        <v>59056.758974384822</v>
      </c>
      <c r="T39" s="108">
        <f t="shared" si="73"/>
        <v>8719.2410256151761</v>
      </c>
      <c r="U39" s="108">
        <f t="shared" si="74"/>
        <v>67776</v>
      </c>
      <c r="V39" s="108">
        <f t="shared" si="75"/>
        <v>51674.664102586714</v>
      </c>
      <c r="W39" s="108">
        <f t="shared" si="76"/>
        <v>7629.3358974132789</v>
      </c>
      <c r="X39" s="108">
        <f t="shared" si="77"/>
        <v>59303.999999999993</v>
      </c>
      <c r="Y39" s="108">
        <f t="shared" si="78"/>
        <v>44292.569230788613</v>
      </c>
      <c r="Z39" s="46">
        <f t="shared" si="79"/>
        <v>6539.4307692113825</v>
      </c>
      <c r="AA39" s="43">
        <f t="shared" si="80"/>
        <v>50831.999999999993</v>
      </c>
      <c r="AB39" s="16"/>
      <c r="AC39" s="16"/>
      <c r="AD39" s="16"/>
      <c r="AE39" s="16"/>
      <c r="AF39" s="16"/>
      <c r="AG39" s="17"/>
      <c r="AH39" s="16"/>
      <c r="AI39" s="16"/>
    </row>
    <row r="40" spans="1:35" s="26" customFormat="1" ht="13.5" customHeight="1">
      <c r="A40" s="105">
        <v>139</v>
      </c>
      <c r="B40" s="50">
        <v>41061</v>
      </c>
      <c r="C40" s="61">
        <f>VLOOKUP(B40,'base(indices)'!$A$4:$C$183,3,FALSE)*1.25</f>
        <v>777.5</v>
      </c>
      <c r="D40" s="343">
        <f>'base(indices)'!G33</f>
        <v>1.74269092</v>
      </c>
      <c r="E40" s="54">
        <f t="shared" si="61"/>
        <v>1354.9421903</v>
      </c>
      <c r="F40" s="307">
        <f>'base(indices)'!$I$147</f>
        <v>0.29920000000000002</v>
      </c>
      <c r="G40" s="54">
        <f t="shared" si="62"/>
        <v>405.39870333776003</v>
      </c>
      <c r="H40" s="55">
        <f t="shared" si="63"/>
        <v>1760.34089363776</v>
      </c>
      <c r="I40" s="384">
        <f t="shared" si="20"/>
        <v>279598.88379580324</v>
      </c>
      <c r="J40" s="58">
        <f>IF((I40-H$45+(H$45/12*7))+K40-(H40/2)&gt;$I$197,$I$197-K40,(I40-H$45+(H$45/12*7)-(H40/2)))</f>
        <v>73820.948717981024</v>
      </c>
      <c r="K40" s="91">
        <f t="shared" si="64"/>
        <v>10899.051282018971</v>
      </c>
      <c r="L40" s="92">
        <f t="shared" si="65"/>
        <v>84720</v>
      </c>
      <c r="M40" s="91">
        <f t="shared" si="66"/>
        <v>70129.901282081963</v>
      </c>
      <c r="N40" s="91">
        <f t="shared" si="67"/>
        <v>10354.098717918021</v>
      </c>
      <c r="O40" s="91">
        <f t="shared" si="68"/>
        <v>80483.999999999985</v>
      </c>
      <c r="P40" s="91">
        <f t="shared" si="69"/>
        <v>66438.85384618293</v>
      </c>
      <c r="Q40" s="91">
        <f t="shared" si="70"/>
        <v>9809.1461538170734</v>
      </c>
      <c r="R40" s="91">
        <f t="shared" si="71"/>
        <v>76248</v>
      </c>
      <c r="S40" s="91">
        <f t="shared" si="72"/>
        <v>59056.758974384822</v>
      </c>
      <c r="T40" s="91">
        <f t="shared" si="73"/>
        <v>8719.2410256151761</v>
      </c>
      <c r="U40" s="91">
        <f t="shared" si="74"/>
        <v>67776</v>
      </c>
      <c r="V40" s="91">
        <f t="shared" si="75"/>
        <v>51674.664102586714</v>
      </c>
      <c r="W40" s="91">
        <f t="shared" si="76"/>
        <v>7629.3358974132789</v>
      </c>
      <c r="X40" s="91">
        <f t="shared" si="77"/>
        <v>59303.999999999993</v>
      </c>
      <c r="Y40" s="91">
        <f t="shared" si="78"/>
        <v>44292.569230788613</v>
      </c>
      <c r="Z40" s="59">
        <f t="shared" si="79"/>
        <v>6539.4307692113825</v>
      </c>
      <c r="AA40" s="57">
        <f t="shared" si="80"/>
        <v>50831.999999999993</v>
      </c>
      <c r="AB40" s="32"/>
      <c r="AC40" s="32"/>
      <c r="AD40" s="32"/>
      <c r="AE40" s="32"/>
      <c r="AF40" s="32"/>
      <c r="AG40" s="33"/>
      <c r="AH40" s="32"/>
      <c r="AI40" s="32"/>
    </row>
    <row r="41" spans="1:35" ht="13.5" customHeight="1">
      <c r="A41" s="105">
        <v>138</v>
      </c>
      <c r="B41" s="40">
        <v>41091</v>
      </c>
      <c r="C41" s="61">
        <f>VLOOKUP(B41,'base(indices)'!$A$4:$C$183,3,FALSE)*1.25</f>
        <v>777.5</v>
      </c>
      <c r="D41" s="343">
        <f>'base(indices)'!G34</f>
        <v>1.73955971</v>
      </c>
      <c r="E41" s="63">
        <f t="shared" si="61"/>
        <v>1352.5076745250001</v>
      </c>
      <c r="F41" s="307">
        <f>'base(indices)'!$I$147</f>
        <v>0.29920000000000002</v>
      </c>
      <c r="G41" s="63">
        <f t="shared" si="62"/>
        <v>404.67029621788004</v>
      </c>
      <c r="H41" s="64">
        <f t="shared" si="63"/>
        <v>1757.17797074288</v>
      </c>
      <c r="I41" s="360">
        <f t="shared" si="20"/>
        <v>277838.5429021655</v>
      </c>
      <c r="J41" s="45">
        <f>IF((I41-H$45+(H$45/12*6))+K41-(H41/2)&gt;$I$197,$I$197-K41,(I41-H$45+(H$45/12*6)-(H41/2)))</f>
        <v>73820.948717981024</v>
      </c>
      <c r="K41" s="108">
        <f t="shared" si="64"/>
        <v>10899.051282018971</v>
      </c>
      <c r="L41" s="108">
        <f t="shared" si="65"/>
        <v>84720</v>
      </c>
      <c r="M41" s="108">
        <f t="shared" si="66"/>
        <v>70129.901282081963</v>
      </c>
      <c r="N41" s="108">
        <f t="shared" si="67"/>
        <v>10354.098717918021</v>
      </c>
      <c r="O41" s="108">
        <f t="shared" si="68"/>
        <v>80483.999999999985</v>
      </c>
      <c r="P41" s="93">
        <f t="shared" si="69"/>
        <v>66438.85384618293</v>
      </c>
      <c r="Q41" s="108">
        <f t="shared" si="70"/>
        <v>9809.1461538170734</v>
      </c>
      <c r="R41" s="108">
        <f t="shared" si="71"/>
        <v>76248</v>
      </c>
      <c r="S41" s="108">
        <f t="shared" si="72"/>
        <v>59056.758974384822</v>
      </c>
      <c r="T41" s="108">
        <f t="shared" si="73"/>
        <v>8719.2410256151761</v>
      </c>
      <c r="U41" s="108">
        <f t="shared" si="74"/>
        <v>67776</v>
      </c>
      <c r="V41" s="108">
        <f t="shared" si="75"/>
        <v>51674.664102586714</v>
      </c>
      <c r="W41" s="108">
        <f t="shared" si="76"/>
        <v>7629.3358974132789</v>
      </c>
      <c r="X41" s="108">
        <f t="shared" si="77"/>
        <v>59303.999999999993</v>
      </c>
      <c r="Y41" s="108">
        <f t="shared" si="78"/>
        <v>44292.569230788613</v>
      </c>
      <c r="Z41" s="46">
        <f t="shared" si="79"/>
        <v>6539.4307692113825</v>
      </c>
      <c r="AA41" s="43">
        <f t="shared" si="80"/>
        <v>50831.999999999993</v>
      </c>
      <c r="AB41" s="16"/>
      <c r="AC41" s="16"/>
      <c r="AD41" s="16"/>
      <c r="AE41" s="16"/>
      <c r="AF41" s="16"/>
      <c r="AG41" s="17"/>
      <c r="AH41" s="16"/>
      <c r="AI41" s="16"/>
    </row>
    <row r="42" spans="1:35" s="26" customFormat="1" ht="13.5" customHeight="1">
      <c r="A42" s="105">
        <v>137</v>
      </c>
      <c r="B42" s="50">
        <v>41122</v>
      </c>
      <c r="C42" s="61">
        <f>VLOOKUP(B42,'base(indices)'!$A$4:$C$183,3,FALSE)*1.25</f>
        <v>777.5</v>
      </c>
      <c r="D42" s="343">
        <f>'base(indices)'!G35</f>
        <v>1.7338380499999999</v>
      </c>
      <c r="E42" s="54">
        <f t="shared" si="61"/>
        <v>1348.0590838749999</v>
      </c>
      <c r="F42" s="307">
        <f>'base(indices)'!$I$147</f>
        <v>0.29920000000000002</v>
      </c>
      <c r="G42" s="54">
        <f t="shared" si="62"/>
        <v>403.33927789540002</v>
      </c>
      <c r="H42" s="55">
        <f t="shared" si="63"/>
        <v>1751.3983617704</v>
      </c>
      <c r="I42" s="384">
        <f t="shared" si="20"/>
        <v>276081.36493142263</v>
      </c>
      <c r="J42" s="58">
        <f>IF((I42-H$45+(H$45/12*5))+K42-(H42/2)&gt;$I$197,$I$197-K42,(I42-H$45+(H$45/12*5)-(H42/2)))</f>
        <v>73820.948717981024</v>
      </c>
      <c r="K42" s="91">
        <f t="shared" si="64"/>
        <v>10899.051282018971</v>
      </c>
      <c r="L42" s="92">
        <f t="shared" si="65"/>
        <v>84720</v>
      </c>
      <c r="M42" s="91">
        <f t="shared" si="66"/>
        <v>70129.901282081963</v>
      </c>
      <c r="N42" s="91">
        <f t="shared" si="67"/>
        <v>10354.098717918021</v>
      </c>
      <c r="O42" s="91">
        <f t="shared" si="68"/>
        <v>80483.999999999985</v>
      </c>
      <c r="P42" s="91">
        <f t="shared" si="69"/>
        <v>66438.85384618293</v>
      </c>
      <c r="Q42" s="91">
        <f t="shared" si="70"/>
        <v>9809.1461538170734</v>
      </c>
      <c r="R42" s="91">
        <f t="shared" si="71"/>
        <v>76248</v>
      </c>
      <c r="S42" s="91">
        <f t="shared" si="72"/>
        <v>59056.758974384822</v>
      </c>
      <c r="T42" s="91">
        <f t="shared" si="73"/>
        <v>8719.2410256151761</v>
      </c>
      <c r="U42" s="91">
        <f t="shared" si="74"/>
        <v>67776</v>
      </c>
      <c r="V42" s="91">
        <f t="shared" si="75"/>
        <v>51674.664102586714</v>
      </c>
      <c r="W42" s="91">
        <f t="shared" si="76"/>
        <v>7629.3358974132789</v>
      </c>
      <c r="X42" s="91">
        <f t="shared" si="77"/>
        <v>59303.999999999993</v>
      </c>
      <c r="Y42" s="91">
        <f t="shared" si="78"/>
        <v>44292.569230788613</v>
      </c>
      <c r="Z42" s="59">
        <f t="shared" si="79"/>
        <v>6539.4307692113825</v>
      </c>
      <c r="AA42" s="57">
        <f t="shared" si="80"/>
        <v>50831.999999999993</v>
      </c>
      <c r="AB42" s="32"/>
      <c r="AC42" s="32"/>
      <c r="AD42" s="32"/>
      <c r="AE42" s="32"/>
      <c r="AF42" s="32"/>
      <c r="AG42" s="33"/>
      <c r="AH42" s="32"/>
      <c r="AI42" s="32"/>
    </row>
    <row r="43" spans="1:35" ht="13.5" customHeight="1">
      <c r="A43" s="105">
        <v>136</v>
      </c>
      <c r="B43" s="40">
        <v>41153</v>
      </c>
      <c r="C43" s="61">
        <f>VLOOKUP(B43,'base(indices)'!$A$4:$C$183,3,FALSE)*1.25</f>
        <v>777.5</v>
      </c>
      <c r="D43" s="343">
        <f>'base(indices)'!G36</f>
        <v>1.72710235</v>
      </c>
      <c r="E43" s="63">
        <f t="shared" si="61"/>
        <v>1342.8220771250001</v>
      </c>
      <c r="F43" s="307">
        <f>'base(indices)'!$I$147</f>
        <v>0.29920000000000002</v>
      </c>
      <c r="G43" s="63">
        <f t="shared" si="62"/>
        <v>401.77236547580003</v>
      </c>
      <c r="H43" s="64">
        <f t="shared" si="63"/>
        <v>1744.5944426008</v>
      </c>
      <c r="I43" s="360">
        <f t="shared" si="20"/>
        <v>274329.96656965226</v>
      </c>
      <c r="J43" s="45">
        <f>IF((I43-H$45+(H$45/12*4))+K43-(H43/2)&gt;$I$197,$I$197-K43,(I43-H$45+(H$45/12*4)-(H43/2)))</f>
        <v>73820.948717981024</v>
      </c>
      <c r="K43" s="108">
        <f t="shared" si="64"/>
        <v>10899.051282018971</v>
      </c>
      <c r="L43" s="108">
        <f t="shared" si="65"/>
        <v>84720</v>
      </c>
      <c r="M43" s="108">
        <f t="shared" si="66"/>
        <v>70129.901282081963</v>
      </c>
      <c r="N43" s="108">
        <f t="shared" si="67"/>
        <v>10354.098717918021</v>
      </c>
      <c r="O43" s="108">
        <f t="shared" si="68"/>
        <v>80483.999999999985</v>
      </c>
      <c r="P43" s="93">
        <f t="shared" si="69"/>
        <v>66438.85384618293</v>
      </c>
      <c r="Q43" s="108">
        <f t="shared" si="70"/>
        <v>9809.1461538170734</v>
      </c>
      <c r="R43" s="108">
        <f t="shared" si="71"/>
        <v>76248</v>
      </c>
      <c r="S43" s="108">
        <f t="shared" si="72"/>
        <v>59056.758974384822</v>
      </c>
      <c r="T43" s="108">
        <f t="shared" si="73"/>
        <v>8719.2410256151761</v>
      </c>
      <c r="U43" s="108">
        <f t="shared" si="74"/>
        <v>67776</v>
      </c>
      <c r="V43" s="108">
        <f t="shared" si="75"/>
        <v>51674.664102586714</v>
      </c>
      <c r="W43" s="108">
        <f t="shared" si="76"/>
        <v>7629.3358974132789</v>
      </c>
      <c r="X43" s="108">
        <f t="shared" si="77"/>
        <v>59303.999999999993</v>
      </c>
      <c r="Y43" s="108">
        <f t="shared" si="78"/>
        <v>44292.569230788613</v>
      </c>
      <c r="Z43" s="46">
        <f t="shared" si="79"/>
        <v>6539.4307692113825</v>
      </c>
      <c r="AA43" s="43">
        <f t="shared" si="80"/>
        <v>50831.999999999993</v>
      </c>
      <c r="AB43" s="16"/>
      <c r="AC43" s="16"/>
      <c r="AD43" s="16"/>
      <c r="AE43" s="16"/>
      <c r="AF43" s="16"/>
      <c r="AG43" s="17"/>
      <c r="AH43" s="16"/>
      <c r="AI43" s="16"/>
    </row>
    <row r="44" spans="1:35" s="26" customFormat="1" ht="13.5" customHeight="1">
      <c r="A44" s="105">
        <v>135</v>
      </c>
      <c r="B44" s="50">
        <v>41183</v>
      </c>
      <c r="C44" s="61">
        <f>VLOOKUP(B44,'base(indices)'!$A$4:$C$183,3,FALSE)*1.25</f>
        <v>777.5</v>
      </c>
      <c r="D44" s="343">
        <f>'base(indices)'!G37</f>
        <v>1.71885186</v>
      </c>
      <c r="E44" s="54">
        <f t="shared" si="61"/>
        <v>1336.4073211499999</v>
      </c>
      <c r="F44" s="307">
        <f>'base(indices)'!$I$147</f>
        <v>0.29920000000000002</v>
      </c>
      <c r="G44" s="54">
        <f t="shared" si="62"/>
        <v>399.85307048807999</v>
      </c>
      <c r="H44" s="55">
        <f t="shared" si="63"/>
        <v>1736.2603916380799</v>
      </c>
      <c r="I44" s="384">
        <f t="shared" si="20"/>
        <v>272585.37212705147</v>
      </c>
      <c r="J44" s="58">
        <f>IF((I44-H$45+(H$45/12*3))+K44-(H44/2)&gt;$I$197,$I$197-K44,(I44-H$45+(H$45/12*3)-(H44/2)))</f>
        <v>73820.948717981024</v>
      </c>
      <c r="K44" s="91">
        <f t="shared" si="64"/>
        <v>10899.051282018971</v>
      </c>
      <c r="L44" s="92">
        <f t="shared" si="65"/>
        <v>84720</v>
      </c>
      <c r="M44" s="91">
        <f t="shared" si="66"/>
        <v>70129.901282081963</v>
      </c>
      <c r="N44" s="91">
        <f t="shared" si="67"/>
        <v>10354.098717918021</v>
      </c>
      <c r="O44" s="91">
        <f t="shared" si="68"/>
        <v>80483.999999999985</v>
      </c>
      <c r="P44" s="91">
        <f t="shared" si="69"/>
        <v>66438.85384618293</v>
      </c>
      <c r="Q44" s="91">
        <f t="shared" si="70"/>
        <v>9809.1461538170734</v>
      </c>
      <c r="R44" s="91">
        <f t="shared" si="71"/>
        <v>76248</v>
      </c>
      <c r="S44" s="91">
        <f t="shared" si="72"/>
        <v>59056.758974384822</v>
      </c>
      <c r="T44" s="91">
        <f t="shared" si="73"/>
        <v>8719.2410256151761</v>
      </c>
      <c r="U44" s="91">
        <f t="shared" si="74"/>
        <v>67776</v>
      </c>
      <c r="V44" s="91">
        <f t="shared" si="75"/>
        <v>51674.664102586714</v>
      </c>
      <c r="W44" s="91">
        <f t="shared" si="76"/>
        <v>7629.3358974132789</v>
      </c>
      <c r="X44" s="91">
        <f t="shared" si="77"/>
        <v>59303.999999999993</v>
      </c>
      <c r="Y44" s="91">
        <f t="shared" si="78"/>
        <v>44292.569230788613</v>
      </c>
      <c r="Z44" s="59">
        <f t="shared" si="79"/>
        <v>6539.4307692113825</v>
      </c>
      <c r="AA44" s="57">
        <f t="shared" si="80"/>
        <v>50831.999999999993</v>
      </c>
      <c r="AB44" s="32"/>
      <c r="AC44" s="32"/>
      <c r="AD44" s="32"/>
      <c r="AE44" s="32"/>
      <c r="AF44" s="32"/>
      <c r="AG44" s="33"/>
      <c r="AH44" s="32"/>
      <c r="AI44" s="32"/>
    </row>
    <row r="45" spans="1:35" ht="13.5" customHeight="1">
      <c r="A45" s="105">
        <v>134</v>
      </c>
      <c r="B45" s="40">
        <v>41214</v>
      </c>
      <c r="C45" s="61">
        <f>VLOOKUP(B45,'base(indices)'!$A$4:$C$183,3,FALSE)*1.25</f>
        <v>777.5</v>
      </c>
      <c r="D45" s="343">
        <f>'base(indices)'!G38</f>
        <v>1.70775147</v>
      </c>
      <c r="E45" s="63">
        <f t="shared" si="61"/>
        <v>1327.7767679250001</v>
      </c>
      <c r="F45" s="307">
        <f>'base(indices)'!$I$147</f>
        <v>0.29920000000000002</v>
      </c>
      <c r="G45" s="63">
        <f t="shared" si="62"/>
        <v>397.27080896316005</v>
      </c>
      <c r="H45" s="64">
        <f t="shared" si="63"/>
        <v>1725.0475768881602</v>
      </c>
      <c r="I45" s="360">
        <f t="shared" si="20"/>
        <v>270849.11173541337</v>
      </c>
      <c r="J45" s="45">
        <f>IF((I45-H$45+(H$45/12*2))+K45-(H45/2)&gt;$I$197,$I$197-K45,(I45-H$45+(H$45/12*2)-(H45/2)))</f>
        <v>73820.948717981024</v>
      </c>
      <c r="K45" s="108">
        <f t="shared" si="64"/>
        <v>10899.051282018971</v>
      </c>
      <c r="L45" s="108">
        <f t="shared" si="65"/>
        <v>84720</v>
      </c>
      <c r="M45" s="108">
        <f t="shared" si="66"/>
        <v>70129.901282081963</v>
      </c>
      <c r="N45" s="108">
        <f t="shared" si="67"/>
        <v>10354.098717918021</v>
      </c>
      <c r="O45" s="108">
        <f t="shared" si="68"/>
        <v>80483.999999999985</v>
      </c>
      <c r="P45" s="93">
        <f t="shared" si="69"/>
        <v>66438.85384618293</v>
      </c>
      <c r="Q45" s="108">
        <f t="shared" si="70"/>
        <v>9809.1461538170734</v>
      </c>
      <c r="R45" s="108">
        <f t="shared" si="71"/>
        <v>76248</v>
      </c>
      <c r="S45" s="108">
        <f t="shared" si="72"/>
        <v>59056.758974384822</v>
      </c>
      <c r="T45" s="108">
        <f t="shared" si="73"/>
        <v>8719.2410256151761</v>
      </c>
      <c r="U45" s="108">
        <f t="shared" si="74"/>
        <v>67776</v>
      </c>
      <c r="V45" s="108">
        <f t="shared" si="75"/>
        <v>51674.664102586714</v>
      </c>
      <c r="W45" s="108">
        <f t="shared" si="76"/>
        <v>7629.3358974132789</v>
      </c>
      <c r="X45" s="108">
        <f t="shared" si="77"/>
        <v>59303.999999999993</v>
      </c>
      <c r="Y45" s="108">
        <f t="shared" si="78"/>
        <v>44292.569230788613</v>
      </c>
      <c r="Z45" s="46">
        <f t="shared" si="79"/>
        <v>6539.4307692113825</v>
      </c>
      <c r="AA45" s="43">
        <f t="shared" si="80"/>
        <v>50831.999999999993</v>
      </c>
      <c r="AB45" s="16"/>
      <c r="AC45" s="16"/>
      <c r="AD45" s="16"/>
      <c r="AE45" s="16"/>
      <c r="AF45" s="16"/>
      <c r="AG45" s="17"/>
      <c r="AH45" s="16"/>
      <c r="AI45" s="16"/>
    </row>
    <row r="46" spans="1:35" s="26" customFormat="1" ht="13.5" customHeight="1" thickBot="1">
      <c r="A46" s="161">
        <v>133</v>
      </c>
      <c r="B46" s="300">
        <v>41244</v>
      </c>
      <c r="C46" s="69">
        <f>C45*2</f>
        <v>1555</v>
      </c>
      <c r="D46" s="335">
        <f>'base(indices)'!G39</f>
        <v>1.69857915</v>
      </c>
      <c r="E46" s="163">
        <f t="shared" si="61"/>
        <v>2641.2905782500002</v>
      </c>
      <c r="F46" s="304">
        <f>'base(indices)'!$I$147</f>
        <v>0.29920000000000002</v>
      </c>
      <c r="G46" s="163">
        <f t="shared" si="62"/>
        <v>790.27414101240015</v>
      </c>
      <c r="H46" s="189">
        <f t="shared" si="63"/>
        <v>3431.5647192624001</v>
      </c>
      <c r="I46" s="361">
        <f t="shared" si="20"/>
        <v>269124.0641585252</v>
      </c>
      <c r="J46" s="175">
        <f>IF((I46-H$45+(H$45/12*1))+K46-(H46/4)&gt;$I$197,$I$197-K46,(I46-H$45+(H$45/12*1)-(H46/4)))</f>
        <v>73820.948717981024</v>
      </c>
      <c r="K46" s="202">
        <f t="shared" si="64"/>
        <v>10899.051282018971</v>
      </c>
      <c r="L46" s="250">
        <f t="shared" si="65"/>
        <v>84720</v>
      </c>
      <c r="M46" s="202">
        <f t="shared" si="66"/>
        <v>70129.901282081963</v>
      </c>
      <c r="N46" s="202">
        <f t="shared" si="67"/>
        <v>10354.098717918021</v>
      </c>
      <c r="O46" s="202">
        <f t="shared" si="68"/>
        <v>80483.999999999985</v>
      </c>
      <c r="P46" s="202">
        <f t="shared" si="69"/>
        <v>66438.85384618293</v>
      </c>
      <c r="Q46" s="202">
        <f t="shared" si="70"/>
        <v>9809.1461538170734</v>
      </c>
      <c r="R46" s="202">
        <f t="shared" si="71"/>
        <v>76248</v>
      </c>
      <c r="S46" s="202">
        <f t="shared" si="72"/>
        <v>59056.758974384822</v>
      </c>
      <c r="T46" s="202">
        <f t="shared" si="73"/>
        <v>8719.2410256151761</v>
      </c>
      <c r="U46" s="202">
        <f t="shared" si="74"/>
        <v>67776</v>
      </c>
      <c r="V46" s="202">
        <f t="shared" si="75"/>
        <v>51674.664102586714</v>
      </c>
      <c r="W46" s="202">
        <f t="shared" si="76"/>
        <v>7629.3358974132789</v>
      </c>
      <c r="X46" s="202">
        <f t="shared" si="77"/>
        <v>59303.999999999993</v>
      </c>
      <c r="Y46" s="202">
        <f t="shared" si="78"/>
        <v>44292.569230788613</v>
      </c>
      <c r="Z46" s="203">
        <f t="shared" si="79"/>
        <v>6539.4307692113825</v>
      </c>
      <c r="AA46" s="282">
        <f t="shared" si="80"/>
        <v>50831.999999999993</v>
      </c>
      <c r="AB46" s="32"/>
      <c r="AC46" s="32"/>
      <c r="AD46" s="32"/>
      <c r="AE46" s="32"/>
      <c r="AF46" s="32"/>
      <c r="AG46" s="33"/>
      <c r="AH46" s="32"/>
      <c r="AI46" s="32"/>
    </row>
    <row r="47" spans="1:35" ht="13.5" customHeight="1">
      <c r="A47" s="158">
        <v>132</v>
      </c>
      <c r="B47" s="246">
        <v>41275</v>
      </c>
      <c r="C47" s="273">
        <f>VLOOKUP(B47,'base(indices)'!$A$4:$C$183,3,FALSE)*1.25</f>
        <v>847.5</v>
      </c>
      <c r="D47" s="306">
        <f>'base(indices)'!G40</f>
        <v>1.6869392700000001</v>
      </c>
      <c r="E47" s="154">
        <f t="shared" si="61"/>
        <v>1429.681031325</v>
      </c>
      <c r="F47" s="264">
        <f>'base(indices)'!$I$147</f>
        <v>0.29920000000000002</v>
      </c>
      <c r="G47" s="154">
        <f t="shared" si="62"/>
        <v>427.76056457244005</v>
      </c>
      <c r="H47" s="218">
        <f t="shared" si="63"/>
        <v>1857.44159589744</v>
      </c>
      <c r="I47" s="401">
        <f t="shared" si="20"/>
        <v>265692.49943926279</v>
      </c>
      <c r="J47" s="288">
        <f>IF((I47-H$57+(H$57))+K47-(H47/2)&gt;$I$197,$I$197-K47,(I47-H$57+(H$57)-(H47/2)))</f>
        <v>73820.948717981024</v>
      </c>
      <c r="K47" s="109">
        <f t="shared" si="64"/>
        <v>10899.051282018971</v>
      </c>
      <c r="L47" s="109">
        <f t="shared" si="65"/>
        <v>84720</v>
      </c>
      <c r="M47" s="109">
        <f t="shared" si="66"/>
        <v>70129.901282081963</v>
      </c>
      <c r="N47" s="109">
        <f t="shared" si="67"/>
        <v>10354.098717918021</v>
      </c>
      <c r="O47" s="109">
        <f t="shared" si="68"/>
        <v>80483.999999999985</v>
      </c>
      <c r="P47" s="90">
        <f t="shared" si="69"/>
        <v>66438.85384618293</v>
      </c>
      <c r="Q47" s="109">
        <f t="shared" si="70"/>
        <v>9809.1461538170734</v>
      </c>
      <c r="R47" s="109">
        <f t="shared" si="71"/>
        <v>76248</v>
      </c>
      <c r="S47" s="109">
        <f t="shared" si="72"/>
        <v>59056.758974384822</v>
      </c>
      <c r="T47" s="109">
        <f t="shared" si="73"/>
        <v>8719.2410256151761</v>
      </c>
      <c r="U47" s="109">
        <f t="shared" si="74"/>
        <v>67776</v>
      </c>
      <c r="V47" s="109">
        <f t="shared" si="75"/>
        <v>51674.664102586714</v>
      </c>
      <c r="W47" s="109">
        <f t="shared" si="76"/>
        <v>7629.3358974132789</v>
      </c>
      <c r="X47" s="109">
        <f t="shared" si="77"/>
        <v>59303.999999999993</v>
      </c>
      <c r="Y47" s="109">
        <f t="shared" si="78"/>
        <v>44292.569230788613</v>
      </c>
      <c r="Z47" s="109">
        <f t="shared" si="79"/>
        <v>6539.4307692113825</v>
      </c>
      <c r="AA47" s="49">
        <f t="shared" si="80"/>
        <v>50831.999999999993</v>
      </c>
      <c r="AB47" s="16"/>
      <c r="AC47" s="16"/>
      <c r="AD47" s="16"/>
      <c r="AE47" s="16"/>
      <c r="AF47" s="16"/>
      <c r="AG47" s="17"/>
      <c r="AH47" s="16"/>
      <c r="AI47" s="16"/>
    </row>
    <row r="48" spans="1:35" ht="13.5" customHeight="1">
      <c r="A48" s="105">
        <v>131</v>
      </c>
      <c r="B48" s="50">
        <v>41306</v>
      </c>
      <c r="C48" s="61">
        <f>VLOOKUP(B48,'base(indices)'!$A$4:$C$183,3,FALSE)*1.25</f>
        <v>847.5</v>
      </c>
      <c r="D48" s="343">
        <f>'base(indices)'!G41</f>
        <v>1.6722237</v>
      </c>
      <c r="E48" s="54">
        <f t="shared" si="61"/>
        <v>1417.2095857500001</v>
      </c>
      <c r="F48" s="307">
        <f>'base(indices)'!$I$147</f>
        <v>0.29920000000000002</v>
      </c>
      <c r="G48" s="54">
        <f t="shared" si="62"/>
        <v>424.02910805640005</v>
      </c>
      <c r="H48" s="55">
        <f t="shared" si="63"/>
        <v>1841.2386938064001</v>
      </c>
      <c r="I48" s="384">
        <f t="shared" si="20"/>
        <v>263835.05784336536</v>
      </c>
      <c r="J48" s="58">
        <f>IF((I48-H$57+(H$57/12*11))+K48-(H48/2)&gt;$I$197,$I$197-K48,(I48-H$57+(H$57/12*11)-(H48/2)))</f>
        <v>73820.948717981024</v>
      </c>
      <c r="K48" s="91">
        <f t="shared" si="64"/>
        <v>10899.051282018971</v>
      </c>
      <c r="L48" s="92">
        <f t="shared" si="65"/>
        <v>84720</v>
      </c>
      <c r="M48" s="91">
        <f t="shared" si="66"/>
        <v>70129.901282081963</v>
      </c>
      <c r="N48" s="91">
        <f t="shared" si="67"/>
        <v>10354.098717918021</v>
      </c>
      <c r="O48" s="91">
        <f t="shared" si="68"/>
        <v>80483.999999999985</v>
      </c>
      <c r="P48" s="91">
        <f t="shared" si="69"/>
        <v>66438.85384618293</v>
      </c>
      <c r="Q48" s="91">
        <f t="shared" si="70"/>
        <v>9809.1461538170734</v>
      </c>
      <c r="R48" s="91">
        <f t="shared" si="71"/>
        <v>76248</v>
      </c>
      <c r="S48" s="91">
        <f t="shared" si="72"/>
        <v>59056.758974384822</v>
      </c>
      <c r="T48" s="91">
        <f t="shared" si="73"/>
        <v>8719.2410256151761</v>
      </c>
      <c r="U48" s="91">
        <f t="shared" si="74"/>
        <v>67776</v>
      </c>
      <c r="V48" s="91">
        <f t="shared" si="75"/>
        <v>51674.664102586714</v>
      </c>
      <c r="W48" s="91">
        <f t="shared" si="76"/>
        <v>7629.3358974132789</v>
      </c>
      <c r="X48" s="91">
        <f t="shared" si="77"/>
        <v>59303.999999999993</v>
      </c>
      <c r="Y48" s="91">
        <f t="shared" si="78"/>
        <v>44292.569230788613</v>
      </c>
      <c r="Z48" s="91">
        <f t="shared" si="79"/>
        <v>6539.4307692113825</v>
      </c>
      <c r="AA48" s="59">
        <f t="shared" si="80"/>
        <v>50831.999999999993</v>
      </c>
      <c r="AB48" s="16"/>
      <c r="AC48" s="16"/>
      <c r="AD48" s="16"/>
      <c r="AE48" s="16"/>
      <c r="AF48" s="16"/>
      <c r="AG48" s="17"/>
      <c r="AH48" s="16"/>
      <c r="AI48" s="16"/>
    </row>
    <row r="49" spans="1:35" s="26" customFormat="1" ht="13.5" customHeight="1">
      <c r="A49" s="105">
        <v>130</v>
      </c>
      <c r="B49" s="40">
        <v>41334</v>
      </c>
      <c r="C49" s="61">
        <f>VLOOKUP(B49,'base(indices)'!$A$4:$C$183,3,FALSE)*1.25</f>
        <v>847.5</v>
      </c>
      <c r="D49" s="343">
        <f>'base(indices)'!G42</f>
        <v>1.66092938</v>
      </c>
      <c r="E49" s="63">
        <f t="shared" si="61"/>
        <v>1407.6376495500001</v>
      </c>
      <c r="F49" s="307">
        <f>'base(indices)'!$I$147</f>
        <v>0.29920000000000002</v>
      </c>
      <c r="G49" s="63">
        <f t="shared" si="62"/>
        <v>421.16518474536008</v>
      </c>
      <c r="H49" s="64">
        <f t="shared" si="63"/>
        <v>1828.8028342953603</v>
      </c>
      <c r="I49" s="360">
        <f t="shared" si="20"/>
        <v>261993.81914955896</v>
      </c>
      <c r="J49" s="45">
        <f>IF((I49-H$57+(H$57/12*10))+K49-(H49/2)&gt;$I$197,$I$197-K49,(I49-H$57+(H$57/12*10)-(H49/2)))</f>
        <v>73820.948717981024</v>
      </c>
      <c r="K49" s="108">
        <f t="shared" si="64"/>
        <v>10899.051282018971</v>
      </c>
      <c r="L49" s="108">
        <f t="shared" si="65"/>
        <v>84720</v>
      </c>
      <c r="M49" s="108">
        <f t="shared" si="66"/>
        <v>70129.901282081963</v>
      </c>
      <c r="N49" s="108">
        <f t="shared" si="67"/>
        <v>10354.098717918021</v>
      </c>
      <c r="O49" s="108">
        <f t="shared" si="68"/>
        <v>80483.999999999985</v>
      </c>
      <c r="P49" s="93">
        <f t="shared" si="69"/>
        <v>66438.85384618293</v>
      </c>
      <c r="Q49" s="108">
        <f t="shared" si="70"/>
        <v>9809.1461538170734</v>
      </c>
      <c r="R49" s="108">
        <f t="shared" si="71"/>
        <v>76248</v>
      </c>
      <c r="S49" s="108">
        <f t="shared" si="72"/>
        <v>59056.758974384822</v>
      </c>
      <c r="T49" s="108">
        <f t="shared" si="73"/>
        <v>8719.2410256151761</v>
      </c>
      <c r="U49" s="108">
        <f t="shared" si="74"/>
        <v>67776</v>
      </c>
      <c r="V49" s="108">
        <f t="shared" si="75"/>
        <v>51674.664102586714</v>
      </c>
      <c r="W49" s="108">
        <f t="shared" si="76"/>
        <v>7629.3358974132789</v>
      </c>
      <c r="X49" s="108">
        <f t="shared" si="77"/>
        <v>59303.999999999993</v>
      </c>
      <c r="Y49" s="108">
        <f t="shared" si="78"/>
        <v>44292.569230788613</v>
      </c>
      <c r="Z49" s="108">
        <f t="shared" si="79"/>
        <v>6539.4307692113825</v>
      </c>
      <c r="AA49" s="46">
        <f t="shared" si="80"/>
        <v>50831.999999999993</v>
      </c>
      <c r="AB49" s="32"/>
      <c r="AC49" s="32"/>
      <c r="AD49" s="32"/>
      <c r="AE49" s="32"/>
      <c r="AF49" s="32"/>
      <c r="AG49" s="33"/>
      <c r="AH49" s="32"/>
      <c r="AI49" s="32"/>
    </row>
    <row r="50" spans="1:35" ht="13.5" customHeight="1">
      <c r="A50" s="105">
        <v>129</v>
      </c>
      <c r="B50" s="50">
        <v>41365</v>
      </c>
      <c r="C50" s="61">
        <f>VLOOKUP(B50,'base(indices)'!$A$4:$C$183,3,FALSE)*1.25</f>
        <v>847.5</v>
      </c>
      <c r="D50" s="343">
        <f>'base(indices)'!G43</f>
        <v>1.65283051</v>
      </c>
      <c r="E50" s="54">
        <f t="shared" si="61"/>
        <v>1400.773857225</v>
      </c>
      <c r="F50" s="307">
        <f>'base(indices)'!$I$147</f>
        <v>0.29920000000000002</v>
      </c>
      <c r="G50" s="54">
        <f t="shared" si="62"/>
        <v>419.11153808172003</v>
      </c>
      <c r="H50" s="55">
        <f t="shared" si="63"/>
        <v>1819.8853953067201</v>
      </c>
      <c r="I50" s="384">
        <f t="shared" si="20"/>
        <v>260165.01631526361</v>
      </c>
      <c r="J50" s="58">
        <f>IF((I50-H$57+(H$57/12*9))+K50-(H50/2)&gt;$I$197,$I$197-K50,(I50-H$57+(H$57/12*9)-(H50/2)))</f>
        <v>73820.948717981024</v>
      </c>
      <c r="K50" s="91">
        <f t="shared" si="64"/>
        <v>10899.051282018971</v>
      </c>
      <c r="L50" s="92">
        <f t="shared" si="65"/>
        <v>84720</v>
      </c>
      <c r="M50" s="91">
        <f t="shared" si="66"/>
        <v>70129.901282081963</v>
      </c>
      <c r="N50" s="91">
        <f t="shared" si="67"/>
        <v>10354.098717918021</v>
      </c>
      <c r="O50" s="91">
        <f t="shared" si="68"/>
        <v>80483.999999999985</v>
      </c>
      <c r="P50" s="91">
        <f t="shared" si="69"/>
        <v>66438.85384618293</v>
      </c>
      <c r="Q50" s="91">
        <f t="shared" si="70"/>
        <v>9809.1461538170734</v>
      </c>
      <c r="R50" s="91">
        <f t="shared" si="71"/>
        <v>76248</v>
      </c>
      <c r="S50" s="91">
        <f t="shared" si="72"/>
        <v>59056.758974384822</v>
      </c>
      <c r="T50" s="91">
        <f t="shared" si="73"/>
        <v>8719.2410256151761</v>
      </c>
      <c r="U50" s="91">
        <f t="shared" si="74"/>
        <v>67776</v>
      </c>
      <c r="V50" s="91">
        <f t="shared" si="75"/>
        <v>51674.664102586714</v>
      </c>
      <c r="W50" s="91">
        <f t="shared" si="76"/>
        <v>7629.3358974132789</v>
      </c>
      <c r="X50" s="91">
        <f t="shared" si="77"/>
        <v>59303.999999999993</v>
      </c>
      <c r="Y50" s="91">
        <f t="shared" si="78"/>
        <v>44292.569230788613</v>
      </c>
      <c r="Z50" s="91">
        <f t="shared" si="79"/>
        <v>6539.4307692113825</v>
      </c>
      <c r="AA50" s="59">
        <f t="shared" si="80"/>
        <v>50831.999999999993</v>
      </c>
      <c r="AB50" s="16"/>
      <c r="AC50" s="16"/>
      <c r="AD50" s="16"/>
      <c r="AE50" s="16"/>
      <c r="AF50" s="16"/>
      <c r="AG50" s="17"/>
      <c r="AH50" s="16"/>
      <c r="AI50" s="16"/>
    </row>
    <row r="51" spans="1:35" s="26" customFormat="1" ht="13.5" customHeight="1">
      <c r="A51" s="105">
        <v>128</v>
      </c>
      <c r="B51" s="40">
        <v>41395</v>
      </c>
      <c r="C51" s="61">
        <f>VLOOKUP(B51,'base(indices)'!$A$4:$C$183,3,FALSE)*1.25</f>
        <v>847.5</v>
      </c>
      <c r="D51" s="343">
        <f>'base(indices)'!G44</f>
        <v>1.6444438400000001</v>
      </c>
      <c r="E51" s="63">
        <f t="shared" si="61"/>
        <v>1393.6661544000001</v>
      </c>
      <c r="F51" s="307">
        <f>'base(indices)'!$I$147</f>
        <v>0.29920000000000002</v>
      </c>
      <c r="G51" s="63">
        <f t="shared" si="62"/>
        <v>416.98491339648007</v>
      </c>
      <c r="H51" s="64">
        <f t="shared" si="63"/>
        <v>1810.6510677964802</v>
      </c>
      <c r="I51" s="360">
        <f t="shared" si="20"/>
        <v>258345.13091995689</v>
      </c>
      <c r="J51" s="45">
        <f>IF((I51-H$57+(H$57/12*8))+K51-(H51/2)&gt;$I$197,$I$197-K51,(I51-H$57+(H$57/12*8)-(H51/2)))</f>
        <v>73820.948717981024</v>
      </c>
      <c r="K51" s="108">
        <f t="shared" si="64"/>
        <v>10899.051282018971</v>
      </c>
      <c r="L51" s="108">
        <f t="shared" si="65"/>
        <v>84720</v>
      </c>
      <c r="M51" s="108">
        <f t="shared" si="66"/>
        <v>70129.901282081963</v>
      </c>
      <c r="N51" s="108">
        <f t="shared" si="67"/>
        <v>10354.098717918021</v>
      </c>
      <c r="O51" s="108">
        <f t="shared" si="68"/>
        <v>80483.999999999985</v>
      </c>
      <c r="P51" s="93">
        <f t="shared" si="69"/>
        <v>66438.85384618293</v>
      </c>
      <c r="Q51" s="108">
        <f t="shared" si="70"/>
        <v>9809.1461538170734</v>
      </c>
      <c r="R51" s="108">
        <f t="shared" si="71"/>
        <v>76248</v>
      </c>
      <c r="S51" s="108">
        <f t="shared" si="72"/>
        <v>59056.758974384822</v>
      </c>
      <c r="T51" s="108">
        <f t="shared" si="73"/>
        <v>8719.2410256151761</v>
      </c>
      <c r="U51" s="108">
        <f t="shared" si="74"/>
        <v>67776</v>
      </c>
      <c r="V51" s="108">
        <f t="shared" si="75"/>
        <v>51674.664102586714</v>
      </c>
      <c r="W51" s="108">
        <f t="shared" si="76"/>
        <v>7629.3358974132789</v>
      </c>
      <c r="X51" s="108">
        <f t="shared" si="77"/>
        <v>59303.999999999993</v>
      </c>
      <c r="Y51" s="108">
        <f t="shared" si="78"/>
        <v>44292.569230788613</v>
      </c>
      <c r="Z51" s="108">
        <f t="shared" si="79"/>
        <v>6539.4307692113825</v>
      </c>
      <c r="AA51" s="46">
        <f t="shared" si="80"/>
        <v>50831.999999999993</v>
      </c>
      <c r="AB51" s="32"/>
      <c r="AC51" s="32"/>
      <c r="AD51" s="32"/>
      <c r="AE51" s="32"/>
      <c r="AF51" s="32"/>
      <c r="AG51" s="33"/>
      <c r="AH51" s="32"/>
      <c r="AI51" s="32"/>
    </row>
    <row r="52" spans="1:35" ht="13.5" customHeight="1">
      <c r="A52" s="105">
        <v>127</v>
      </c>
      <c r="B52" s="50">
        <v>41426</v>
      </c>
      <c r="C52" s="61">
        <f>VLOOKUP(B52,'base(indices)'!$A$4:$C$183,3,FALSE)*1.25</f>
        <v>847.5</v>
      </c>
      <c r="D52" s="343">
        <f>'base(indices)'!G45</f>
        <v>1.63691404</v>
      </c>
      <c r="E52" s="54">
        <f t="shared" si="61"/>
        <v>1387.2846488999999</v>
      </c>
      <c r="F52" s="307">
        <f>'base(indices)'!$I$147</f>
        <v>0.29920000000000002</v>
      </c>
      <c r="G52" s="54">
        <f t="shared" si="62"/>
        <v>415.07556695087999</v>
      </c>
      <c r="H52" s="55">
        <f t="shared" si="63"/>
        <v>1802.3602158508797</v>
      </c>
      <c r="I52" s="384">
        <f t="shared" si="20"/>
        <v>256534.47985216041</v>
      </c>
      <c r="J52" s="58">
        <f>IF((I52-H$57+(H$57/12*7))+K52-(H52/2)&gt;$I$197,$I$197-K52,(I52-H$57+(H$57/12*7)-(H52/2)))</f>
        <v>73820.948717981024</v>
      </c>
      <c r="K52" s="91">
        <f t="shared" si="64"/>
        <v>10899.051282018971</v>
      </c>
      <c r="L52" s="92">
        <f t="shared" si="65"/>
        <v>84720</v>
      </c>
      <c r="M52" s="91">
        <f t="shared" si="66"/>
        <v>70129.901282081963</v>
      </c>
      <c r="N52" s="91">
        <f t="shared" si="67"/>
        <v>10354.098717918021</v>
      </c>
      <c r="O52" s="91">
        <f t="shared" si="68"/>
        <v>80483.999999999985</v>
      </c>
      <c r="P52" s="91">
        <f t="shared" si="69"/>
        <v>66438.85384618293</v>
      </c>
      <c r="Q52" s="91">
        <f t="shared" si="70"/>
        <v>9809.1461538170734</v>
      </c>
      <c r="R52" s="91">
        <f t="shared" si="71"/>
        <v>76248</v>
      </c>
      <c r="S52" s="91">
        <f t="shared" si="72"/>
        <v>59056.758974384822</v>
      </c>
      <c r="T52" s="91">
        <f t="shared" si="73"/>
        <v>8719.2410256151761</v>
      </c>
      <c r="U52" s="91">
        <f t="shared" si="74"/>
        <v>67776</v>
      </c>
      <c r="V52" s="91">
        <f t="shared" si="75"/>
        <v>51674.664102586714</v>
      </c>
      <c r="W52" s="91">
        <f t="shared" si="76"/>
        <v>7629.3358974132789</v>
      </c>
      <c r="X52" s="91">
        <f t="shared" si="77"/>
        <v>59303.999999999993</v>
      </c>
      <c r="Y52" s="91">
        <f t="shared" si="78"/>
        <v>44292.569230788613</v>
      </c>
      <c r="Z52" s="91">
        <f t="shared" si="79"/>
        <v>6539.4307692113825</v>
      </c>
      <c r="AA52" s="59">
        <f t="shared" si="80"/>
        <v>50831.999999999993</v>
      </c>
      <c r="AB52" s="16"/>
      <c r="AC52" s="16"/>
      <c r="AD52" s="16"/>
      <c r="AE52" s="16"/>
      <c r="AF52" s="16"/>
      <c r="AG52" s="17"/>
      <c r="AH52" s="16"/>
      <c r="AI52" s="16"/>
    </row>
    <row r="53" spans="1:35" s="26" customFormat="1" ht="13.5" customHeight="1">
      <c r="A53" s="105">
        <v>126</v>
      </c>
      <c r="B53" s="40">
        <v>41456</v>
      </c>
      <c r="C53" s="61">
        <f>VLOOKUP(B53,'base(indices)'!$A$4:$C$183,3,FALSE)*1.25</f>
        <v>847.5</v>
      </c>
      <c r="D53" s="343">
        <f>'base(indices)'!G46</f>
        <v>1.6307173100000001</v>
      </c>
      <c r="E53" s="63">
        <f t="shared" si="61"/>
        <v>1382.032920225</v>
      </c>
      <c r="F53" s="307">
        <f>'base(indices)'!$I$147</f>
        <v>0.29920000000000002</v>
      </c>
      <c r="G53" s="63">
        <f t="shared" si="62"/>
        <v>413.50424973132004</v>
      </c>
      <c r="H53" s="64">
        <f t="shared" si="63"/>
        <v>1795.53716995632</v>
      </c>
      <c r="I53" s="360">
        <f t="shared" si="20"/>
        <v>254732.11963630954</v>
      </c>
      <c r="J53" s="45">
        <f>IF((I53-H$57+(H$57/12*6))+K53-(H53/2)&gt;$I$197,$I$197-K53,(I53-H$57+(H$57/12*6)-(H53/2)))</f>
        <v>73820.948717981024</v>
      </c>
      <c r="K53" s="108">
        <f t="shared" si="64"/>
        <v>10899.051282018971</v>
      </c>
      <c r="L53" s="108">
        <f t="shared" si="65"/>
        <v>84720</v>
      </c>
      <c r="M53" s="108">
        <f t="shared" si="66"/>
        <v>70129.901282081963</v>
      </c>
      <c r="N53" s="108">
        <f t="shared" si="67"/>
        <v>10354.098717918021</v>
      </c>
      <c r="O53" s="108">
        <f t="shared" si="68"/>
        <v>80483.999999999985</v>
      </c>
      <c r="P53" s="93">
        <f t="shared" si="69"/>
        <v>66438.85384618293</v>
      </c>
      <c r="Q53" s="108">
        <f t="shared" si="70"/>
        <v>9809.1461538170734</v>
      </c>
      <c r="R53" s="108">
        <f t="shared" si="71"/>
        <v>76248</v>
      </c>
      <c r="S53" s="108">
        <f t="shared" si="72"/>
        <v>59056.758974384822</v>
      </c>
      <c r="T53" s="108">
        <f t="shared" si="73"/>
        <v>8719.2410256151761</v>
      </c>
      <c r="U53" s="108">
        <f t="shared" si="74"/>
        <v>67776</v>
      </c>
      <c r="V53" s="108">
        <f t="shared" si="75"/>
        <v>51674.664102586714</v>
      </c>
      <c r="W53" s="108">
        <f t="shared" si="76"/>
        <v>7629.3358974132789</v>
      </c>
      <c r="X53" s="108">
        <f t="shared" si="77"/>
        <v>59303.999999999993</v>
      </c>
      <c r="Y53" s="108">
        <f t="shared" si="78"/>
        <v>44292.569230788613</v>
      </c>
      <c r="Z53" s="108">
        <f t="shared" si="79"/>
        <v>6539.4307692113825</v>
      </c>
      <c r="AA53" s="46">
        <f t="shared" si="80"/>
        <v>50831.999999999993</v>
      </c>
      <c r="AB53" s="32"/>
      <c r="AC53" s="32"/>
      <c r="AD53" s="32"/>
      <c r="AE53" s="32"/>
      <c r="AF53" s="32"/>
      <c r="AG53" s="33"/>
      <c r="AH53" s="32"/>
      <c r="AI53" s="32"/>
    </row>
    <row r="54" spans="1:35" ht="13.5" customHeight="1">
      <c r="A54" s="105">
        <v>125</v>
      </c>
      <c r="B54" s="50">
        <v>41487</v>
      </c>
      <c r="C54" s="61">
        <f>VLOOKUP(B54,'base(indices)'!$A$4:$C$183,3,FALSE)*1.25</f>
        <v>847.5</v>
      </c>
      <c r="D54" s="343">
        <f>'base(indices)'!G47</f>
        <v>1.62957661</v>
      </c>
      <c r="E54" s="54">
        <f t="shared" si="61"/>
        <v>1381.066176975</v>
      </c>
      <c r="F54" s="307">
        <f>'base(indices)'!$I$147</f>
        <v>0.29920000000000002</v>
      </c>
      <c r="G54" s="54">
        <f t="shared" si="62"/>
        <v>413.21500015091999</v>
      </c>
      <c r="H54" s="55">
        <f t="shared" si="63"/>
        <v>1794.2811771259198</v>
      </c>
      <c r="I54" s="384">
        <f t="shared" si="20"/>
        <v>252936.58246635323</v>
      </c>
      <c r="J54" s="58">
        <f>IF((I54-H$57+(H$57/12*5))+K54-(H54/2)&gt;$I$197,$I$197-K54,(I54-H$57+(H$57/12*5)-(H54/2)))</f>
        <v>73820.948717981024</v>
      </c>
      <c r="K54" s="91">
        <f t="shared" si="64"/>
        <v>10899.051282018971</v>
      </c>
      <c r="L54" s="92">
        <f t="shared" si="65"/>
        <v>84720</v>
      </c>
      <c r="M54" s="91">
        <f t="shared" si="66"/>
        <v>70129.901282081963</v>
      </c>
      <c r="N54" s="91">
        <f t="shared" si="67"/>
        <v>10354.098717918021</v>
      </c>
      <c r="O54" s="91">
        <f t="shared" si="68"/>
        <v>80483.999999999985</v>
      </c>
      <c r="P54" s="91">
        <f t="shared" si="69"/>
        <v>66438.85384618293</v>
      </c>
      <c r="Q54" s="91">
        <f t="shared" si="70"/>
        <v>9809.1461538170734</v>
      </c>
      <c r="R54" s="91">
        <f t="shared" si="71"/>
        <v>76248</v>
      </c>
      <c r="S54" s="91">
        <f t="shared" si="72"/>
        <v>59056.758974384822</v>
      </c>
      <c r="T54" s="91">
        <f t="shared" si="73"/>
        <v>8719.2410256151761</v>
      </c>
      <c r="U54" s="91">
        <f t="shared" si="74"/>
        <v>67776</v>
      </c>
      <c r="V54" s="91">
        <f t="shared" si="75"/>
        <v>51674.664102586714</v>
      </c>
      <c r="W54" s="91">
        <f t="shared" si="76"/>
        <v>7629.3358974132789</v>
      </c>
      <c r="X54" s="91">
        <f t="shared" si="77"/>
        <v>59303.999999999993</v>
      </c>
      <c r="Y54" s="91">
        <f t="shared" si="78"/>
        <v>44292.569230788613</v>
      </c>
      <c r="Z54" s="91">
        <f t="shared" si="79"/>
        <v>6539.4307692113825</v>
      </c>
      <c r="AA54" s="59">
        <f t="shared" si="80"/>
        <v>50831.999999999993</v>
      </c>
      <c r="AB54" s="16"/>
      <c r="AC54" s="16"/>
      <c r="AD54" s="16"/>
      <c r="AE54" s="16"/>
      <c r="AF54" s="16"/>
      <c r="AG54" s="17"/>
      <c r="AH54" s="16"/>
      <c r="AI54" s="16"/>
    </row>
    <row r="55" spans="1:35" s="26" customFormat="1" ht="13.5" customHeight="1">
      <c r="A55" s="105">
        <v>124</v>
      </c>
      <c r="B55" s="40">
        <v>41518</v>
      </c>
      <c r="C55" s="61">
        <f>VLOOKUP(B55,'base(indices)'!$A$4:$C$183,3,FALSE)*1.25</f>
        <v>847.5</v>
      </c>
      <c r="D55" s="343">
        <f>'base(indices)'!G48</f>
        <v>1.6269734499999999</v>
      </c>
      <c r="E55" s="63">
        <f t="shared" si="61"/>
        <v>1378.859998875</v>
      </c>
      <c r="F55" s="307">
        <f>'base(indices)'!$I$147</f>
        <v>0.29920000000000002</v>
      </c>
      <c r="G55" s="63">
        <f t="shared" si="62"/>
        <v>412.55491166340005</v>
      </c>
      <c r="H55" s="64">
        <f t="shared" si="63"/>
        <v>1791.4149105383999</v>
      </c>
      <c r="I55" s="360">
        <f t="shared" si="20"/>
        <v>251142.3012892273</v>
      </c>
      <c r="J55" s="45">
        <f>IF((I55-H$57+(H$57/12*4))+K55-(H55/2)&gt;$I$197,$I$197-K55,(I55-H$57+(H$57/12*4)-(H55/2)))</f>
        <v>73820.948717981024</v>
      </c>
      <c r="K55" s="108">
        <f t="shared" si="64"/>
        <v>10899.051282018971</v>
      </c>
      <c r="L55" s="108">
        <f t="shared" si="65"/>
        <v>84720</v>
      </c>
      <c r="M55" s="108">
        <f t="shared" si="66"/>
        <v>70129.901282081963</v>
      </c>
      <c r="N55" s="108">
        <f t="shared" si="67"/>
        <v>10354.098717918021</v>
      </c>
      <c r="O55" s="108">
        <f t="shared" si="68"/>
        <v>80483.999999999985</v>
      </c>
      <c r="P55" s="93">
        <f t="shared" si="69"/>
        <v>66438.85384618293</v>
      </c>
      <c r="Q55" s="108">
        <f t="shared" si="70"/>
        <v>9809.1461538170734</v>
      </c>
      <c r="R55" s="108">
        <f t="shared" si="71"/>
        <v>76248</v>
      </c>
      <c r="S55" s="108">
        <f t="shared" si="72"/>
        <v>59056.758974384822</v>
      </c>
      <c r="T55" s="108">
        <f t="shared" si="73"/>
        <v>8719.2410256151761</v>
      </c>
      <c r="U55" s="108">
        <f t="shared" si="74"/>
        <v>67776</v>
      </c>
      <c r="V55" s="108">
        <f t="shared" si="75"/>
        <v>51674.664102586714</v>
      </c>
      <c r="W55" s="108">
        <f t="shared" si="76"/>
        <v>7629.3358974132789</v>
      </c>
      <c r="X55" s="108">
        <f t="shared" si="77"/>
        <v>59303.999999999993</v>
      </c>
      <c r="Y55" s="108">
        <f t="shared" si="78"/>
        <v>44292.569230788613</v>
      </c>
      <c r="Z55" s="108">
        <f t="shared" si="79"/>
        <v>6539.4307692113825</v>
      </c>
      <c r="AA55" s="46">
        <f t="shared" si="80"/>
        <v>50831.999999999993</v>
      </c>
      <c r="AB55" s="32"/>
      <c r="AC55" s="32"/>
      <c r="AD55" s="32"/>
      <c r="AE55" s="32"/>
      <c r="AF55" s="32"/>
      <c r="AG55" s="33"/>
      <c r="AH55" s="32"/>
      <c r="AI55" s="32"/>
    </row>
    <row r="56" spans="1:35" ht="13.5" customHeight="1">
      <c r="A56" s="105">
        <v>123</v>
      </c>
      <c r="B56" s="50">
        <v>41548</v>
      </c>
      <c r="C56" s="61">
        <f>VLOOKUP(B56,'base(indices)'!$A$4:$C$183,3,FALSE)*1.25</f>
        <v>847.5</v>
      </c>
      <c r="D56" s="343">
        <f>'base(indices)'!G49</f>
        <v>1.62259245</v>
      </c>
      <c r="E56" s="54">
        <f t="shared" si="61"/>
        <v>1375.1471013749999</v>
      </c>
      <c r="F56" s="307">
        <f>'base(indices)'!$I$147</f>
        <v>0.29920000000000002</v>
      </c>
      <c r="G56" s="54">
        <f t="shared" si="62"/>
        <v>411.44401273139999</v>
      </c>
      <c r="H56" s="55">
        <f t="shared" si="63"/>
        <v>1786.5911141063998</v>
      </c>
      <c r="I56" s="384">
        <f t="shared" si="20"/>
        <v>249350.88637868888</v>
      </c>
      <c r="J56" s="58">
        <f>IF((I56-H$57+(H$57/12*3))+K56-(H56/2)&gt;$I$197,$I$197-K56,(I56-H$57+(H$57/12*3)-(H56/2)))</f>
        <v>73820.948717981024</v>
      </c>
      <c r="K56" s="91">
        <f t="shared" si="64"/>
        <v>10899.051282018971</v>
      </c>
      <c r="L56" s="92">
        <f t="shared" si="65"/>
        <v>84720</v>
      </c>
      <c r="M56" s="91">
        <f t="shared" si="66"/>
        <v>70129.901282081963</v>
      </c>
      <c r="N56" s="91">
        <f t="shared" si="67"/>
        <v>10354.098717918021</v>
      </c>
      <c r="O56" s="91">
        <f t="shared" si="68"/>
        <v>80483.999999999985</v>
      </c>
      <c r="P56" s="91">
        <f t="shared" si="69"/>
        <v>66438.85384618293</v>
      </c>
      <c r="Q56" s="91">
        <f t="shared" si="70"/>
        <v>9809.1461538170734</v>
      </c>
      <c r="R56" s="91">
        <f t="shared" si="71"/>
        <v>76248</v>
      </c>
      <c r="S56" s="91">
        <f t="shared" si="72"/>
        <v>59056.758974384822</v>
      </c>
      <c r="T56" s="91">
        <f t="shared" si="73"/>
        <v>8719.2410256151761</v>
      </c>
      <c r="U56" s="91">
        <f t="shared" si="74"/>
        <v>67776</v>
      </c>
      <c r="V56" s="91">
        <f t="shared" si="75"/>
        <v>51674.664102586714</v>
      </c>
      <c r="W56" s="91">
        <f t="shared" si="76"/>
        <v>7629.3358974132789</v>
      </c>
      <c r="X56" s="91">
        <f t="shared" si="77"/>
        <v>59303.999999999993</v>
      </c>
      <c r="Y56" s="91">
        <f t="shared" si="78"/>
        <v>44292.569230788613</v>
      </c>
      <c r="Z56" s="91">
        <f t="shared" si="79"/>
        <v>6539.4307692113825</v>
      </c>
      <c r="AA56" s="59">
        <f t="shared" si="80"/>
        <v>50831.999999999993</v>
      </c>
      <c r="AB56" s="16"/>
      <c r="AC56" s="16"/>
      <c r="AD56" s="16"/>
      <c r="AE56" s="16"/>
      <c r="AF56" s="16"/>
      <c r="AG56" s="17"/>
      <c r="AH56" s="16"/>
      <c r="AI56" s="16"/>
    </row>
    <row r="57" spans="1:35" s="26" customFormat="1" ht="13.5" customHeight="1">
      <c r="A57" s="105">
        <v>122</v>
      </c>
      <c r="B57" s="40">
        <v>41579</v>
      </c>
      <c r="C57" s="61">
        <f>VLOOKUP(B57,'base(indices)'!$A$4:$C$183,3,FALSE)*1.25</f>
        <v>847.5</v>
      </c>
      <c r="D57" s="343">
        <f>'base(indices)'!G50</f>
        <v>1.61484121</v>
      </c>
      <c r="E57" s="63">
        <f t="shared" si="61"/>
        <v>1368.577925475</v>
      </c>
      <c r="F57" s="307">
        <f>'base(indices)'!$I$147</f>
        <v>0.29920000000000002</v>
      </c>
      <c r="G57" s="63">
        <f t="shared" si="62"/>
        <v>409.47851530212006</v>
      </c>
      <c r="H57" s="64">
        <f t="shared" si="63"/>
        <v>1778.0564407771201</v>
      </c>
      <c r="I57" s="360">
        <f t="shared" si="20"/>
        <v>247564.29526458247</v>
      </c>
      <c r="J57" s="45">
        <f>IF((I57-H$57+(H$57/12*2))+K57-(H57/2)&gt;$I$197,$I$197-K57,(I57-H$57+(H$57/12*2)-(H57/2)))</f>
        <v>73820.948717981024</v>
      </c>
      <c r="K57" s="108">
        <f t="shared" si="64"/>
        <v>10899.051282018971</v>
      </c>
      <c r="L57" s="108">
        <f t="shared" si="65"/>
        <v>84720</v>
      </c>
      <c r="M57" s="108">
        <f t="shared" si="66"/>
        <v>70129.901282081963</v>
      </c>
      <c r="N57" s="108">
        <f t="shared" si="67"/>
        <v>10354.098717918021</v>
      </c>
      <c r="O57" s="108">
        <f t="shared" si="68"/>
        <v>80483.999999999985</v>
      </c>
      <c r="P57" s="93">
        <f t="shared" si="69"/>
        <v>66438.85384618293</v>
      </c>
      <c r="Q57" s="108">
        <f t="shared" si="70"/>
        <v>9809.1461538170734</v>
      </c>
      <c r="R57" s="108">
        <f t="shared" si="71"/>
        <v>76248</v>
      </c>
      <c r="S57" s="108">
        <f t="shared" si="72"/>
        <v>59056.758974384822</v>
      </c>
      <c r="T57" s="108">
        <f t="shared" si="73"/>
        <v>8719.2410256151761</v>
      </c>
      <c r="U57" s="108">
        <f t="shared" si="74"/>
        <v>67776</v>
      </c>
      <c r="V57" s="108">
        <f t="shared" si="75"/>
        <v>51674.664102586714</v>
      </c>
      <c r="W57" s="108">
        <f t="shared" si="76"/>
        <v>7629.3358974132789</v>
      </c>
      <c r="X57" s="108">
        <f t="shared" si="77"/>
        <v>59303.999999999993</v>
      </c>
      <c r="Y57" s="108">
        <f t="shared" si="78"/>
        <v>44292.569230788613</v>
      </c>
      <c r="Z57" s="108">
        <f t="shared" si="79"/>
        <v>6539.4307692113825</v>
      </c>
      <c r="AA57" s="46">
        <f t="shared" si="80"/>
        <v>50831.999999999993</v>
      </c>
      <c r="AB57" s="32"/>
      <c r="AC57" s="32"/>
      <c r="AD57" s="32"/>
      <c r="AE57" s="32"/>
      <c r="AF57" s="32"/>
      <c r="AG57" s="33"/>
      <c r="AH57" s="32"/>
      <c r="AI57" s="32"/>
    </row>
    <row r="58" spans="1:35" ht="13.5" customHeight="1" thickBot="1">
      <c r="A58" s="161">
        <v>121</v>
      </c>
      <c r="B58" s="383">
        <v>41609</v>
      </c>
      <c r="C58" s="142">
        <f>C57*2</f>
        <v>1695</v>
      </c>
      <c r="D58" s="343">
        <f>'base(indices)'!G51</f>
        <v>1.6056887900000001</v>
      </c>
      <c r="E58" s="170">
        <f t="shared" si="61"/>
        <v>2721.64249905</v>
      </c>
      <c r="F58" s="307">
        <f>'base(indices)'!$I$147</f>
        <v>0.29920000000000002</v>
      </c>
      <c r="G58" s="170">
        <f t="shared" si="62"/>
        <v>814.31543571576003</v>
      </c>
      <c r="H58" s="249">
        <f t="shared" si="63"/>
        <v>3535.95793476576</v>
      </c>
      <c r="I58" s="384">
        <f t="shared" si="20"/>
        <v>245786.23882380535</v>
      </c>
      <c r="J58" s="285">
        <f>IF((I58-H$57+(H$57/12*1))+K58-(H58/4)&gt;$I$197,$I$197-K58,(I58-H$57+(H$57/12*1)-(H58/4)))</f>
        <v>73820.948717981024</v>
      </c>
      <c r="K58" s="86">
        <f t="shared" si="64"/>
        <v>10899.051282018971</v>
      </c>
      <c r="L58" s="164">
        <f t="shared" si="65"/>
        <v>84720</v>
      </c>
      <c r="M58" s="86">
        <f t="shared" si="66"/>
        <v>70129.901282081963</v>
      </c>
      <c r="N58" s="86">
        <f t="shared" si="67"/>
        <v>10354.098717918021</v>
      </c>
      <c r="O58" s="86">
        <f t="shared" si="68"/>
        <v>80483.999999999985</v>
      </c>
      <c r="P58" s="86">
        <f t="shared" si="69"/>
        <v>66438.85384618293</v>
      </c>
      <c r="Q58" s="86">
        <f t="shared" si="70"/>
        <v>9809.1461538170734</v>
      </c>
      <c r="R58" s="86">
        <f t="shared" si="71"/>
        <v>76248</v>
      </c>
      <c r="S58" s="86">
        <f t="shared" si="72"/>
        <v>59056.758974384822</v>
      </c>
      <c r="T58" s="86">
        <f t="shared" si="73"/>
        <v>8719.2410256151761</v>
      </c>
      <c r="U58" s="86">
        <f t="shared" si="74"/>
        <v>67776</v>
      </c>
      <c r="V58" s="86">
        <f t="shared" si="75"/>
        <v>51674.664102586714</v>
      </c>
      <c r="W58" s="86">
        <f t="shared" si="76"/>
        <v>7629.3358974132789</v>
      </c>
      <c r="X58" s="86">
        <f t="shared" si="77"/>
        <v>59303.999999999993</v>
      </c>
      <c r="Y58" s="86">
        <f t="shared" si="78"/>
        <v>44292.569230788613</v>
      </c>
      <c r="Z58" s="86">
        <f t="shared" si="79"/>
        <v>6539.4307692113825</v>
      </c>
      <c r="AA58" s="165">
        <f t="shared" si="80"/>
        <v>50831.999999999993</v>
      </c>
      <c r="AB58" s="16"/>
      <c r="AC58" s="16"/>
      <c r="AD58" s="16"/>
      <c r="AE58" s="16"/>
      <c r="AF58" s="16"/>
      <c r="AG58" s="17"/>
      <c r="AH58" s="16"/>
      <c r="AI58" s="16"/>
    </row>
    <row r="59" spans="1:35" s="26" customFormat="1" ht="13.5" customHeight="1">
      <c r="A59" s="158">
        <v>120</v>
      </c>
      <c r="B59" s="136">
        <v>41640</v>
      </c>
      <c r="C59" s="120">
        <f>VLOOKUP(B59,'base(indices)'!$A$4:$C$183,3,FALSE)*1.25</f>
        <v>905</v>
      </c>
      <c r="D59" s="386">
        <f>'base(indices)'!G52</f>
        <v>1.5937357700000001</v>
      </c>
      <c r="E59" s="78">
        <f t="shared" si="61"/>
        <v>1442.33087185</v>
      </c>
      <c r="F59" s="371">
        <f>'base(indices)'!$I$147</f>
        <v>0.29920000000000002</v>
      </c>
      <c r="G59" s="78">
        <f t="shared" si="62"/>
        <v>431.54539685752002</v>
      </c>
      <c r="H59" s="80">
        <f t="shared" si="63"/>
        <v>1873.87626870752</v>
      </c>
      <c r="I59" s="358">
        <f t="shared" si="20"/>
        <v>242250.2808890396</v>
      </c>
      <c r="J59" s="48">
        <f>IF((I59-H$69+(H$69))+K59-(H59/2)&gt;$I$197,$I$197-K59,(I59-H$69+(H$69)-(H59/2)))</f>
        <v>73820.948717981024</v>
      </c>
      <c r="K59" s="109">
        <f t="shared" si="64"/>
        <v>10899.051282018971</v>
      </c>
      <c r="L59" s="109">
        <f t="shared" si="65"/>
        <v>84720</v>
      </c>
      <c r="M59" s="109">
        <f t="shared" si="66"/>
        <v>70129.901282081963</v>
      </c>
      <c r="N59" s="109">
        <f t="shared" si="67"/>
        <v>10354.098717918021</v>
      </c>
      <c r="O59" s="109">
        <f t="shared" si="68"/>
        <v>80483.999999999985</v>
      </c>
      <c r="P59" s="90">
        <f t="shared" si="69"/>
        <v>66438.85384618293</v>
      </c>
      <c r="Q59" s="109">
        <f t="shared" si="70"/>
        <v>9809.1461538170734</v>
      </c>
      <c r="R59" s="109">
        <f t="shared" si="71"/>
        <v>76248</v>
      </c>
      <c r="S59" s="109">
        <f t="shared" si="72"/>
        <v>59056.758974384822</v>
      </c>
      <c r="T59" s="109">
        <f t="shared" si="73"/>
        <v>8719.2410256151761</v>
      </c>
      <c r="U59" s="109">
        <f t="shared" si="74"/>
        <v>67776</v>
      </c>
      <c r="V59" s="109">
        <f t="shared" si="75"/>
        <v>51674.664102586714</v>
      </c>
      <c r="W59" s="109">
        <f t="shared" si="76"/>
        <v>7629.3358974132789</v>
      </c>
      <c r="X59" s="109">
        <f t="shared" si="77"/>
        <v>59303.999999999993</v>
      </c>
      <c r="Y59" s="109">
        <f t="shared" si="78"/>
        <v>44292.569230788613</v>
      </c>
      <c r="Z59" s="109">
        <f t="shared" si="79"/>
        <v>6539.4307692113825</v>
      </c>
      <c r="AA59" s="49">
        <f t="shared" si="80"/>
        <v>50831.999999999993</v>
      </c>
      <c r="AB59" s="32"/>
      <c r="AC59" s="32"/>
      <c r="AD59" s="32"/>
      <c r="AE59" s="32"/>
      <c r="AF59" s="32"/>
      <c r="AG59" s="33"/>
      <c r="AH59" s="32"/>
      <c r="AI59" s="32"/>
    </row>
    <row r="60" spans="1:35" s="26" customFormat="1" ht="13.5" customHeight="1">
      <c r="A60" s="105">
        <v>119</v>
      </c>
      <c r="B60" s="50">
        <v>41671</v>
      </c>
      <c r="C60" s="61">
        <f>VLOOKUP(B60,'base(indices)'!$A$4:$C$183,3,FALSE)*1.25</f>
        <v>905</v>
      </c>
      <c r="D60" s="343">
        <f>'base(indices)'!G53</f>
        <v>1.5831288100000001</v>
      </c>
      <c r="E60" s="54">
        <f t="shared" si="61"/>
        <v>1432.73157305</v>
      </c>
      <c r="F60" s="307">
        <f>'base(indices)'!$I$147</f>
        <v>0.29920000000000002</v>
      </c>
      <c r="G60" s="54">
        <f t="shared" si="62"/>
        <v>428.67328665656004</v>
      </c>
      <c r="H60" s="55">
        <f t="shared" si="63"/>
        <v>1861.40485970656</v>
      </c>
      <c r="I60" s="384">
        <f t="shared" si="20"/>
        <v>240376.40462033209</v>
      </c>
      <c r="J60" s="58">
        <f>IF((I60-H$69+(H$69/12*11))+K60-(H60/2)&gt;$I$197,$I$197-K60,(I60-H$69+(H$69/12*11)-(H60/2)))</f>
        <v>73820.948717981024</v>
      </c>
      <c r="K60" s="91">
        <f t="shared" si="64"/>
        <v>10899.051282018971</v>
      </c>
      <c r="L60" s="92">
        <f t="shared" si="65"/>
        <v>84720</v>
      </c>
      <c r="M60" s="91">
        <f t="shared" si="66"/>
        <v>70129.901282081963</v>
      </c>
      <c r="N60" s="91">
        <f t="shared" si="67"/>
        <v>10354.098717918021</v>
      </c>
      <c r="O60" s="91">
        <f t="shared" si="68"/>
        <v>80483.999999999985</v>
      </c>
      <c r="P60" s="91">
        <f t="shared" si="69"/>
        <v>66438.85384618293</v>
      </c>
      <c r="Q60" s="91">
        <f t="shared" si="70"/>
        <v>9809.1461538170734</v>
      </c>
      <c r="R60" s="91">
        <f t="shared" si="71"/>
        <v>76248</v>
      </c>
      <c r="S60" s="91">
        <f t="shared" si="72"/>
        <v>59056.758974384822</v>
      </c>
      <c r="T60" s="91">
        <f t="shared" si="73"/>
        <v>8719.2410256151761</v>
      </c>
      <c r="U60" s="91">
        <f t="shared" si="74"/>
        <v>67776</v>
      </c>
      <c r="V60" s="91">
        <f t="shared" si="75"/>
        <v>51674.664102586714</v>
      </c>
      <c r="W60" s="91">
        <f t="shared" si="76"/>
        <v>7629.3358974132789</v>
      </c>
      <c r="X60" s="91">
        <f t="shared" si="77"/>
        <v>59303.999999999993</v>
      </c>
      <c r="Y60" s="91">
        <f t="shared" si="78"/>
        <v>44292.569230788613</v>
      </c>
      <c r="Z60" s="91">
        <f t="shared" si="79"/>
        <v>6539.4307692113825</v>
      </c>
      <c r="AA60" s="59">
        <f t="shared" si="80"/>
        <v>50831.999999999993</v>
      </c>
      <c r="AB60" s="32"/>
      <c r="AC60" s="32"/>
      <c r="AD60" s="32"/>
      <c r="AE60" s="32"/>
      <c r="AF60" s="32"/>
      <c r="AG60" s="33"/>
      <c r="AH60" s="32"/>
      <c r="AI60" s="32"/>
    </row>
    <row r="61" spans="1:35" s="26" customFormat="1" ht="13.5" customHeight="1">
      <c r="A61" s="105">
        <v>118</v>
      </c>
      <c r="B61" s="40">
        <v>41699</v>
      </c>
      <c r="C61" s="61">
        <f>VLOOKUP(B61,'base(indices)'!$A$4:$C$183,3,FALSE)*1.25</f>
        <v>905</v>
      </c>
      <c r="D61" s="343">
        <f>'base(indices)'!G54</f>
        <v>1.57212394</v>
      </c>
      <c r="E61" s="63">
        <f t="shared" si="61"/>
        <v>1422.7721657</v>
      </c>
      <c r="F61" s="307">
        <f>'base(indices)'!$I$147</f>
        <v>0.29920000000000002</v>
      </c>
      <c r="G61" s="63">
        <f t="shared" si="62"/>
        <v>425.69343197744001</v>
      </c>
      <c r="H61" s="64">
        <f t="shared" si="63"/>
        <v>1848.46559767744</v>
      </c>
      <c r="I61" s="360">
        <f t="shared" si="20"/>
        <v>238514.99976062553</v>
      </c>
      <c r="J61" s="45">
        <f>IF((I61-H$69+(H$69/12*10))+K61-(H61/2)&gt;$I$197,$I$197-K61,(I61-H$69+(H$69/12*10)-(H61/2)))</f>
        <v>73820.948717981024</v>
      </c>
      <c r="K61" s="108">
        <f t="shared" si="64"/>
        <v>10899.051282018971</v>
      </c>
      <c r="L61" s="108">
        <f t="shared" si="65"/>
        <v>84720</v>
      </c>
      <c r="M61" s="108">
        <f t="shared" si="66"/>
        <v>70129.901282081963</v>
      </c>
      <c r="N61" s="108">
        <f t="shared" si="67"/>
        <v>10354.098717918021</v>
      </c>
      <c r="O61" s="108">
        <f t="shared" si="68"/>
        <v>80483.999999999985</v>
      </c>
      <c r="P61" s="93">
        <f t="shared" si="69"/>
        <v>66438.85384618293</v>
      </c>
      <c r="Q61" s="108">
        <f t="shared" si="70"/>
        <v>9809.1461538170734</v>
      </c>
      <c r="R61" s="108">
        <f t="shared" si="71"/>
        <v>76248</v>
      </c>
      <c r="S61" s="108">
        <f t="shared" si="72"/>
        <v>59056.758974384822</v>
      </c>
      <c r="T61" s="108">
        <f t="shared" si="73"/>
        <v>8719.2410256151761</v>
      </c>
      <c r="U61" s="108">
        <f t="shared" si="74"/>
        <v>67776</v>
      </c>
      <c r="V61" s="108">
        <f t="shared" si="75"/>
        <v>51674.664102586714</v>
      </c>
      <c r="W61" s="108">
        <f t="shared" si="76"/>
        <v>7629.3358974132789</v>
      </c>
      <c r="X61" s="108">
        <f t="shared" si="77"/>
        <v>59303.999999999993</v>
      </c>
      <c r="Y61" s="108">
        <f t="shared" si="78"/>
        <v>44292.569230788613</v>
      </c>
      <c r="Z61" s="108">
        <f t="shared" si="79"/>
        <v>6539.4307692113825</v>
      </c>
      <c r="AA61" s="46">
        <f t="shared" si="80"/>
        <v>50831.999999999993</v>
      </c>
      <c r="AB61" s="32"/>
      <c r="AC61" s="32"/>
      <c r="AD61" s="32"/>
      <c r="AE61" s="32"/>
      <c r="AF61" s="32"/>
      <c r="AG61" s="33"/>
      <c r="AH61" s="32"/>
      <c r="AI61" s="32"/>
    </row>
    <row r="62" spans="1:35" s="26" customFormat="1" ht="13.5" customHeight="1">
      <c r="A62" s="105">
        <v>117</v>
      </c>
      <c r="B62" s="50">
        <v>41730</v>
      </c>
      <c r="C62" s="61">
        <f>VLOOKUP(B62,'base(indices)'!$A$4:$C$183,3,FALSE)*1.25</f>
        <v>905</v>
      </c>
      <c r="D62" s="343">
        <f>'base(indices)'!G55</f>
        <v>1.56073061</v>
      </c>
      <c r="E62" s="54">
        <f t="shared" si="61"/>
        <v>1412.4612020500001</v>
      </c>
      <c r="F62" s="307">
        <f>'base(indices)'!$I$147</f>
        <v>0.29920000000000002</v>
      </c>
      <c r="G62" s="54">
        <f t="shared" si="62"/>
        <v>422.60839165336006</v>
      </c>
      <c r="H62" s="55">
        <f t="shared" si="63"/>
        <v>1835.0695937033602</v>
      </c>
      <c r="I62" s="384">
        <f t="shared" si="20"/>
        <v>236666.53416294808</v>
      </c>
      <c r="J62" s="58">
        <f>IF((I62-H$69+(H$69/12*9))+K62-(H62/2)&gt;$I$197,$I$197-K62,(I62-H$69+(H$69/12*9)-(H62/2)))</f>
        <v>73820.948717981024</v>
      </c>
      <c r="K62" s="91">
        <f t="shared" si="64"/>
        <v>10899.051282018971</v>
      </c>
      <c r="L62" s="92">
        <f t="shared" si="65"/>
        <v>84720</v>
      </c>
      <c r="M62" s="91">
        <f t="shared" si="66"/>
        <v>70129.901282081963</v>
      </c>
      <c r="N62" s="91">
        <f t="shared" si="67"/>
        <v>10354.098717918021</v>
      </c>
      <c r="O62" s="91">
        <f t="shared" si="68"/>
        <v>80483.999999999985</v>
      </c>
      <c r="P62" s="91">
        <f t="shared" si="69"/>
        <v>66438.85384618293</v>
      </c>
      <c r="Q62" s="91">
        <f t="shared" si="70"/>
        <v>9809.1461538170734</v>
      </c>
      <c r="R62" s="91">
        <f t="shared" si="71"/>
        <v>76248</v>
      </c>
      <c r="S62" s="91">
        <f t="shared" si="72"/>
        <v>59056.758974384822</v>
      </c>
      <c r="T62" s="91">
        <f t="shared" si="73"/>
        <v>8719.2410256151761</v>
      </c>
      <c r="U62" s="91">
        <f t="shared" si="74"/>
        <v>67776</v>
      </c>
      <c r="V62" s="91">
        <f t="shared" si="75"/>
        <v>51674.664102586714</v>
      </c>
      <c r="W62" s="91">
        <f t="shared" si="76"/>
        <v>7629.3358974132789</v>
      </c>
      <c r="X62" s="91">
        <f t="shared" si="77"/>
        <v>59303.999999999993</v>
      </c>
      <c r="Y62" s="91">
        <f t="shared" si="78"/>
        <v>44292.569230788613</v>
      </c>
      <c r="Z62" s="91">
        <f t="shared" si="79"/>
        <v>6539.4307692113825</v>
      </c>
      <c r="AA62" s="59">
        <f t="shared" si="80"/>
        <v>50831.999999999993</v>
      </c>
      <c r="AB62" s="32"/>
      <c r="AC62" s="32"/>
      <c r="AD62" s="32"/>
      <c r="AE62" s="32"/>
      <c r="AF62" s="32"/>
      <c r="AG62" s="33"/>
      <c r="AH62" s="32"/>
      <c r="AI62" s="32"/>
    </row>
    <row r="63" spans="1:35" s="26" customFormat="1" ht="13.5" customHeight="1">
      <c r="A63" s="105">
        <v>116</v>
      </c>
      <c r="B63" s="40">
        <v>41760</v>
      </c>
      <c r="C63" s="61">
        <f>VLOOKUP(B63,'base(indices)'!$A$4:$C$183,3,FALSE)*1.25</f>
        <v>905</v>
      </c>
      <c r="D63" s="343">
        <f>'base(indices)'!G56</f>
        <v>1.5486511300000001</v>
      </c>
      <c r="E63" s="63">
        <f t="shared" si="61"/>
        <v>1401.5292726500002</v>
      </c>
      <c r="F63" s="307">
        <f>'base(indices)'!$I$147</f>
        <v>0.29920000000000002</v>
      </c>
      <c r="G63" s="63">
        <f t="shared" si="62"/>
        <v>419.33755837688005</v>
      </c>
      <c r="H63" s="64">
        <f t="shared" si="63"/>
        <v>1820.8668310268802</v>
      </c>
      <c r="I63" s="360">
        <f t="shared" si="20"/>
        <v>234831.46456924471</v>
      </c>
      <c r="J63" s="45">
        <f>IF((I63-H$69+(H$69/12*8))+K63-(H63/2)&gt;$I$197,$I$197-K63,(I63-H$69+(H$69/12*8)-(H63/2)))</f>
        <v>73820.948717981024</v>
      </c>
      <c r="K63" s="108">
        <f t="shared" si="64"/>
        <v>10899.051282018971</v>
      </c>
      <c r="L63" s="108">
        <f t="shared" si="65"/>
        <v>84720</v>
      </c>
      <c r="M63" s="108">
        <f t="shared" si="66"/>
        <v>70129.901282081963</v>
      </c>
      <c r="N63" s="108">
        <f t="shared" si="67"/>
        <v>10354.098717918021</v>
      </c>
      <c r="O63" s="108">
        <f t="shared" si="68"/>
        <v>80483.999999999985</v>
      </c>
      <c r="P63" s="93">
        <f t="shared" si="69"/>
        <v>66438.85384618293</v>
      </c>
      <c r="Q63" s="108">
        <f t="shared" si="70"/>
        <v>9809.1461538170734</v>
      </c>
      <c r="R63" s="108">
        <f t="shared" si="71"/>
        <v>76248</v>
      </c>
      <c r="S63" s="108">
        <f t="shared" si="72"/>
        <v>59056.758974384822</v>
      </c>
      <c r="T63" s="108">
        <f t="shared" si="73"/>
        <v>8719.2410256151761</v>
      </c>
      <c r="U63" s="108">
        <f t="shared" si="74"/>
        <v>67776</v>
      </c>
      <c r="V63" s="108">
        <f t="shared" si="75"/>
        <v>51674.664102586714</v>
      </c>
      <c r="W63" s="108">
        <f t="shared" si="76"/>
        <v>7629.3358974132789</v>
      </c>
      <c r="X63" s="108">
        <f t="shared" si="77"/>
        <v>59303.999999999993</v>
      </c>
      <c r="Y63" s="108">
        <f t="shared" si="78"/>
        <v>44292.569230788613</v>
      </c>
      <c r="Z63" s="108">
        <f t="shared" si="79"/>
        <v>6539.4307692113825</v>
      </c>
      <c r="AA63" s="46">
        <f t="shared" si="80"/>
        <v>50831.999999999993</v>
      </c>
      <c r="AB63" s="32"/>
      <c r="AC63" s="32"/>
      <c r="AD63" s="32"/>
      <c r="AE63" s="32"/>
      <c r="AF63" s="32"/>
      <c r="AG63" s="33"/>
      <c r="AH63" s="32"/>
      <c r="AI63" s="32"/>
    </row>
    <row r="64" spans="1:35" s="26" customFormat="1" ht="13.5" customHeight="1">
      <c r="A64" s="105">
        <v>115</v>
      </c>
      <c r="B64" s="50">
        <v>41791</v>
      </c>
      <c r="C64" s="61">
        <f>VLOOKUP(B64,'base(indices)'!$A$4:$C$183,3,FALSE)*1.25</f>
        <v>905</v>
      </c>
      <c r="D64" s="343">
        <f>'base(indices)'!G57</f>
        <v>1.5397207500000001</v>
      </c>
      <c r="E64" s="54">
        <f t="shared" si="61"/>
        <v>1393.4472787500001</v>
      </c>
      <c r="F64" s="307">
        <f>'base(indices)'!$I$147</f>
        <v>0.29920000000000002</v>
      </c>
      <c r="G64" s="54">
        <f t="shared" si="62"/>
        <v>416.91942580200009</v>
      </c>
      <c r="H64" s="55">
        <f t="shared" si="63"/>
        <v>1810.3667045520001</v>
      </c>
      <c r="I64" s="384">
        <f t="shared" si="20"/>
        <v>233010.59773821782</v>
      </c>
      <c r="J64" s="58">
        <f>IF((I64-H$69+(H$69/12*7))+K64-(H64/2)&gt;$I$197,$I$197-K64,(I64-H$69+(H$69/12*7)-(H64/2)))</f>
        <v>73820.948717981024</v>
      </c>
      <c r="K64" s="91">
        <f t="shared" si="64"/>
        <v>10899.051282018971</v>
      </c>
      <c r="L64" s="92">
        <f t="shared" si="65"/>
        <v>84720</v>
      </c>
      <c r="M64" s="91">
        <f t="shared" si="66"/>
        <v>70129.901282081963</v>
      </c>
      <c r="N64" s="91">
        <f t="shared" si="67"/>
        <v>10354.098717918021</v>
      </c>
      <c r="O64" s="91">
        <f t="shared" si="68"/>
        <v>80483.999999999985</v>
      </c>
      <c r="P64" s="91">
        <f t="shared" si="69"/>
        <v>66438.85384618293</v>
      </c>
      <c r="Q64" s="91">
        <f t="shared" si="70"/>
        <v>9809.1461538170734</v>
      </c>
      <c r="R64" s="91">
        <f t="shared" si="71"/>
        <v>76248</v>
      </c>
      <c r="S64" s="91">
        <f t="shared" si="72"/>
        <v>59056.758974384822</v>
      </c>
      <c r="T64" s="91">
        <f t="shared" si="73"/>
        <v>8719.2410256151761</v>
      </c>
      <c r="U64" s="91">
        <f t="shared" si="74"/>
        <v>67776</v>
      </c>
      <c r="V64" s="91">
        <f t="shared" si="75"/>
        <v>51674.664102586714</v>
      </c>
      <c r="W64" s="91">
        <f t="shared" si="76"/>
        <v>7629.3358974132789</v>
      </c>
      <c r="X64" s="91">
        <f t="shared" si="77"/>
        <v>59303.999999999993</v>
      </c>
      <c r="Y64" s="91">
        <f t="shared" si="78"/>
        <v>44292.569230788613</v>
      </c>
      <c r="Z64" s="91">
        <f t="shared" si="79"/>
        <v>6539.4307692113825</v>
      </c>
      <c r="AA64" s="59">
        <f t="shared" si="80"/>
        <v>50831.999999999993</v>
      </c>
      <c r="AB64" s="32"/>
      <c r="AC64" s="32"/>
      <c r="AD64" s="32"/>
      <c r="AE64" s="32"/>
      <c r="AF64" s="32"/>
      <c r="AG64" s="33"/>
      <c r="AH64" s="32"/>
      <c r="AI64" s="32"/>
    </row>
    <row r="65" spans="1:35" s="26" customFormat="1" ht="13.5" customHeight="1">
      <c r="A65" s="105">
        <v>114</v>
      </c>
      <c r="B65" s="40">
        <v>41821</v>
      </c>
      <c r="C65" s="61">
        <f>VLOOKUP(B65,'base(indices)'!$A$4:$C$183,3,FALSE)*1.25</f>
        <v>905</v>
      </c>
      <c r="D65" s="343">
        <f>'base(indices)'!G58</f>
        <v>1.5325179099999999</v>
      </c>
      <c r="E65" s="63">
        <f t="shared" si="61"/>
        <v>1386.92870855</v>
      </c>
      <c r="F65" s="307">
        <f>'base(indices)'!$I$147</f>
        <v>0.29920000000000002</v>
      </c>
      <c r="G65" s="63">
        <f t="shared" si="62"/>
        <v>414.96906959816005</v>
      </c>
      <c r="H65" s="64">
        <f t="shared" si="63"/>
        <v>1801.8977781481601</v>
      </c>
      <c r="I65" s="360">
        <f t="shared" si="20"/>
        <v>231200.23103366583</v>
      </c>
      <c r="J65" s="45">
        <f>IF((I65-H$69+(H$69/12*6))+K65-(H65/2)&gt;$I$197,$I$197-K65,(I65-H$69+(H$69/12*6)-(H65/2)))</f>
        <v>73820.948717981024</v>
      </c>
      <c r="K65" s="108">
        <f t="shared" si="64"/>
        <v>10899.051282018971</v>
      </c>
      <c r="L65" s="108">
        <f t="shared" si="65"/>
        <v>84720</v>
      </c>
      <c r="M65" s="108">
        <f t="shared" si="66"/>
        <v>70129.901282081963</v>
      </c>
      <c r="N65" s="108">
        <f t="shared" si="67"/>
        <v>10354.098717918021</v>
      </c>
      <c r="O65" s="108">
        <f t="shared" si="68"/>
        <v>80483.999999999985</v>
      </c>
      <c r="P65" s="93">
        <f t="shared" si="69"/>
        <v>66438.85384618293</v>
      </c>
      <c r="Q65" s="108">
        <f t="shared" si="70"/>
        <v>9809.1461538170734</v>
      </c>
      <c r="R65" s="108">
        <f t="shared" si="71"/>
        <v>76248</v>
      </c>
      <c r="S65" s="108">
        <f t="shared" si="72"/>
        <v>59056.758974384822</v>
      </c>
      <c r="T65" s="108">
        <f t="shared" si="73"/>
        <v>8719.2410256151761</v>
      </c>
      <c r="U65" s="108">
        <f t="shared" si="74"/>
        <v>67776</v>
      </c>
      <c r="V65" s="108">
        <f t="shared" si="75"/>
        <v>51674.664102586714</v>
      </c>
      <c r="W65" s="108">
        <f t="shared" si="76"/>
        <v>7629.3358974132789</v>
      </c>
      <c r="X65" s="108">
        <f t="shared" si="77"/>
        <v>59303.999999999993</v>
      </c>
      <c r="Y65" s="108">
        <f t="shared" si="78"/>
        <v>44292.569230788613</v>
      </c>
      <c r="Z65" s="108">
        <f t="shared" si="79"/>
        <v>6539.4307692113825</v>
      </c>
      <c r="AA65" s="46">
        <f t="shared" si="80"/>
        <v>50831.999999999993</v>
      </c>
      <c r="AB65" s="32"/>
      <c r="AC65" s="32"/>
      <c r="AD65" s="32"/>
      <c r="AE65" s="32"/>
      <c r="AF65" s="32"/>
      <c r="AG65" s="33"/>
      <c r="AH65" s="32"/>
      <c r="AI65" s="32"/>
    </row>
    <row r="66" spans="1:35" s="26" customFormat="1" ht="13.5" customHeight="1">
      <c r="A66" s="105">
        <v>113</v>
      </c>
      <c r="B66" s="50">
        <v>41852</v>
      </c>
      <c r="C66" s="61">
        <f>VLOOKUP(B66,'base(indices)'!$A$4:$C$183,3,FALSE)*1.25</f>
        <v>905</v>
      </c>
      <c r="D66" s="343">
        <f>'base(indices)'!G59</f>
        <v>1.5299170499999999</v>
      </c>
      <c r="E66" s="54">
        <f t="shared" si="61"/>
        <v>1384.5749302499999</v>
      </c>
      <c r="F66" s="307">
        <f>'base(indices)'!$I$147</f>
        <v>0.29920000000000002</v>
      </c>
      <c r="G66" s="54">
        <f t="shared" si="62"/>
        <v>414.26481913079999</v>
      </c>
      <c r="H66" s="55">
        <f t="shared" si="63"/>
        <v>1798.8397493807997</v>
      </c>
      <c r="I66" s="384">
        <f t="shared" si="20"/>
        <v>229398.33325551767</v>
      </c>
      <c r="J66" s="58">
        <f>IF((I66-H$69+(H$69/12*5))+K66-(H66/2)&gt;$I$197,$I$197-K66,(I66-H$69+(H$69/12*5)-(H66/2)))</f>
        <v>73820.948717981024</v>
      </c>
      <c r="K66" s="91">
        <f t="shared" si="64"/>
        <v>10899.051282018971</v>
      </c>
      <c r="L66" s="92">
        <f t="shared" si="65"/>
        <v>84720</v>
      </c>
      <c r="M66" s="91">
        <f t="shared" si="66"/>
        <v>70129.901282081963</v>
      </c>
      <c r="N66" s="91">
        <f t="shared" si="67"/>
        <v>10354.098717918021</v>
      </c>
      <c r="O66" s="91">
        <f t="shared" si="68"/>
        <v>80483.999999999985</v>
      </c>
      <c r="P66" s="91">
        <f t="shared" si="69"/>
        <v>66438.85384618293</v>
      </c>
      <c r="Q66" s="91">
        <f t="shared" si="70"/>
        <v>9809.1461538170734</v>
      </c>
      <c r="R66" s="91">
        <f t="shared" si="71"/>
        <v>76248</v>
      </c>
      <c r="S66" s="91">
        <f t="shared" si="72"/>
        <v>59056.758974384822</v>
      </c>
      <c r="T66" s="91">
        <f t="shared" si="73"/>
        <v>8719.2410256151761</v>
      </c>
      <c r="U66" s="91">
        <f t="shared" si="74"/>
        <v>67776</v>
      </c>
      <c r="V66" s="91">
        <f t="shared" si="75"/>
        <v>51674.664102586714</v>
      </c>
      <c r="W66" s="91">
        <f t="shared" si="76"/>
        <v>7629.3358974132789</v>
      </c>
      <c r="X66" s="91">
        <f t="shared" si="77"/>
        <v>59303.999999999993</v>
      </c>
      <c r="Y66" s="91">
        <f t="shared" si="78"/>
        <v>44292.569230788613</v>
      </c>
      <c r="Z66" s="91">
        <f t="shared" si="79"/>
        <v>6539.4307692113825</v>
      </c>
      <c r="AA66" s="59">
        <f t="shared" si="80"/>
        <v>50831.999999999993</v>
      </c>
      <c r="AB66" s="32"/>
      <c r="AC66" s="32"/>
      <c r="AD66" s="32"/>
      <c r="AE66" s="32"/>
      <c r="AF66" s="32"/>
      <c r="AG66" s="33"/>
      <c r="AH66" s="32"/>
      <c r="AI66" s="32"/>
    </row>
    <row r="67" spans="1:35" s="26" customFormat="1" ht="13.5" customHeight="1">
      <c r="A67" s="105">
        <v>112</v>
      </c>
      <c r="B67" s="40">
        <v>41883</v>
      </c>
      <c r="C67" s="61">
        <f>VLOOKUP(B67,'base(indices)'!$A$4:$C$183,3,FALSE)*1.25</f>
        <v>905</v>
      </c>
      <c r="D67" s="343">
        <f>'base(indices)'!G60</f>
        <v>1.5277781699999999</v>
      </c>
      <c r="E67" s="63">
        <f t="shared" si="61"/>
        <v>1382.63924385</v>
      </c>
      <c r="F67" s="307">
        <f>'base(indices)'!$I$147</f>
        <v>0.29920000000000002</v>
      </c>
      <c r="G67" s="63">
        <f t="shared" si="62"/>
        <v>413.68566175992004</v>
      </c>
      <c r="H67" s="64">
        <f t="shared" si="63"/>
        <v>1796.3249056099201</v>
      </c>
      <c r="I67" s="360">
        <f t="shared" si="20"/>
        <v>227599.49350613687</v>
      </c>
      <c r="J67" s="45">
        <f>IF((I67-H$69+(H$69/12*4))+K67-(H67/2)&gt;$I$197,$I$197-K67,(I67-H$69+(H$69/12*4)-(H67/2)))</f>
        <v>73820.948717981024</v>
      </c>
      <c r="K67" s="108">
        <f t="shared" si="64"/>
        <v>10899.051282018971</v>
      </c>
      <c r="L67" s="108">
        <f t="shared" si="65"/>
        <v>84720</v>
      </c>
      <c r="M67" s="108">
        <f t="shared" si="66"/>
        <v>70129.901282081963</v>
      </c>
      <c r="N67" s="108">
        <f t="shared" si="67"/>
        <v>10354.098717918021</v>
      </c>
      <c r="O67" s="108">
        <f t="shared" si="68"/>
        <v>80483.999999999985</v>
      </c>
      <c r="P67" s="93">
        <f t="shared" si="69"/>
        <v>66438.85384618293</v>
      </c>
      <c r="Q67" s="108">
        <f t="shared" si="70"/>
        <v>9809.1461538170734</v>
      </c>
      <c r="R67" s="108">
        <f t="shared" si="71"/>
        <v>76248</v>
      </c>
      <c r="S67" s="108">
        <f t="shared" si="72"/>
        <v>59056.758974384822</v>
      </c>
      <c r="T67" s="108">
        <f t="shared" si="73"/>
        <v>8719.2410256151761</v>
      </c>
      <c r="U67" s="108">
        <f t="shared" si="74"/>
        <v>67776</v>
      </c>
      <c r="V67" s="108">
        <f t="shared" si="75"/>
        <v>51674.664102586714</v>
      </c>
      <c r="W67" s="108">
        <f t="shared" si="76"/>
        <v>7629.3358974132789</v>
      </c>
      <c r="X67" s="108">
        <f t="shared" si="77"/>
        <v>59303.999999999993</v>
      </c>
      <c r="Y67" s="108">
        <f t="shared" si="78"/>
        <v>44292.569230788613</v>
      </c>
      <c r="Z67" s="108">
        <f t="shared" si="79"/>
        <v>6539.4307692113825</v>
      </c>
      <c r="AA67" s="46">
        <f t="shared" si="80"/>
        <v>50831.999999999993</v>
      </c>
      <c r="AB67" s="32"/>
      <c r="AC67" s="32"/>
      <c r="AD67" s="32"/>
      <c r="AE67" s="32"/>
      <c r="AF67" s="32"/>
      <c r="AG67" s="33"/>
      <c r="AH67" s="32"/>
      <c r="AI67" s="32"/>
    </row>
    <row r="68" spans="1:35" s="26" customFormat="1" ht="13.5" customHeight="1">
      <c r="A68" s="105">
        <v>111</v>
      </c>
      <c r="B68" s="50">
        <v>41913</v>
      </c>
      <c r="C68" s="61">
        <f>VLOOKUP(B68,'base(indices)'!$A$4:$C$183,3,FALSE)*1.25</f>
        <v>905</v>
      </c>
      <c r="D68" s="343">
        <f>'base(indices)'!G61</f>
        <v>1.52184298</v>
      </c>
      <c r="E68" s="54">
        <f t="shared" si="61"/>
        <v>1377.2678968999999</v>
      </c>
      <c r="F68" s="307">
        <f>'base(indices)'!$I$147</f>
        <v>0.29920000000000002</v>
      </c>
      <c r="G68" s="54">
        <f t="shared" si="62"/>
        <v>412.07855475247999</v>
      </c>
      <c r="H68" s="55">
        <f t="shared" si="63"/>
        <v>1789.3464516524798</v>
      </c>
      <c r="I68" s="384">
        <f t="shared" si="20"/>
        <v>225803.16860052696</v>
      </c>
      <c r="J68" s="58">
        <f>IF((I68-H$69+(H$69/12*3))+K68-(H68/2)&gt;$I$197,$I$197-K68,(I68-H$69+(H$69/12*3)-(H68/2)))</f>
        <v>73820.948717981024</v>
      </c>
      <c r="K68" s="91">
        <f t="shared" si="64"/>
        <v>10899.051282018971</v>
      </c>
      <c r="L68" s="92">
        <f t="shared" si="65"/>
        <v>84720</v>
      </c>
      <c r="M68" s="91">
        <f t="shared" si="66"/>
        <v>70129.901282081963</v>
      </c>
      <c r="N68" s="91">
        <f t="shared" si="67"/>
        <v>10354.098717918021</v>
      </c>
      <c r="O68" s="91">
        <f t="shared" si="68"/>
        <v>80483.999999999985</v>
      </c>
      <c r="P68" s="91">
        <f t="shared" si="69"/>
        <v>66438.85384618293</v>
      </c>
      <c r="Q68" s="91">
        <f t="shared" si="70"/>
        <v>9809.1461538170734</v>
      </c>
      <c r="R68" s="91">
        <f t="shared" si="71"/>
        <v>76248</v>
      </c>
      <c r="S68" s="91">
        <f t="shared" si="72"/>
        <v>59056.758974384822</v>
      </c>
      <c r="T68" s="91">
        <f t="shared" si="73"/>
        <v>8719.2410256151761</v>
      </c>
      <c r="U68" s="91">
        <f t="shared" si="74"/>
        <v>67776</v>
      </c>
      <c r="V68" s="91">
        <f t="shared" si="75"/>
        <v>51674.664102586714</v>
      </c>
      <c r="W68" s="91">
        <f t="shared" si="76"/>
        <v>7629.3358974132789</v>
      </c>
      <c r="X68" s="91">
        <f t="shared" si="77"/>
        <v>59303.999999999993</v>
      </c>
      <c r="Y68" s="91">
        <f t="shared" si="78"/>
        <v>44292.569230788613</v>
      </c>
      <c r="Z68" s="91">
        <f t="shared" si="79"/>
        <v>6539.4307692113825</v>
      </c>
      <c r="AA68" s="59">
        <f t="shared" si="80"/>
        <v>50831.999999999993</v>
      </c>
      <c r="AB68" s="32"/>
      <c r="AC68" s="32"/>
      <c r="AD68" s="32"/>
      <c r="AE68" s="32"/>
      <c r="AF68" s="32"/>
      <c r="AG68" s="33"/>
      <c r="AH68" s="32"/>
      <c r="AI68" s="32"/>
    </row>
    <row r="69" spans="1:35" s="26" customFormat="1" ht="13.5" customHeight="1">
      <c r="A69" s="105">
        <v>110</v>
      </c>
      <c r="B69" s="40">
        <v>41944</v>
      </c>
      <c r="C69" s="61">
        <f>VLOOKUP(B69,'base(indices)'!$A$4:$C$183,3,FALSE)*1.25</f>
        <v>905</v>
      </c>
      <c r="D69" s="343">
        <f>'base(indices)'!G62</f>
        <v>1.51457303</v>
      </c>
      <c r="E69" s="63">
        <f t="shared" si="61"/>
        <v>1370.68859215</v>
      </c>
      <c r="F69" s="307">
        <f>'base(indices)'!$I$147</f>
        <v>0.29920000000000002</v>
      </c>
      <c r="G69" s="63">
        <f t="shared" si="62"/>
        <v>410.11002677128005</v>
      </c>
      <c r="H69" s="64">
        <f t="shared" si="63"/>
        <v>1780.79861892128</v>
      </c>
      <c r="I69" s="360">
        <f t="shared" si="20"/>
        <v>224013.82214887449</v>
      </c>
      <c r="J69" s="45">
        <f>IF((I69-H$69+(H$69/12*2))+K69-(H69/2)&gt;$I$197,$I$197-K69,(I69-H$69+(H$69/12*2)-(H69/2)))</f>
        <v>73820.948717981024</v>
      </c>
      <c r="K69" s="108">
        <f t="shared" si="64"/>
        <v>10899.051282018971</v>
      </c>
      <c r="L69" s="108">
        <f t="shared" si="65"/>
        <v>84720</v>
      </c>
      <c r="M69" s="108">
        <f t="shared" si="66"/>
        <v>70129.901282081963</v>
      </c>
      <c r="N69" s="108">
        <f t="shared" si="67"/>
        <v>10354.098717918021</v>
      </c>
      <c r="O69" s="108">
        <f t="shared" si="68"/>
        <v>80483.999999999985</v>
      </c>
      <c r="P69" s="93">
        <f t="shared" si="69"/>
        <v>66438.85384618293</v>
      </c>
      <c r="Q69" s="108">
        <f t="shared" si="70"/>
        <v>9809.1461538170734</v>
      </c>
      <c r="R69" s="108">
        <f t="shared" si="71"/>
        <v>76248</v>
      </c>
      <c r="S69" s="108">
        <f t="shared" si="72"/>
        <v>59056.758974384822</v>
      </c>
      <c r="T69" s="108">
        <f t="shared" si="73"/>
        <v>8719.2410256151761</v>
      </c>
      <c r="U69" s="108">
        <f t="shared" si="74"/>
        <v>67776</v>
      </c>
      <c r="V69" s="108">
        <f t="shared" si="75"/>
        <v>51674.664102586714</v>
      </c>
      <c r="W69" s="108">
        <f t="shared" si="76"/>
        <v>7629.3358974132789</v>
      </c>
      <c r="X69" s="108">
        <f t="shared" si="77"/>
        <v>59303.999999999993</v>
      </c>
      <c r="Y69" s="108">
        <f t="shared" si="78"/>
        <v>44292.569230788613</v>
      </c>
      <c r="Z69" s="108">
        <f t="shared" si="79"/>
        <v>6539.4307692113825</v>
      </c>
      <c r="AA69" s="46">
        <f t="shared" si="80"/>
        <v>50831.999999999993</v>
      </c>
      <c r="AB69" s="32"/>
      <c r="AC69" s="32"/>
      <c r="AD69" s="32"/>
      <c r="AE69" s="32"/>
      <c r="AF69" s="32"/>
      <c r="AG69" s="33"/>
      <c r="AH69" s="32"/>
      <c r="AI69" s="32"/>
    </row>
    <row r="70" spans="1:35" s="26" customFormat="1" ht="13.5" customHeight="1" thickBot="1">
      <c r="A70" s="161">
        <v>109</v>
      </c>
      <c r="B70" s="300">
        <v>41974</v>
      </c>
      <c r="C70" s="69">
        <f>C69*2</f>
        <v>1810</v>
      </c>
      <c r="D70" s="335">
        <f>'base(indices)'!G63</f>
        <v>1.50883944</v>
      </c>
      <c r="E70" s="163">
        <f t="shared" si="61"/>
        <v>2730.9993864000003</v>
      </c>
      <c r="F70" s="304">
        <f>'base(indices)'!$I$147</f>
        <v>0.29920000000000002</v>
      </c>
      <c r="G70" s="163">
        <f t="shared" si="62"/>
        <v>817.11501641088012</v>
      </c>
      <c r="H70" s="189">
        <f t="shared" si="63"/>
        <v>3548.1144028108802</v>
      </c>
      <c r="I70" s="361">
        <f t="shared" si="20"/>
        <v>222233.02352995321</v>
      </c>
      <c r="J70" s="175">
        <f>IF((I70-H$69+(H$69/12*1))+K70-(H70/4)&gt;$I$197,$I$197-K70,(I70-H$69+(H$69/12*1)-(H70/4)))</f>
        <v>73820.948717981024</v>
      </c>
      <c r="K70" s="86">
        <f t="shared" si="64"/>
        <v>10899.051282018971</v>
      </c>
      <c r="L70" s="164">
        <f t="shared" si="65"/>
        <v>84720</v>
      </c>
      <c r="M70" s="86">
        <f t="shared" si="66"/>
        <v>70129.901282081963</v>
      </c>
      <c r="N70" s="86">
        <f t="shared" si="67"/>
        <v>10354.098717918021</v>
      </c>
      <c r="O70" s="86">
        <f t="shared" si="68"/>
        <v>80483.999999999985</v>
      </c>
      <c r="P70" s="86">
        <f t="shared" si="69"/>
        <v>66438.85384618293</v>
      </c>
      <c r="Q70" s="86">
        <f t="shared" si="70"/>
        <v>9809.1461538170734</v>
      </c>
      <c r="R70" s="86">
        <f t="shared" si="71"/>
        <v>76248</v>
      </c>
      <c r="S70" s="86">
        <f t="shared" si="72"/>
        <v>59056.758974384822</v>
      </c>
      <c r="T70" s="86">
        <f t="shared" si="73"/>
        <v>8719.2410256151761</v>
      </c>
      <c r="U70" s="86">
        <f t="shared" si="74"/>
        <v>67776</v>
      </c>
      <c r="V70" s="86">
        <f t="shared" si="75"/>
        <v>51674.664102586714</v>
      </c>
      <c r="W70" s="86">
        <f t="shared" si="76"/>
        <v>7629.3358974132789</v>
      </c>
      <c r="X70" s="86">
        <f t="shared" si="77"/>
        <v>59303.999999999993</v>
      </c>
      <c r="Y70" s="86">
        <f t="shared" si="78"/>
        <v>44292.569230788613</v>
      </c>
      <c r="Z70" s="86">
        <f t="shared" si="79"/>
        <v>6539.4307692113825</v>
      </c>
      <c r="AA70" s="165">
        <f t="shared" si="80"/>
        <v>50831.999999999993</v>
      </c>
      <c r="AB70" s="32"/>
      <c r="AC70" s="32"/>
      <c r="AD70" s="32"/>
      <c r="AE70" s="32"/>
      <c r="AF70" s="32"/>
      <c r="AG70" s="33"/>
      <c r="AH70" s="32"/>
      <c r="AI70" s="32"/>
    </row>
    <row r="71" spans="1:35" s="26" customFormat="1" ht="13.5" customHeight="1">
      <c r="A71" s="158">
        <v>108</v>
      </c>
      <c r="B71" s="136">
        <v>42005</v>
      </c>
      <c r="C71" s="120">
        <f>VLOOKUP(B71,'base(indices)'!$A$4:$C$183,3,FALSE)*1.25</f>
        <v>985</v>
      </c>
      <c r="D71" s="386">
        <f>'base(indices)'!G64</f>
        <v>1.49701303</v>
      </c>
      <c r="E71" s="78">
        <f t="shared" si="61"/>
        <v>1474.5578345500001</v>
      </c>
      <c r="F71" s="371">
        <f>'base(indices)'!$I$147</f>
        <v>0.29920000000000002</v>
      </c>
      <c r="G71" s="78">
        <f t="shared" si="62"/>
        <v>441.18770409736004</v>
      </c>
      <c r="H71" s="266">
        <f t="shared" si="63"/>
        <v>1915.74553864736</v>
      </c>
      <c r="I71" s="401">
        <f t="shared" si="20"/>
        <v>218684.90912714234</v>
      </c>
      <c r="J71" s="288">
        <f>IF((I71-H$81+(H$81))+K71-(H71/2)&gt;$I$197,$I$197-K71,(I71-H$81+(H$81)-(H71/2)))</f>
        <v>73820.948717981024</v>
      </c>
      <c r="K71" s="109">
        <f t="shared" si="64"/>
        <v>10899.051282018971</v>
      </c>
      <c r="L71" s="109">
        <f t="shared" si="65"/>
        <v>84720</v>
      </c>
      <c r="M71" s="109">
        <f t="shared" si="66"/>
        <v>70129.901282081963</v>
      </c>
      <c r="N71" s="109">
        <f t="shared" si="67"/>
        <v>10354.098717918021</v>
      </c>
      <c r="O71" s="109">
        <f t="shared" si="68"/>
        <v>80483.999999999985</v>
      </c>
      <c r="P71" s="90">
        <f t="shared" si="69"/>
        <v>66438.85384618293</v>
      </c>
      <c r="Q71" s="109">
        <f t="shared" si="70"/>
        <v>9809.1461538170734</v>
      </c>
      <c r="R71" s="109">
        <f t="shared" si="71"/>
        <v>76248</v>
      </c>
      <c r="S71" s="109">
        <f t="shared" si="72"/>
        <v>59056.758974384822</v>
      </c>
      <c r="T71" s="109">
        <f t="shared" si="73"/>
        <v>8719.2410256151761</v>
      </c>
      <c r="U71" s="109">
        <f t="shared" si="74"/>
        <v>67776</v>
      </c>
      <c r="V71" s="109">
        <f t="shared" si="75"/>
        <v>51674.664102586714</v>
      </c>
      <c r="W71" s="109">
        <f t="shared" si="76"/>
        <v>7629.3358974132789</v>
      </c>
      <c r="X71" s="109">
        <f t="shared" si="77"/>
        <v>59303.999999999993</v>
      </c>
      <c r="Y71" s="109">
        <f t="shared" si="78"/>
        <v>44292.569230788613</v>
      </c>
      <c r="Z71" s="109">
        <f t="shared" si="79"/>
        <v>6539.4307692113825</v>
      </c>
      <c r="AA71" s="49">
        <f t="shared" si="80"/>
        <v>50831.999999999993</v>
      </c>
      <c r="AB71" s="32"/>
      <c r="AC71" s="32"/>
      <c r="AD71" s="32"/>
      <c r="AE71" s="32"/>
      <c r="AF71" s="32"/>
      <c r="AG71" s="33"/>
      <c r="AH71" s="32"/>
      <c r="AI71" s="32"/>
    </row>
    <row r="72" spans="1:35" s="26" customFormat="1" ht="13.5" customHeight="1">
      <c r="A72" s="105">
        <v>107</v>
      </c>
      <c r="B72" s="50">
        <v>42036</v>
      </c>
      <c r="C72" s="61">
        <f>VLOOKUP(B72,'base(indices)'!$A$4:$C$183,3,FALSE)*1.25</f>
        <v>985</v>
      </c>
      <c r="D72" s="343">
        <f>'base(indices)'!G65</f>
        <v>1.4838071500000001</v>
      </c>
      <c r="E72" s="54">
        <f t="shared" si="61"/>
        <v>1461.5500427500001</v>
      </c>
      <c r="F72" s="307">
        <f>'base(indices)'!$I$147</f>
        <v>0.29920000000000002</v>
      </c>
      <c r="G72" s="54">
        <f t="shared" si="62"/>
        <v>437.29577279080007</v>
      </c>
      <c r="H72" s="267">
        <f t="shared" si="63"/>
        <v>1898.8458155408002</v>
      </c>
      <c r="I72" s="384">
        <f t="shared" si="20"/>
        <v>216769.16358849496</v>
      </c>
      <c r="J72" s="58">
        <f>IF((I72-H$81+(H$81/12*11))+K72-(H72/2)&gt;$I$197,$I$197-K72,(I72-H$81+(H$81/12*11)-(H72/2)))</f>
        <v>73820.948717981024</v>
      </c>
      <c r="K72" s="91">
        <f t="shared" si="64"/>
        <v>10899.051282018971</v>
      </c>
      <c r="L72" s="92">
        <f t="shared" si="65"/>
        <v>84720</v>
      </c>
      <c r="M72" s="91">
        <f t="shared" si="66"/>
        <v>70129.901282081963</v>
      </c>
      <c r="N72" s="91">
        <f t="shared" si="67"/>
        <v>10354.098717918021</v>
      </c>
      <c r="O72" s="91">
        <f t="shared" si="68"/>
        <v>80483.999999999985</v>
      </c>
      <c r="P72" s="91">
        <f t="shared" si="69"/>
        <v>66438.85384618293</v>
      </c>
      <c r="Q72" s="91">
        <f t="shared" si="70"/>
        <v>9809.1461538170734</v>
      </c>
      <c r="R72" s="91">
        <f t="shared" si="71"/>
        <v>76248</v>
      </c>
      <c r="S72" s="91">
        <f t="shared" si="72"/>
        <v>59056.758974384822</v>
      </c>
      <c r="T72" s="91">
        <f t="shared" si="73"/>
        <v>8719.2410256151761</v>
      </c>
      <c r="U72" s="91">
        <f t="shared" si="74"/>
        <v>67776</v>
      </c>
      <c r="V72" s="91">
        <f t="shared" si="75"/>
        <v>51674.664102586714</v>
      </c>
      <c r="W72" s="91">
        <f t="shared" si="76"/>
        <v>7629.3358974132789</v>
      </c>
      <c r="X72" s="91">
        <f t="shared" si="77"/>
        <v>59303.999999999993</v>
      </c>
      <c r="Y72" s="91">
        <f t="shared" si="78"/>
        <v>44292.569230788613</v>
      </c>
      <c r="Z72" s="91">
        <f t="shared" si="79"/>
        <v>6539.4307692113825</v>
      </c>
      <c r="AA72" s="59">
        <f t="shared" si="80"/>
        <v>50831.999999999993</v>
      </c>
      <c r="AB72" s="32"/>
      <c r="AC72" s="32"/>
      <c r="AD72" s="32"/>
      <c r="AE72" s="32"/>
      <c r="AF72" s="32"/>
      <c r="AG72" s="33"/>
      <c r="AH72" s="32"/>
      <c r="AI72" s="32"/>
    </row>
    <row r="73" spans="1:35" s="26" customFormat="1" ht="13.5" customHeight="1">
      <c r="A73" s="105">
        <v>106</v>
      </c>
      <c r="B73" s="40">
        <v>42064</v>
      </c>
      <c r="C73" s="61">
        <f>VLOOKUP(B73,'base(indices)'!$A$4:$C$183,3,FALSE)*1.25</f>
        <v>985</v>
      </c>
      <c r="D73" s="343">
        <f>'base(indices)'!G66</f>
        <v>1.4643315400000001</v>
      </c>
      <c r="E73" s="63">
        <f t="shared" si="61"/>
        <v>1442.3665669000002</v>
      </c>
      <c r="F73" s="307">
        <f>'base(indices)'!$I$147</f>
        <v>0.29920000000000002</v>
      </c>
      <c r="G73" s="63">
        <f t="shared" si="62"/>
        <v>431.55607681648007</v>
      </c>
      <c r="H73" s="268">
        <f t="shared" si="63"/>
        <v>1873.9226437164803</v>
      </c>
      <c r="I73" s="360">
        <f t="shared" si="20"/>
        <v>214870.31777295418</v>
      </c>
      <c r="J73" s="45">
        <f>IF((I73-H$81+(H$81/12*10))+K73-(H73/2)&gt;$I$197,$I$197-K73,(I73-H$81+(H$81/12*10)-(H73/2)))</f>
        <v>73820.948717981024</v>
      </c>
      <c r="K73" s="108">
        <f t="shared" si="64"/>
        <v>10899.051282018971</v>
      </c>
      <c r="L73" s="108">
        <f t="shared" si="65"/>
        <v>84720</v>
      </c>
      <c r="M73" s="108">
        <f t="shared" si="66"/>
        <v>70129.901282081963</v>
      </c>
      <c r="N73" s="108">
        <f t="shared" si="67"/>
        <v>10354.098717918021</v>
      </c>
      <c r="O73" s="108">
        <f t="shared" si="68"/>
        <v>80483.999999999985</v>
      </c>
      <c r="P73" s="93">
        <f t="shared" si="69"/>
        <v>66438.85384618293</v>
      </c>
      <c r="Q73" s="108">
        <f t="shared" si="70"/>
        <v>9809.1461538170734</v>
      </c>
      <c r="R73" s="108">
        <f t="shared" si="71"/>
        <v>76248</v>
      </c>
      <c r="S73" s="108">
        <f t="shared" si="72"/>
        <v>59056.758974384822</v>
      </c>
      <c r="T73" s="108">
        <f t="shared" si="73"/>
        <v>8719.2410256151761</v>
      </c>
      <c r="U73" s="108">
        <f t="shared" si="74"/>
        <v>67776</v>
      </c>
      <c r="V73" s="108">
        <f t="shared" si="75"/>
        <v>51674.664102586714</v>
      </c>
      <c r="W73" s="108">
        <f t="shared" si="76"/>
        <v>7629.3358974132789</v>
      </c>
      <c r="X73" s="108">
        <f t="shared" si="77"/>
        <v>59303.999999999993</v>
      </c>
      <c r="Y73" s="108">
        <f t="shared" si="78"/>
        <v>44292.569230788613</v>
      </c>
      <c r="Z73" s="108">
        <f t="shared" si="79"/>
        <v>6539.4307692113825</v>
      </c>
      <c r="AA73" s="46">
        <f t="shared" si="80"/>
        <v>50831.999999999993</v>
      </c>
      <c r="AB73" s="32"/>
      <c r="AC73" s="32"/>
      <c r="AD73" s="32"/>
      <c r="AE73" s="32"/>
      <c r="AF73" s="32"/>
      <c r="AG73" s="33"/>
      <c r="AH73" s="32"/>
      <c r="AI73" s="32"/>
    </row>
    <row r="74" spans="1:35" s="26" customFormat="1" ht="13.5" customHeight="1">
      <c r="A74" s="105">
        <v>105</v>
      </c>
      <c r="B74" s="50">
        <v>42095</v>
      </c>
      <c r="C74" s="61">
        <f>VLOOKUP(B74,'base(indices)'!$A$4:$C$183,3,FALSE)*1.25</f>
        <v>985</v>
      </c>
      <c r="D74" s="343">
        <f>'base(indices)'!G67</f>
        <v>1.4463962299999999</v>
      </c>
      <c r="E74" s="54">
        <f t="shared" si="61"/>
        <v>1424.7002865499999</v>
      </c>
      <c r="F74" s="307">
        <f>'base(indices)'!$I$147</f>
        <v>0.29920000000000002</v>
      </c>
      <c r="G74" s="54">
        <f t="shared" si="62"/>
        <v>426.27032573575997</v>
      </c>
      <c r="H74" s="267">
        <f t="shared" si="63"/>
        <v>1850.9706122857599</v>
      </c>
      <c r="I74" s="384">
        <f t="shared" si="20"/>
        <v>212996.3951292377</v>
      </c>
      <c r="J74" s="58">
        <f>IF((I74-H$81+(H$81/12*9))+K74-(H74/2)&gt;$I$197,$I$197-K74,(I74-H$81+(H$81/12*9)-(H74/2)))</f>
        <v>73820.948717981024</v>
      </c>
      <c r="K74" s="91">
        <f t="shared" si="64"/>
        <v>10899.051282018971</v>
      </c>
      <c r="L74" s="92">
        <f t="shared" si="65"/>
        <v>84720</v>
      </c>
      <c r="M74" s="91">
        <f t="shared" si="66"/>
        <v>70129.901282081963</v>
      </c>
      <c r="N74" s="91">
        <f t="shared" si="67"/>
        <v>10354.098717918021</v>
      </c>
      <c r="O74" s="91">
        <f t="shared" si="68"/>
        <v>80483.999999999985</v>
      </c>
      <c r="P74" s="91">
        <f t="shared" si="69"/>
        <v>66438.85384618293</v>
      </c>
      <c r="Q74" s="91">
        <f t="shared" si="70"/>
        <v>9809.1461538170734</v>
      </c>
      <c r="R74" s="91">
        <f t="shared" si="71"/>
        <v>76248</v>
      </c>
      <c r="S74" s="91">
        <f t="shared" si="72"/>
        <v>59056.758974384822</v>
      </c>
      <c r="T74" s="91">
        <f t="shared" si="73"/>
        <v>8719.2410256151761</v>
      </c>
      <c r="U74" s="91">
        <f t="shared" si="74"/>
        <v>67776</v>
      </c>
      <c r="V74" s="91">
        <f t="shared" si="75"/>
        <v>51674.664102586714</v>
      </c>
      <c r="W74" s="91">
        <f t="shared" si="76"/>
        <v>7629.3358974132789</v>
      </c>
      <c r="X74" s="91">
        <f t="shared" si="77"/>
        <v>59303.999999999993</v>
      </c>
      <c r="Y74" s="91">
        <f t="shared" si="78"/>
        <v>44292.569230788613</v>
      </c>
      <c r="Z74" s="91">
        <f t="shared" si="79"/>
        <v>6539.4307692113825</v>
      </c>
      <c r="AA74" s="59">
        <f t="shared" si="80"/>
        <v>50831.999999999993</v>
      </c>
      <c r="AB74" s="32"/>
      <c r="AC74" s="32"/>
      <c r="AD74" s="32"/>
      <c r="AE74" s="32"/>
      <c r="AF74" s="32"/>
      <c r="AG74" s="33"/>
      <c r="AH74" s="32"/>
      <c r="AI74" s="32"/>
    </row>
    <row r="75" spans="1:35" s="26" customFormat="1" ht="13.5" customHeight="1">
      <c r="A75" s="105">
        <v>104</v>
      </c>
      <c r="B75" s="40">
        <v>42125</v>
      </c>
      <c r="C75" s="61">
        <f>VLOOKUP(B75,'base(indices)'!$A$4:$C$183,3,FALSE)*1.25</f>
        <v>985</v>
      </c>
      <c r="D75" s="343">
        <f>'base(indices)'!G68</f>
        <v>1.4310836300000001</v>
      </c>
      <c r="E75" s="63">
        <f t="shared" si="61"/>
        <v>1409.6173755500001</v>
      </c>
      <c r="F75" s="307">
        <f>'base(indices)'!$I$147</f>
        <v>0.29920000000000002</v>
      </c>
      <c r="G75" s="63">
        <f t="shared" si="62"/>
        <v>421.75751876456007</v>
      </c>
      <c r="H75" s="268">
        <f t="shared" si="63"/>
        <v>1831.3748943145602</v>
      </c>
      <c r="I75" s="360">
        <f t="shared" si="20"/>
        <v>211145.42451695196</v>
      </c>
      <c r="J75" s="45">
        <f>IF((I75-H$81+(H$81/12*8))+K75-(H75/2)&gt;$I$197,$I$197-K75,(I75-H$81+(H$81/12*8)-(H75/2)))</f>
        <v>73820.948717981024</v>
      </c>
      <c r="K75" s="108">
        <f t="shared" si="64"/>
        <v>10899.051282018971</v>
      </c>
      <c r="L75" s="108">
        <f t="shared" si="65"/>
        <v>84720</v>
      </c>
      <c r="M75" s="108">
        <f t="shared" si="66"/>
        <v>70129.901282081963</v>
      </c>
      <c r="N75" s="108">
        <f t="shared" si="67"/>
        <v>10354.098717918021</v>
      </c>
      <c r="O75" s="108">
        <f t="shared" si="68"/>
        <v>80483.999999999985</v>
      </c>
      <c r="P75" s="93">
        <f t="shared" si="69"/>
        <v>66438.85384618293</v>
      </c>
      <c r="Q75" s="108">
        <f t="shared" si="70"/>
        <v>9809.1461538170734</v>
      </c>
      <c r="R75" s="108">
        <f t="shared" si="71"/>
        <v>76248</v>
      </c>
      <c r="S75" s="108">
        <f t="shared" si="72"/>
        <v>59056.758974384822</v>
      </c>
      <c r="T75" s="108">
        <f t="shared" si="73"/>
        <v>8719.2410256151761</v>
      </c>
      <c r="U75" s="108">
        <f t="shared" si="74"/>
        <v>67776</v>
      </c>
      <c r="V75" s="108">
        <f t="shared" si="75"/>
        <v>51674.664102586714</v>
      </c>
      <c r="W75" s="108">
        <f t="shared" si="76"/>
        <v>7629.3358974132789</v>
      </c>
      <c r="X75" s="108">
        <f t="shared" si="77"/>
        <v>59303.999999999993</v>
      </c>
      <c r="Y75" s="108">
        <f t="shared" si="78"/>
        <v>44292.569230788613</v>
      </c>
      <c r="Z75" s="108">
        <f t="shared" si="79"/>
        <v>6539.4307692113825</v>
      </c>
      <c r="AA75" s="46">
        <f t="shared" si="80"/>
        <v>50831.999999999993</v>
      </c>
      <c r="AB75" s="32"/>
      <c r="AC75" s="32"/>
      <c r="AD75" s="32"/>
      <c r="AE75" s="32"/>
      <c r="AF75" s="32"/>
      <c r="AG75" s="33"/>
      <c r="AH75" s="32"/>
      <c r="AI75" s="32"/>
    </row>
    <row r="76" spans="1:35" s="26" customFormat="1" ht="13.5" customHeight="1">
      <c r="A76" s="105">
        <v>103</v>
      </c>
      <c r="B76" s="50">
        <v>42156</v>
      </c>
      <c r="C76" s="61">
        <f>VLOOKUP(B76,'base(indices)'!$A$4:$C$183,3,FALSE)*1.25</f>
        <v>985</v>
      </c>
      <c r="D76" s="343">
        <f>'base(indices)'!G69</f>
        <v>1.4225483400000001</v>
      </c>
      <c r="E76" s="54">
        <f t="shared" si="61"/>
        <v>1401.2101149</v>
      </c>
      <c r="F76" s="307">
        <f>'base(indices)'!$I$147</f>
        <v>0.29920000000000002</v>
      </c>
      <c r="G76" s="54">
        <f t="shared" si="62"/>
        <v>419.24206637808004</v>
      </c>
      <c r="H76" s="267">
        <f t="shared" si="63"/>
        <v>1820.4521812780799</v>
      </c>
      <c r="I76" s="384">
        <f t="shared" si="20"/>
        <v>209314.04962263739</v>
      </c>
      <c r="J76" s="58">
        <f>IF((I76-H$81+(H$81/12*7))+K76-(H76/2)&gt;$I$197,$I$197-K76,(I76-H$81+(H$81/12*7)-(H76/2)))</f>
        <v>73820.948717981024</v>
      </c>
      <c r="K76" s="91">
        <f t="shared" si="64"/>
        <v>10899.051282018971</v>
      </c>
      <c r="L76" s="92">
        <f t="shared" si="65"/>
        <v>84720</v>
      </c>
      <c r="M76" s="91">
        <f t="shared" si="66"/>
        <v>70129.901282081963</v>
      </c>
      <c r="N76" s="91">
        <f t="shared" si="67"/>
        <v>10354.098717918021</v>
      </c>
      <c r="O76" s="91">
        <f t="shared" si="68"/>
        <v>80483.999999999985</v>
      </c>
      <c r="P76" s="91">
        <f t="shared" si="69"/>
        <v>66438.85384618293</v>
      </c>
      <c r="Q76" s="91">
        <f t="shared" si="70"/>
        <v>9809.1461538170734</v>
      </c>
      <c r="R76" s="91">
        <f t="shared" si="71"/>
        <v>76248</v>
      </c>
      <c r="S76" s="91">
        <f t="shared" si="72"/>
        <v>59056.758974384822</v>
      </c>
      <c r="T76" s="91">
        <f t="shared" si="73"/>
        <v>8719.2410256151761</v>
      </c>
      <c r="U76" s="91">
        <f t="shared" si="74"/>
        <v>67776</v>
      </c>
      <c r="V76" s="91">
        <f t="shared" si="75"/>
        <v>51674.664102586714</v>
      </c>
      <c r="W76" s="91">
        <f t="shared" si="76"/>
        <v>7629.3358974132789</v>
      </c>
      <c r="X76" s="91">
        <f t="shared" si="77"/>
        <v>59303.999999999993</v>
      </c>
      <c r="Y76" s="91">
        <f t="shared" si="78"/>
        <v>44292.569230788613</v>
      </c>
      <c r="Z76" s="91">
        <f t="shared" si="79"/>
        <v>6539.4307692113825</v>
      </c>
      <c r="AA76" s="59">
        <f t="shared" si="80"/>
        <v>50831.999999999993</v>
      </c>
      <c r="AB76" s="32"/>
      <c r="AC76" s="32"/>
      <c r="AD76" s="32"/>
      <c r="AE76" s="32"/>
      <c r="AF76" s="32"/>
      <c r="AG76" s="33"/>
      <c r="AH76" s="32"/>
      <c r="AI76" s="32"/>
    </row>
    <row r="77" spans="1:35" s="26" customFormat="1" ht="13.5" customHeight="1">
      <c r="A77" s="105">
        <v>102</v>
      </c>
      <c r="B77" s="40">
        <v>42186</v>
      </c>
      <c r="C77" s="61">
        <f>VLOOKUP(B77,'base(indices)'!$A$4:$C$183,3,FALSE)*1.25</f>
        <v>985</v>
      </c>
      <c r="D77" s="343">
        <f>'base(indices)'!G70</f>
        <v>1.4086031699999999</v>
      </c>
      <c r="E77" s="63">
        <f t="shared" si="61"/>
        <v>1387.4741224499999</v>
      </c>
      <c r="F77" s="307">
        <f>'base(indices)'!$I$147</f>
        <v>0.29920000000000002</v>
      </c>
      <c r="G77" s="63">
        <f t="shared" si="62"/>
        <v>415.13225743703998</v>
      </c>
      <c r="H77" s="268">
        <f t="shared" si="63"/>
        <v>1802.6063798870398</v>
      </c>
      <c r="I77" s="360">
        <f t="shared" ref="I77:I140" si="81">I76-H76</f>
        <v>207493.59744135931</v>
      </c>
      <c r="J77" s="45">
        <f>IF((I77-H$81+(H$81/12*6))+K77-(H77/2)&gt;$I$197,$I$197-K77,(I77-H$81+(H$81/12*6)-(H77/2)))</f>
        <v>73820.948717981024</v>
      </c>
      <c r="K77" s="108">
        <f t="shared" si="64"/>
        <v>10899.051282018971</v>
      </c>
      <c r="L77" s="108">
        <f t="shared" si="65"/>
        <v>84720</v>
      </c>
      <c r="M77" s="108">
        <f t="shared" si="66"/>
        <v>70129.901282081963</v>
      </c>
      <c r="N77" s="108">
        <f t="shared" si="67"/>
        <v>10354.098717918021</v>
      </c>
      <c r="O77" s="108">
        <f t="shared" si="68"/>
        <v>80483.999999999985</v>
      </c>
      <c r="P77" s="93">
        <f t="shared" si="69"/>
        <v>66438.85384618293</v>
      </c>
      <c r="Q77" s="108">
        <f t="shared" si="70"/>
        <v>9809.1461538170734</v>
      </c>
      <c r="R77" s="108">
        <f t="shared" si="71"/>
        <v>76248</v>
      </c>
      <c r="S77" s="108">
        <f t="shared" si="72"/>
        <v>59056.758974384822</v>
      </c>
      <c r="T77" s="108">
        <f t="shared" si="73"/>
        <v>8719.2410256151761</v>
      </c>
      <c r="U77" s="108">
        <f t="shared" si="74"/>
        <v>67776</v>
      </c>
      <c r="V77" s="108">
        <f t="shared" si="75"/>
        <v>51674.664102586714</v>
      </c>
      <c r="W77" s="108">
        <f t="shared" si="76"/>
        <v>7629.3358974132789</v>
      </c>
      <c r="X77" s="108">
        <f t="shared" si="77"/>
        <v>59303.999999999993</v>
      </c>
      <c r="Y77" s="108">
        <f t="shared" si="78"/>
        <v>44292.569230788613</v>
      </c>
      <c r="Z77" s="108">
        <f t="shared" si="79"/>
        <v>6539.4307692113825</v>
      </c>
      <c r="AA77" s="46">
        <f t="shared" si="80"/>
        <v>50831.999999999993</v>
      </c>
      <c r="AB77" s="366"/>
      <c r="AC77" s="32"/>
      <c r="AD77" s="32"/>
      <c r="AE77" s="32"/>
      <c r="AF77" s="32"/>
      <c r="AG77" s="33"/>
      <c r="AH77" s="32"/>
      <c r="AI77" s="32"/>
    </row>
    <row r="78" spans="1:35" s="26" customFormat="1" ht="13.5" customHeight="1">
      <c r="A78" s="105">
        <v>101</v>
      </c>
      <c r="B78" s="50">
        <v>42217</v>
      </c>
      <c r="C78" s="61">
        <f>VLOOKUP(B78,'base(indices)'!$A$4:$C$183,3,FALSE)*1.25</f>
        <v>985</v>
      </c>
      <c r="D78" s="343">
        <f>'base(indices)'!G71</f>
        <v>1.40034116</v>
      </c>
      <c r="E78" s="54">
        <f t="shared" si="61"/>
        <v>1379.3360425999999</v>
      </c>
      <c r="F78" s="307">
        <f>'base(indices)'!$I$147</f>
        <v>0.29920000000000002</v>
      </c>
      <c r="G78" s="54">
        <f t="shared" si="62"/>
        <v>412.69734394592001</v>
      </c>
      <c r="H78" s="267">
        <f t="shared" si="63"/>
        <v>1792.0333865459199</v>
      </c>
      <c r="I78" s="384">
        <f t="shared" si="81"/>
        <v>205690.99106147228</v>
      </c>
      <c r="J78" s="58">
        <f>IF((I78-H$81+(H$81/12*5))+K78-(H78/2)&gt;$I$197,$I$197-K78,(I78-H$81+(H$81/12*5)-(H78/2)))</f>
        <v>73820.948717981024</v>
      </c>
      <c r="K78" s="91">
        <f t="shared" si="64"/>
        <v>10899.051282018971</v>
      </c>
      <c r="L78" s="92">
        <f t="shared" si="65"/>
        <v>84720</v>
      </c>
      <c r="M78" s="91">
        <f t="shared" si="66"/>
        <v>70129.901282081963</v>
      </c>
      <c r="N78" s="91">
        <f t="shared" si="67"/>
        <v>10354.098717918021</v>
      </c>
      <c r="O78" s="91">
        <f t="shared" si="68"/>
        <v>80483.999999999985</v>
      </c>
      <c r="P78" s="91">
        <f t="shared" si="69"/>
        <v>66438.85384618293</v>
      </c>
      <c r="Q78" s="91">
        <f t="shared" si="70"/>
        <v>9809.1461538170734</v>
      </c>
      <c r="R78" s="91">
        <f t="shared" si="71"/>
        <v>76248</v>
      </c>
      <c r="S78" s="91">
        <f t="shared" si="72"/>
        <v>59056.758974384822</v>
      </c>
      <c r="T78" s="91">
        <f t="shared" si="73"/>
        <v>8719.2410256151761</v>
      </c>
      <c r="U78" s="91">
        <f t="shared" si="74"/>
        <v>67776</v>
      </c>
      <c r="V78" s="91">
        <f t="shared" si="75"/>
        <v>51674.664102586714</v>
      </c>
      <c r="W78" s="91">
        <f t="shared" si="76"/>
        <v>7629.3358974132789</v>
      </c>
      <c r="X78" s="91">
        <f t="shared" si="77"/>
        <v>59303.999999999993</v>
      </c>
      <c r="Y78" s="91">
        <f t="shared" si="78"/>
        <v>44292.569230788613</v>
      </c>
      <c r="Z78" s="91">
        <f t="shared" si="79"/>
        <v>6539.4307692113825</v>
      </c>
      <c r="AA78" s="59">
        <f t="shared" si="80"/>
        <v>50831.999999999993</v>
      </c>
      <c r="AB78" s="32"/>
      <c r="AC78" s="32"/>
      <c r="AD78" s="32"/>
      <c r="AE78" s="32"/>
      <c r="AF78" s="32"/>
      <c r="AG78" s="33"/>
      <c r="AH78" s="32"/>
      <c r="AI78" s="32"/>
    </row>
    <row r="79" spans="1:35" s="26" customFormat="1" ht="13.5" customHeight="1">
      <c r="A79" s="105">
        <v>100</v>
      </c>
      <c r="B79" s="40">
        <v>42248</v>
      </c>
      <c r="C79" s="61">
        <f>VLOOKUP(B79,'base(indices)'!$A$4:$C$183,3,FALSE)*1.25</f>
        <v>985</v>
      </c>
      <c r="D79" s="343">
        <f>'base(indices)'!G72</f>
        <v>1.39434547</v>
      </c>
      <c r="E79" s="63">
        <f t="shared" si="61"/>
        <v>1373.4302879499999</v>
      </c>
      <c r="F79" s="307">
        <f>'base(indices)'!$I$147</f>
        <v>0.29920000000000002</v>
      </c>
      <c r="G79" s="63">
        <f t="shared" si="62"/>
        <v>410.93034215464002</v>
      </c>
      <c r="H79" s="268">
        <f t="shared" si="63"/>
        <v>1784.3606301046398</v>
      </c>
      <c r="I79" s="360">
        <f t="shared" si="81"/>
        <v>203898.95767492635</v>
      </c>
      <c r="J79" s="45">
        <f>IF((I79-H$81+(H$81/12*4))+K79-(H79/2)&gt;$I$197,$I$197-K79,(I79-H$81+(H$81/12*4)-(H79/2)))</f>
        <v>73820.948717981024</v>
      </c>
      <c r="K79" s="108">
        <f t="shared" si="64"/>
        <v>10899.051282018971</v>
      </c>
      <c r="L79" s="108">
        <f t="shared" si="65"/>
        <v>84720</v>
      </c>
      <c r="M79" s="108">
        <f t="shared" si="66"/>
        <v>70129.901282081963</v>
      </c>
      <c r="N79" s="108">
        <f t="shared" si="67"/>
        <v>10354.098717918021</v>
      </c>
      <c r="O79" s="108">
        <f t="shared" si="68"/>
        <v>80483.999999999985</v>
      </c>
      <c r="P79" s="93">
        <f t="shared" si="69"/>
        <v>66438.85384618293</v>
      </c>
      <c r="Q79" s="108">
        <f t="shared" si="70"/>
        <v>9809.1461538170734</v>
      </c>
      <c r="R79" s="108">
        <f t="shared" si="71"/>
        <v>76248</v>
      </c>
      <c r="S79" s="108">
        <f t="shared" si="72"/>
        <v>59056.758974384822</v>
      </c>
      <c r="T79" s="108">
        <f t="shared" si="73"/>
        <v>8719.2410256151761</v>
      </c>
      <c r="U79" s="108">
        <f t="shared" si="74"/>
        <v>67776</v>
      </c>
      <c r="V79" s="108">
        <f t="shared" si="75"/>
        <v>51674.664102586714</v>
      </c>
      <c r="W79" s="108">
        <f t="shared" si="76"/>
        <v>7629.3358974132789</v>
      </c>
      <c r="X79" s="108">
        <f t="shared" si="77"/>
        <v>59303.999999999993</v>
      </c>
      <c r="Y79" s="108">
        <f t="shared" si="78"/>
        <v>44292.569230788613</v>
      </c>
      <c r="Z79" s="108">
        <f t="shared" si="79"/>
        <v>6539.4307692113825</v>
      </c>
      <c r="AA79" s="46">
        <f t="shared" si="80"/>
        <v>50831.999999999993</v>
      </c>
      <c r="AB79" s="32"/>
      <c r="AC79" s="32"/>
      <c r="AD79" s="32"/>
      <c r="AE79" s="32"/>
      <c r="AF79" s="32"/>
      <c r="AG79" s="33"/>
      <c r="AH79" s="32"/>
      <c r="AI79" s="32"/>
    </row>
    <row r="80" spans="1:35" s="26" customFormat="1" ht="13.5" customHeight="1">
      <c r="A80" s="105">
        <v>99</v>
      </c>
      <c r="B80" s="50">
        <v>42278</v>
      </c>
      <c r="C80" s="61">
        <f>VLOOKUP(B80,'base(indices)'!$A$4:$C$183,3,FALSE)*1.25</f>
        <v>985</v>
      </c>
      <c r="D80" s="343">
        <f>'base(indices)'!G73</f>
        <v>1.38892865</v>
      </c>
      <c r="E80" s="54">
        <f t="shared" si="61"/>
        <v>1368.0947202499999</v>
      </c>
      <c r="F80" s="307">
        <f>'base(indices)'!$I$147</f>
        <v>0.29920000000000002</v>
      </c>
      <c r="G80" s="54">
        <f t="shared" si="62"/>
        <v>409.33394029880003</v>
      </c>
      <c r="H80" s="267">
        <f t="shared" si="63"/>
        <v>1777.4286605488001</v>
      </c>
      <c r="I80" s="384">
        <f t="shared" si="81"/>
        <v>202114.59704482171</v>
      </c>
      <c r="J80" s="58">
        <f>IF((I80-H$81+(H$81/12*3))+K80-(H80/2)&gt;$I$197,$I$197-K80,(I80-H$81+(H$81/12*3)-(H80/2)))</f>
        <v>73820.948717981024</v>
      </c>
      <c r="K80" s="91">
        <f t="shared" si="64"/>
        <v>10899.051282018971</v>
      </c>
      <c r="L80" s="92">
        <f t="shared" si="65"/>
        <v>84720</v>
      </c>
      <c r="M80" s="91">
        <f t="shared" si="66"/>
        <v>70129.901282081963</v>
      </c>
      <c r="N80" s="91">
        <f t="shared" si="67"/>
        <v>10354.098717918021</v>
      </c>
      <c r="O80" s="91">
        <f t="shared" si="68"/>
        <v>80483.999999999985</v>
      </c>
      <c r="P80" s="91">
        <f t="shared" si="69"/>
        <v>66438.85384618293</v>
      </c>
      <c r="Q80" s="91">
        <f t="shared" si="70"/>
        <v>9809.1461538170734</v>
      </c>
      <c r="R80" s="91">
        <f t="shared" si="71"/>
        <v>76248</v>
      </c>
      <c r="S80" s="91">
        <f t="shared" si="72"/>
        <v>59056.758974384822</v>
      </c>
      <c r="T80" s="91">
        <f t="shared" si="73"/>
        <v>8719.2410256151761</v>
      </c>
      <c r="U80" s="91">
        <f t="shared" si="74"/>
        <v>67776</v>
      </c>
      <c r="V80" s="91">
        <f t="shared" si="75"/>
        <v>51674.664102586714</v>
      </c>
      <c r="W80" s="91">
        <f t="shared" si="76"/>
        <v>7629.3358974132789</v>
      </c>
      <c r="X80" s="91">
        <f t="shared" si="77"/>
        <v>59303.999999999993</v>
      </c>
      <c r="Y80" s="91">
        <f t="shared" si="78"/>
        <v>44292.569230788613</v>
      </c>
      <c r="Z80" s="91">
        <f t="shared" si="79"/>
        <v>6539.4307692113825</v>
      </c>
      <c r="AA80" s="59">
        <f t="shared" si="80"/>
        <v>50831.999999999993</v>
      </c>
      <c r="AB80" s="32"/>
      <c r="AC80" s="32"/>
      <c r="AD80" s="32"/>
      <c r="AE80" s="32"/>
      <c r="AF80" s="32"/>
      <c r="AG80" s="33"/>
      <c r="AH80" s="32"/>
      <c r="AI80" s="32"/>
    </row>
    <row r="81" spans="1:35" s="26" customFormat="1" ht="13.5" customHeight="1">
      <c r="A81" s="105">
        <v>98</v>
      </c>
      <c r="B81" s="40">
        <v>42309</v>
      </c>
      <c r="C81" s="61">
        <f>VLOOKUP(B81,'base(indices)'!$A$4:$C$183,3,FALSE)*1.25</f>
        <v>985</v>
      </c>
      <c r="D81" s="343">
        <f>'base(indices)'!G74</f>
        <v>1.37982183</v>
      </c>
      <c r="E81" s="63">
        <f t="shared" si="61"/>
        <v>1359.12450255</v>
      </c>
      <c r="F81" s="307">
        <f>'base(indices)'!$I$147</f>
        <v>0.29920000000000002</v>
      </c>
      <c r="G81" s="63">
        <f t="shared" si="62"/>
        <v>406.65005116296004</v>
      </c>
      <c r="H81" s="268">
        <f t="shared" si="63"/>
        <v>1765.7745537129599</v>
      </c>
      <c r="I81" s="360">
        <f t="shared" si="81"/>
        <v>200337.16838427293</v>
      </c>
      <c r="J81" s="45">
        <f>IF((I81-H$81+(H$81/12*2))+K81-(H81/2)&gt;$I$197,$I$197-K81,(I81-H$81+(H$81/12*2)-(H81/2)))</f>
        <v>73820.948717981024</v>
      </c>
      <c r="K81" s="108">
        <f t="shared" si="64"/>
        <v>10899.051282018971</v>
      </c>
      <c r="L81" s="108">
        <f t="shared" si="65"/>
        <v>84720</v>
      </c>
      <c r="M81" s="108">
        <f t="shared" si="66"/>
        <v>70129.901282081963</v>
      </c>
      <c r="N81" s="108">
        <f t="shared" si="67"/>
        <v>10354.098717918021</v>
      </c>
      <c r="O81" s="108">
        <f t="shared" si="68"/>
        <v>80483.999999999985</v>
      </c>
      <c r="P81" s="93">
        <f t="shared" si="69"/>
        <v>66438.85384618293</v>
      </c>
      <c r="Q81" s="108">
        <f t="shared" si="70"/>
        <v>9809.1461538170734</v>
      </c>
      <c r="R81" s="108">
        <f t="shared" si="71"/>
        <v>76248</v>
      </c>
      <c r="S81" s="108">
        <f t="shared" si="72"/>
        <v>59056.758974384822</v>
      </c>
      <c r="T81" s="108">
        <f t="shared" si="73"/>
        <v>8719.2410256151761</v>
      </c>
      <c r="U81" s="108">
        <f t="shared" si="74"/>
        <v>67776</v>
      </c>
      <c r="V81" s="108">
        <f t="shared" si="75"/>
        <v>51674.664102586714</v>
      </c>
      <c r="W81" s="108">
        <f t="shared" si="76"/>
        <v>7629.3358974132789</v>
      </c>
      <c r="X81" s="108">
        <f t="shared" si="77"/>
        <v>59303.999999999993</v>
      </c>
      <c r="Y81" s="108">
        <f t="shared" si="78"/>
        <v>44292.569230788613</v>
      </c>
      <c r="Z81" s="108">
        <f t="shared" si="79"/>
        <v>6539.4307692113825</v>
      </c>
      <c r="AA81" s="46">
        <f t="shared" si="80"/>
        <v>50831.999999999993</v>
      </c>
      <c r="AB81" s="32"/>
      <c r="AC81" s="32"/>
      <c r="AD81" s="32"/>
      <c r="AE81" s="32"/>
      <c r="AF81" s="32"/>
      <c r="AG81" s="33"/>
      <c r="AH81" s="32"/>
      <c r="AI81" s="32"/>
    </row>
    <row r="82" spans="1:35" ht="13.5" customHeight="1" thickBot="1">
      <c r="A82" s="110">
        <v>97</v>
      </c>
      <c r="B82" s="383">
        <v>42339</v>
      </c>
      <c r="C82" s="142">
        <f>C81*2</f>
        <v>1970</v>
      </c>
      <c r="D82" s="343">
        <f>'base(indices)'!G75</f>
        <v>1.36819219</v>
      </c>
      <c r="E82" s="170">
        <f t="shared" si="61"/>
        <v>2695.3386143000002</v>
      </c>
      <c r="F82" s="307">
        <f>'base(indices)'!$I$147</f>
        <v>0.29920000000000002</v>
      </c>
      <c r="G82" s="170">
        <f t="shared" si="62"/>
        <v>806.44531339856007</v>
      </c>
      <c r="H82" s="368">
        <f t="shared" si="63"/>
        <v>3501.7839276985605</v>
      </c>
      <c r="I82" s="384">
        <f t="shared" si="81"/>
        <v>198571.39383055997</v>
      </c>
      <c r="J82" s="285">
        <f>IF((I82-H$81+(H$81/12*1))+K82-(H82/4)&gt;$I$197,$I$197-K82,(I82-H$81+(H$81/12*1)-(H82/4)))</f>
        <v>73820.948717981024</v>
      </c>
      <c r="K82" s="86">
        <f t="shared" si="64"/>
        <v>10899.051282018971</v>
      </c>
      <c r="L82" s="164">
        <f t="shared" si="65"/>
        <v>84720</v>
      </c>
      <c r="M82" s="86">
        <f t="shared" si="66"/>
        <v>70129.901282081963</v>
      </c>
      <c r="N82" s="86">
        <f t="shared" si="67"/>
        <v>10354.098717918021</v>
      </c>
      <c r="O82" s="86">
        <f t="shared" si="68"/>
        <v>80483.999999999985</v>
      </c>
      <c r="P82" s="86">
        <f t="shared" si="69"/>
        <v>66438.85384618293</v>
      </c>
      <c r="Q82" s="86">
        <f t="shared" si="70"/>
        <v>9809.1461538170734</v>
      </c>
      <c r="R82" s="86">
        <f t="shared" si="71"/>
        <v>76248</v>
      </c>
      <c r="S82" s="86">
        <f t="shared" si="72"/>
        <v>59056.758974384822</v>
      </c>
      <c r="T82" s="86">
        <f t="shared" si="73"/>
        <v>8719.2410256151761</v>
      </c>
      <c r="U82" s="86">
        <f t="shared" si="74"/>
        <v>67776</v>
      </c>
      <c r="V82" s="86">
        <f t="shared" si="75"/>
        <v>51674.664102586714</v>
      </c>
      <c r="W82" s="86">
        <f t="shared" si="76"/>
        <v>7629.3358974132789</v>
      </c>
      <c r="X82" s="86">
        <f t="shared" si="77"/>
        <v>59303.999999999993</v>
      </c>
      <c r="Y82" s="86">
        <f t="shared" si="78"/>
        <v>44292.569230788613</v>
      </c>
      <c r="Z82" s="86">
        <f t="shared" si="79"/>
        <v>6539.4307692113825</v>
      </c>
      <c r="AA82" s="165">
        <f t="shared" si="80"/>
        <v>50831.999999999993</v>
      </c>
      <c r="AB82" s="16"/>
      <c r="AC82" s="16"/>
      <c r="AD82" s="16"/>
      <c r="AE82" s="16"/>
      <c r="AF82" s="16"/>
      <c r="AG82" s="17"/>
      <c r="AH82" s="16"/>
      <c r="AI82" s="16"/>
    </row>
    <row r="83" spans="1:35" ht="13.5" customHeight="1">
      <c r="A83" s="158">
        <v>96</v>
      </c>
      <c r="B83" s="136">
        <v>42370</v>
      </c>
      <c r="C83" s="120">
        <f>VLOOKUP(B83,'base(indices)'!$A$4:$C$183,3,FALSE)*1.25</f>
        <v>1100</v>
      </c>
      <c r="D83" s="386">
        <f>'base(indices)'!G76</f>
        <v>1.35223581</v>
      </c>
      <c r="E83" s="78">
        <f t="shared" si="61"/>
        <v>1487.4593910000001</v>
      </c>
      <c r="F83" s="371">
        <f>'base(indices)'!$I$147</f>
        <v>0.29920000000000002</v>
      </c>
      <c r="G83" s="78">
        <f t="shared" si="62"/>
        <v>445.04784978720005</v>
      </c>
      <c r="H83" s="266">
        <f t="shared" si="63"/>
        <v>1932.5072407872001</v>
      </c>
      <c r="I83" s="358">
        <f t="shared" si="81"/>
        <v>195069.60990286141</v>
      </c>
      <c r="J83" s="48">
        <f>IF((I83-H$93+(H$93))+K83-(H83/2)&gt;$I$197,$I$197-K83,(I83-H$93+(H$93)-(H83/2)))</f>
        <v>73820.948717981024</v>
      </c>
      <c r="K83" s="109">
        <f t="shared" si="64"/>
        <v>10899.051282018971</v>
      </c>
      <c r="L83" s="109">
        <f t="shared" si="65"/>
        <v>84720</v>
      </c>
      <c r="M83" s="109">
        <f t="shared" si="66"/>
        <v>70129.901282081963</v>
      </c>
      <c r="N83" s="109">
        <f t="shared" si="67"/>
        <v>10354.098717918021</v>
      </c>
      <c r="O83" s="109">
        <f t="shared" si="68"/>
        <v>80483.999999999985</v>
      </c>
      <c r="P83" s="90">
        <f t="shared" si="69"/>
        <v>66438.85384618293</v>
      </c>
      <c r="Q83" s="109">
        <f t="shared" si="70"/>
        <v>9809.1461538170734</v>
      </c>
      <c r="R83" s="109">
        <f t="shared" si="71"/>
        <v>76248</v>
      </c>
      <c r="S83" s="109">
        <f t="shared" si="72"/>
        <v>59056.758974384822</v>
      </c>
      <c r="T83" s="109">
        <f t="shared" si="73"/>
        <v>8719.2410256151761</v>
      </c>
      <c r="U83" s="109">
        <f t="shared" si="74"/>
        <v>67776</v>
      </c>
      <c r="V83" s="109">
        <f t="shared" si="75"/>
        <v>51674.664102586714</v>
      </c>
      <c r="W83" s="109">
        <f t="shared" si="76"/>
        <v>7629.3358974132789</v>
      </c>
      <c r="X83" s="109">
        <f t="shared" si="77"/>
        <v>59303.999999999993</v>
      </c>
      <c r="Y83" s="109">
        <f t="shared" si="78"/>
        <v>44292.569230788613</v>
      </c>
      <c r="Z83" s="109">
        <f t="shared" si="79"/>
        <v>6539.4307692113825</v>
      </c>
      <c r="AA83" s="49">
        <f t="shared" si="80"/>
        <v>50831.999999999993</v>
      </c>
      <c r="AB83" s="16"/>
      <c r="AC83" s="16"/>
      <c r="AD83" s="16"/>
      <c r="AE83" s="16"/>
      <c r="AF83" s="16"/>
      <c r="AG83" s="17"/>
      <c r="AH83" s="16"/>
      <c r="AI83" s="16"/>
    </row>
    <row r="84" spans="1:35" ht="13.5" customHeight="1">
      <c r="A84" s="105">
        <v>95</v>
      </c>
      <c r="B84" s="50">
        <v>42401</v>
      </c>
      <c r="C84" s="61">
        <f>VLOOKUP(B84,'base(indices)'!$A$4:$C$183,3,FALSE)*1.25</f>
        <v>1100</v>
      </c>
      <c r="D84" s="343">
        <f>'base(indices)'!G77</f>
        <v>1.3399086499999999</v>
      </c>
      <c r="E84" s="54">
        <f t="shared" si="61"/>
        <v>1473.8995149999998</v>
      </c>
      <c r="F84" s="307">
        <f>'base(indices)'!$I$147</f>
        <v>0.29920000000000002</v>
      </c>
      <c r="G84" s="54">
        <f t="shared" si="62"/>
        <v>440.99073488799996</v>
      </c>
      <c r="H84" s="267">
        <f t="shared" si="63"/>
        <v>1914.8902498879997</v>
      </c>
      <c r="I84" s="384">
        <f t="shared" si="81"/>
        <v>193137.1026620742</v>
      </c>
      <c r="J84" s="58">
        <f>IF((I84-H$93+(H$93/12*11))+K84-(H84/2)&gt;$I$197,$I$197-K84,(I84-H$93+(H$93/12*11)-(H84/2)))</f>
        <v>73820.948717981024</v>
      </c>
      <c r="K84" s="91">
        <f t="shared" si="64"/>
        <v>10899.051282018971</v>
      </c>
      <c r="L84" s="92">
        <f t="shared" si="65"/>
        <v>84720</v>
      </c>
      <c r="M84" s="91">
        <f t="shared" si="66"/>
        <v>70129.901282081963</v>
      </c>
      <c r="N84" s="91">
        <f t="shared" si="67"/>
        <v>10354.098717918021</v>
      </c>
      <c r="O84" s="91">
        <f t="shared" si="68"/>
        <v>80483.999999999985</v>
      </c>
      <c r="P84" s="91">
        <f t="shared" si="69"/>
        <v>66438.85384618293</v>
      </c>
      <c r="Q84" s="91">
        <f t="shared" si="70"/>
        <v>9809.1461538170734</v>
      </c>
      <c r="R84" s="91">
        <f t="shared" si="71"/>
        <v>76248</v>
      </c>
      <c r="S84" s="91">
        <f t="shared" si="72"/>
        <v>59056.758974384822</v>
      </c>
      <c r="T84" s="91">
        <f t="shared" si="73"/>
        <v>8719.2410256151761</v>
      </c>
      <c r="U84" s="91">
        <f t="shared" si="74"/>
        <v>67776</v>
      </c>
      <c r="V84" s="91">
        <f t="shared" si="75"/>
        <v>51674.664102586714</v>
      </c>
      <c r="W84" s="91">
        <f t="shared" si="76"/>
        <v>7629.3358974132789</v>
      </c>
      <c r="X84" s="91">
        <f t="shared" si="77"/>
        <v>59303.999999999993</v>
      </c>
      <c r="Y84" s="91">
        <f t="shared" si="78"/>
        <v>44292.569230788613</v>
      </c>
      <c r="Z84" s="91">
        <f t="shared" si="79"/>
        <v>6539.4307692113825</v>
      </c>
      <c r="AA84" s="59">
        <f t="shared" si="80"/>
        <v>50831.999999999993</v>
      </c>
      <c r="AB84" s="16"/>
      <c r="AC84" s="16"/>
      <c r="AD84" s="16"/>
      <c r="AE84" s="16"/>
      <c r="AF84" s="16"/>
      <c r="AG84" s="17"/>
      <c r="AH84" s="16"/>
      <c r="AI84" s="16"/>
    </row>
    <row r="85" spans="1:35" ht="13.5" customHeight="1">
      <c r="A85" s="105">
        <v>94</v>
      </c>
      <c r="B85" s="50">
        <v>42430</v>
      </c>
      <c r="C85" s="61">
        <f>VLOOKUP(B85,'base(indices)'!$A$4:$C$183,3,FALSE)*1.25</f>
        <v>1100</v>
      </c>
      <c r="D85" s="343">
        <f>'base(indices)'!G78</f>
        <v>1.3211483399999999</v>
      </c>
      <c r="E85" s="63">
        <f t="shared" si="61"/>
        <v>1453.2631739999999</v>
      </c>
      <c r="F85" s="307">
        <f>'base(indices)'!$I$147</f>
        <v>0.29920000000000002</v>
      </c>
      <c r="G85" s="63">
        <f t="shared" si="62"/>
        <v>434.81634166079999</v>
      </c>
      <c r="H85" s="268">
        <f t="shared" si="63"/>
        <v>1888.0795156607999</v>
      </c>
      <c r="I85" s="360">
        <f t="shared" si="81"/>
        <v>191222.2124121862</v>
      </c>
      <c r="J85" s="45">
        <f>IF((I85-H$93+(H$93/12*10))+K85-(H85/2)&gt;$I$197,$I$197-K85,(I85-H$93+(H$93/12*10)-(H85/2)))</f>
        <v>73820.948717981024</v>
      </c>
      <c r="K85" s="108">
        <f t="shared" si="64"/>
        <v>10899.051282018971</v>
      </c>
      <c r="L85" s="108">
        <f t="shared" si="65"/>
        <v>84720</v>
      </c>
      <c r="M85" s="108">
        <f t="shared" si="66"/>
        <v>70129.901282081963</v>
      </c>
      <c r="N85" s="108">
        <f t="shared" si="67"/>
        <v>10354.098717918021</v>
      </c>
      <c r="O85" s="108">
        <f t="shared" si="68"/>
        <v>80483.999999999985</v>
      </c>
      <c r="P85" s="93">
        <f t="shared" si="69"/>
        <v>66438.85384618293</v>
      </c>
      <c r="Q85" s="108">
        <f t="shared" si="70"/>
        <v>9809.1461538170734</v>
      </c>
      <c r="R85" s="108">
        <f t="shared" si="71"/>
        <v>76248</v>
      </c>
      <c r="S85" s="108">
        <f t="shared" si="72"/>
        <v>59056.758974384822</v>
      </c>
      <c r="T85" s="108">
        <f t="shared" si="73"/>
        <v>8719.2410256151761</v>
      </c>
      <c r="U85" s="108">
        <f t="shared" si="74"/>
        <v>67776</v>
      </c>
      <c r="V85" s="108">
        <f t="shared" si="75"/>
        <v>51674.664102586714</v>
      </c>
      <c r="W85" s="108">
        <f t="shared" si="76"/>
        <v>7629.3358974132789</v>
      </c>
      <c r="X85" s="108">
        <f t="shared" si="77"/>
        <v>59303.999999999993</v>
      </c>
      <c r="Y85" s="108">
        <f t="shared" si="78"/>
        <v>44292.569230788613</v>
      </c>
      <c r="Z85" s="108">
        <f t="shared" si="79"/>
        <v>6539.4307692113825</v>
      </c>
      <c r="AA85" s="46">
        <f t="shared" si="80"/>
        <v>50831.999999999993</v>
      </c>
      <c r="AB85" s="16"/>
      <c r="AC85" s="16"/>
      <c r="AD85" s="16"/>
      <c r="AE85" s="16"/>
      <c r="AF85" s="16"/>
      <c r="AG85" s="17"/>
      <c r="AH85" s="16"/>
      <c r="AI85" s="16"/>
    </row>
    <row r="86" spans="1:35" ht="13.5" customHeight="1">
      <c r="A86" s="105">
        <v>93</v>
      </c>
      <c r="B86" s="50">
        <v>42461</v>
      </c>
      <c r="C86" s="61">
        <f>VLOOKUP(B86,'base(indices)'!$A$4:$C$183,3,FALSE)*1.25</f>
        <v>1100</v>
      </c>
      <c r="D86" s="343">
        <f>'base(indices)'!G79</f>
        <v>1.31549173</v>
      </c>
      <c r="E86" s="54">
        <f t="shared" si="61"/>
        <v>1447.0409030000001</v>
      </c>
      <c r="F86" s="307">
        <f>'base(indices)'!$I$147</f>
        <v>0.29920000000000002</v>
      </c>
      <c r="G86" s="54">
        <f t="shared" si="62"/>
        <v>432.95463817760003</v>
      </c>
      <c r="H86" s="267">
        <f t="shared" si="63"/>
        <v>1879.9955411776</v>
      </c>
      <c r="I86" s="384">
        <f t="shared" si="81"/>
        <v>189334.13289652541</v>
      </c>
      <c r="J86" s="58">
        <f>IF((I86-H$93+(H$93/12*9))+K86-(H86/2)&gt;$I$197,$I$197-K86,(I86-H$93+(H$93/12*9)-(H86/2)))</f>
        <v>73820.948717981024</v>
      </c>
      <c r="K86" s="91">
        <f t="shared" si="64"/>
        <v>10899.051282018971</v>
      </c>
      <c r="L86" s="92">
        <f t="shared" si="65"/>
        <v>84720</v>
      </c>
      <c r="M86" s="91">
        <f t="shared" si="66"/>
        <v>70129.901282081963</v>
      </c>
      <c r="N86" s="91">
        <f t="shared" si="67"/>
        <v>10354.098717918021</v>
      </c>
      <c r="O86" s="91">
        <f t="shared" si="68"/>
        <v>80483.999999999985</v>
      </c>
      <c r="P86" s="91">
        <f t="shared" si="69"/>
        <v>66438.85384618293</v>
      </c>
      <c r="Q86" s="91">
        <f t="shared" si="70"/>
        <v>9809.1461538170734</v>
      </c>
      <c r="R86" s="91">
        <f t="shared" si="71"/>
        <v>76248</v>
      </c>
      <c r="S86" s="91">
        <f t="shared" si="72"/>
        <v>59056.758974384822</v>
      </c>
      <c r="T86" s="91">
        <f t="shared" si="73"/>
        <v>8719.2410256151761</v>
      </c>
      <c r="U86" s="91">
        <f t="shared" si="74"/>
        <v>67776</v>
      </c>
      <c r="V86" s="91">
        <f t="shared" si="75"/>
        <v>51674.664102586714</v>
      </c>
      <c r="W86" s="91">
        <f t="shared" si="76"/>
        <v>7629.3358974132789</v>
      </c>
      <c r="X86" s="91">
        <f t="shared" si="77"/>
        <v>59303.999999999993</v>
      </c>
      <c r="Y86" s="91">
        <f t="shared" si="78"/>
        <v>44292.569230788613</v>
      </c>
      <c r="Z86" s="91">
        <f t="shared" si="79"/>
        <v>6539.4307692113825</v>
      </c>
      <c r="AA86" s="59">
        <f t="shared" si="80"/>
        <v>50831.999999999993</v>
      </c>
      <c r="AB86" s="16"/>
      <c r="AC86" s="16"/>
      <c r="AD86" s="16"/>
      <c r="AE86" s="16"/>
      <c r="AF86" s="16"/>
      <c r="AG86" s="17"/>
      <c r="AH86" s="16"/>
      <c r="AI86" s="16"/>
    </row>
    <row r="87" spans="1:35" ht="13.5" customHeight="1">
      <c r="A87" s="105">
        <v>92</v>
      </c>
      <c r="B87" s="50">
        <v>42491</v>
      </c>
      <c r="C87" s="61">
        <f>VLOOKUP(B87,'base(indices)'!$A$4:$C$183,3,FALSE)*1.25</f>
        <v>1100</v>
      </c>
      <c r="D87" s="343">
        <f>'base(indices)'!G80</f>
        <v>1.30881676</v>
      </c>
      <c r="E87" s="63">
        <f t="shared" si="61"/>
        <v>1439.6984360000001</v>
      </c>
      <c r="F87" s="307">
        <f>'base(indices)'!$I$147</f>
        <v>0.29920000000000002</v>
      </c>
      <c r="G87" s="63">
        <f t="shared" si="62"/>
        <v>430.75777205120005</v>
      </c>
      <c r="H87" s="268">
        <f t="shared" si="63"/>
        <v>1870.4562080512001</v>
      </c>
      <c r="I87" s="360">
        <f t="shared" si="81"/>
        <v>187454.1373553478</v>
      </c>
      <c r="J87" s="45">
        <f>IF((I87-H$93+(H$93/12*8))+K87-(H87/2)&gt;$I$197,$I$197-K87,(I87-H$93+(H$93/12*8)-(H87/2)))</f>
        <v>73820.948717981024</v>
      </c>
      <c r="K87" s="108">
        <f t="shared" si="64"/>
        <v>10899.051282018971</v>
      </c>
      <c r="L87" s="108">
        <f t="shared" si="65"/>
        <v>84720</v>
      </c>
      <c r="M87" s="108">
        <f t="shared" si="66"/>
        <v>70129.901282081963</v>
      </c>
      <c r="N87" s="108">
        <f t="shared" si="67"/>
        <v>10354.098717918021</v>
      </c>
      <c r="O87" s="108">
        <f t="shared" si="68"/>
        <v>80483.999999999985</v>
      </c>
      <c r="P87" s="93">
        <f t="shared" si="69"/>
        <v>66438.85384618293</v>
      </c>
      <c r="Q87" s="108">
        <f t="shared" si="70"/>
        <v>9809.1461538170734</v>
      </c>
      <c r="R87" s="108">
        <f t="shared" si="71"/>
        <v>76248</v>
      </c>
      <c r="S87" s="108">
        <f t="shared" si="72"/>
        <v>59056.758974384822</v>
      </c>
      <c r="T87" s="108">
        <f t="shared" si="73"/>
        <v>8719.2410256151761</v>
      </c>
      <c r="U87" s="108">
        <f t="shared" si="74"/>
        <v>67776</v>
      </c>
      <c r="V87" s="108">
        <f t="shared" si="75"/>
        <v>51674.664102586714</v>
      </c>
      <c r="W87" s="108">
        <f t="shared" si="76"/>
        <v>7629.3358974132789</v>
      </c>
      <c r="X87" s="108">
        <f t="shared" si="77"/>
        <v>59303.999999999993</v>
      </c>
      <c r="Y87" s="108">
        <f t="shared" si="78"/>
        <v>44292.569230788613</v>
      </c>
      <c r="Z87" s="108">
        <f t="shared" si="79"/>
        <v>6539.4307692113825</v>
      </c>
      <c r="AA87" s="46">
        <f t="shared" si="80"/>
        <v>50831.999999999993</v>
      </c>
      <c r="AB87" s="16"/>
      <c r="AC87" s="16"/>
      <c r="AD87" s="16"/>
      <c r="AE87" s="16"/>
      <c r="AF87" s="16"/>
      <c r="AG87" s="17"/>
      <c r="AH87" s="16"/>
      <c r="AI87" s="16"/>
    </row>
    <row r="88" spans="1:35" ht="13.5" customHeight="1">
      <c r="A88" s="105">
        <v>91</v>
      </c>
      <c r="B88" s="50">
        <v>42522</v>
      </c>
      <c r="C88" s="61">
        <f>VLOOKUP(B88,'base(indices)'!$A$4:$C$183,3,FALSE)*1.25</f>
        <v>1100</v>
      </c>
      <c r="D88" s="343">
        <f>'base(indices)'!G81</f>
        <v>1.2976569099999999</v>
      </c>
      <c r="E88" s="54">
        <f t="shared" si="61"/>
        <v>1427.422601</v>
      </c>
      <c r="F88" s="307">
        <f>'base(indices)'!$I$147</f>
        <v>0.29920000000000002</v>
      </c>
      <c r="G88" s="54">
        <f t="shared" si="62"/>
        <v>427.08484221920003</v>
      </c>
      <c r="H88" s="267">
        <f t="shared" si="63"/>
        <v>1854.5074432192</v>
      </c>
      <c r="I88" s="384">
        <f t="shared" si="81"/>
        <v>185583.68114729659</v>
      </c>
      <c r="J88" s="58">
        <f>IF((I88-H$93+(H$93/12*7))+K88-(H88/2)&gt;$I$197,$I$197-K88,(I88-H$93+(H$93/12*7)-(H88/2)))</f>
        <v>73820.948717981024</v>
      </c>
      <c r="K88" s="91">
        <f t="shared" si="64"/>
        <v>10899.051282018971</v>
      </c>
      <c r="L88" s="92">
        <f t="shared" si="65"/>
        <v>84720</v>
      </c>
      <c r="M88" s="91">
        <f t="shared" si="66"/>
        <v>70129.901282081963</v>
      </c>
      <c r="N88" s="91">
        <f t="shared" si="67"/>
        <v>10354.098717918021</v>
      </c>
      <c r="O88" s="91">
        <f t="shared" si="68"/>
        <v>80483.999999999985</v>
      </c>
      <c r="P88" s="91">
        <f t="shared" si="69"/>
        <v>66438.85384618293</v>
      </c>
      <c r="Q88" s="91">
        <f t="shared" si="70"/>
        <v>9809.1461538170734</v>
      </c>
      <c r="R88" s="91">
        <f t="shared" si="71"/>
        <v>76248</v>
      </c>
      <c r="S88" s="91">
        <f t="shared" si="72"/>
        <v>59056.758974384822</v>
      </c>
      <c r="T88" s="91">
        <f t="shared" si="73"/>
        <v>8719.2410256151761</v>
      </c>
      <c r="U88" s="91">
        <f t="shared" si="74"/>
        <v>67776</v>
      </c>
      <c r="V88" s="91">
        <f t="shared" si="75"/>
        <v>51674.664102586714</v>
      </c>
      <c r="W88" s="91">
        <f t="shared" si="76"/>
        <v>7629.3358974132789</v>
      </c>
      <c r="X88" s="91">
        <f t="shared" si="77"/>
        <v>59303.999999999993</v>
      </c>
      <c r="Y88" s="91">
        <f t="shared" si="78"/>
        <v>44292.569230788613</v>
      </c>
      <c r="Z88" s="91">
        <f t="shared" si="79"/>
        <v>6539.4307692113825</v>
      </c>
      <c r="AA88" s="59">
        <f t="shared" si="80"/>
        <v>50831.999999999993</v>
      </c>
      <c r="AB88" s="16"/>
      <c r="AC88" s="16"/>
      <c r="AD88" s="16"/>
      <c r="AE88" s="16"/>
      <c r="AF88" s="16"/>
      <c r="AG88" s="17"/>
      <c r="AH88" s="16"/>
      <c r="AI88" s="16"/>
    </row>
    <row r="89" spans="1:35" ht="13.5" customHeight="1">
      <c r="A89" s="105">
        <v>90</v>
      </c>
      <c r="B89" s="50">
        <v>42552</v>
      </c>
      <c r="C89" s="61">
        <f>VLOOKUP(B89,'base(indices)'!$A$4:$C$183,3,FALSE)*1.25</f>
        <v>1100</v>
      </c>
      <c r="D89" s="343">
        <f>'base(indices)'!G82</f>
        <v>1.2924869699999999</v>
      </c>
      <c r="E89" s="63">
        <f t="shared" si="61"/>
        <v>1421.7356669999999</v>
      </c>
      <c r="F89" s="307">
        <f>'base(indices)'!$I$147</f>
        <v>0.29920000000000002</v>
      </c>
      <c r="G89" s="63">
        <f t="shared" si="62"/>
        <v>425.38331156639998</v>
      </c>
      <c r="H89" s="268">
        <f t="shared" si="63"/>
        <v>1847.1189785663998</v>
      </c>
      <c r="I89" s="360">
        <f t="shared" si="81"/>
        <v>183729.1737040774</v>
      </c>
      <c r="J89" s="45">
        <f>IF((I89-H$93+(H$93/12*6))+K89-(H89/2)&gt;$I$197,$I$197-K89,(I89-H$93+(H$93/12*6)-(H89/2)))</f>
        <v>73820.948717981024</v>
      </c>
      <c r="K89" s="108">
        <f t="shared" si="64"/>
        <v>10899.051282018971</v>
      </c>
      <c r="L89" s="108">
        <f t="shared" si="65"/>
        <v>84720</v>
      </c>
      <c r="M89" s="108">
        <f t="shared" si="66"/>
        <v>70129.901282081963</v>
      </c>
      <c r="N89" s="108">
        <f t="shared" si="67"/>
        <v>10354.098717918021</v>
      </c>
      <c r="O89" s="108">
        <f t="shared" si="68"/>
        <v>80483.999999999985</v>
      </c>
      <c r="P89" s="93">
        <f t="shared" si="69"/>
        <v>66438.85384618293</v>
      </c>
      <c r="Q89" s="108">
        <f t="shared" si="70"/>
        <v>9809.1461538170734</v>
      </c>
      <c r="R89" s="108">
        <f t="shared" si="71"/>
        <v>76248</v>
      </c>
      <c r="S89" s="108">
        <f t="shared" si="72"/>
        <v>59056.758974384822</v>
      </c>
      <c r="T89" s="108">
        <f t="shared" si="73"/>
        <v>8719.2410256151761</v>
      </c>
      <c r="U89" s="108">
        <f t="shared" si="74"/>
        <v>67776</v>
      </c>
      <c r="V89" s="108">
        <f t="shared" si="75"/>
        <v>51674.664102586714</v>
      </c>
      <c r="W89" s="108">
        <f t="shared" si="76"/>
        <v>7629.3358974132789</v>
      </c>
      <c r="X89" s="108">
        <f t="shared" si="77"/>
        <v>59303.999999999993</v>
      </c>
      <c r="Y89" s="108">
        <f t="shared" si="78"/>
        <v>44292.569230788613</v>
      </c>
      <c r="Z89" s="108">
        <f t="shared" si="79"/>
        <v>6539.4307692113825</v>
      </c>
      <c r="AA89" s="46">
        <f t="shared" si="80"/>
        <v>50831.999999999993</v>
      </c>
      <c r="AB89" s="16"/>
      <c r="AC89" s="16"/>
      <c r="AD89" s="16"/>
      <c r="AE89" s="16"/>
      <c r="AF89" s="16"/>
      <c r="AG89" s="17"/>
      <c r="AH89" s="16"/>
      <c r="AI89" s="16"/>
    </row>
    <row r="90" spans="1:35" ht="13.5" customHeight="1">
      <c r="A90" s="105">
        <v>89</v>
      </c>
      <c r="B90" s="50">
        <v>42583</v>
      </c>
      <c r="C90" s="61">
        <f>VLOOKUP(B90,'base(indices)'!$A$4:$C$183,3,FALSE)*1.25</f>
        <v>1100</v>
      </c>
      <c r="D90" s="343">
        <f>'base(indices)'!G83</f>
        <v>1.28554502</v>
      </c>
      <c r="E90" s="54">
        <f t="shared" si="61"/>
        <v>1414.099522</v>
      </c>
      <c r="F90" s="307">
        <f>'base(indices)'!$I$147</f>
        <v>0.29920000000000002</v>
      </c>
      <c r="G90" s="54">
        <f t="shared" si="62"/>
        <v>423.0985769824</v>
      </c>
      <c r="H90" s="267">
        <f t="shared" si="63"/>
        <v>1837.1980989824001</v>
      </c>
      <c r="I90" s="384">
        <f t="shared" si="81"/>
        <v>181882.054725511</v>
      </c>
      <c r="J90" s="58">
        <f>IF((I90-H$93+(H$93/12*5))+K90-(H90/2)&gt;$I$197,$I$197-K90,(I90-H$93+(H$93/12*5)-(H90/2)))</f>
        <v>73820.948717981024</v>
      </c>
      <c r="K90" s="91">
        <f t="shared" si="64"/>
        <v>10899.051282018971</v>
      </c>
      <c r="L90" s="92">
        <f t="shared" si="65"/>
        <v>84720</v>
      </c>
      <c r="M90" s="91">
        <f t="shared" si="66"/>
        <v>70129.901282081963</v>
      </c>
      <c r="N90" s="91">
        <f t="shared" si="67"/>
        <v>10354.098717918021</v>
      </c>
      <c r="O90" s="91">
        <f t="shared" si="68"/>
        <v>80483.999999999985</v>
      </c>
      <c r="P90" s="91">
        <f t="shared" si="69"/>
        <v>66438.85384618293</v>
      </c>
      <c r="Q90" s="91">
        <f t="shared" si="70"/>
        <v>9809.1461538170734</v>
      </c>
      <c r="R90" s="91">
        <f t="shared" si="71"/>
        <v>76248</v>
      </c>
      <c r="S90" s="91">
        <f t="shared" si="72"/>
        <v>59056.758974384822</v>
      </c>
      <c r="T90" s="91">
        <f t="shared" si="73"/>
        <v>8719.2410256151761</v>
      </c>
      <c r="U90" s="91">
        <f t="shared" si="74"/>
        <v>67776</v>
      </c>
      <c r="V90" s="91">
        <f t="shared" si="75"/>
        <v>51674.664102586714</v>
      </c>
      <c r="W90" s="91">
        <f t="shared" si="76"/>
        <v>7629.3358974132789</v>
      </c>
      <c r="X90" s="91">
        <f t="shared" si="77"/>
        <v>59303.999999999993</v>
      </c>
      <c r="Y90" s="91">
        <f t="shared" si="78"/>
        <v>44292.569230788613</v>
      </c>
      <c r="Z90" s="91">
        <f t="shared" si="79"/>
        <v>6539.4307692113825</v>
      </c>
      <c r="AA90" s="59">
        <f t="shared" si="80"/>
        <v>50831.999999999993</v>
      </c>
      <c r="AB90" s="16"/>
      <c r="AC90" s="16"/>
      <c r="AD90" s="16"/>
      <c r="AE90" s="16"/>
      <c r="AF90" s="16"/>
      <c r="AG90" s="17"/>
      <c r="AH90" s="16"/>
      <c r="AI90" s="16"/>
    </row>
    <row r="91" spans="1:35" ht="13.5" customHeight="1">
      <c r="A91" s="105">
        <v>88</v>
      </c>
      <c r="B91" s="50">
        <v>42614</v>
      </c>
      <c r="C91" s="61">
        <f>VLOOKUP(B91,'base(indices)'!$A$4:$C$183,3,FALSE)*1.25</f>
        <v>1100</v>
      </c>
      <c r="D91" s="343">
        <f>'base(indices)'!G84</f>
        <v>1.2797859899999999</v>
      </c>
      <c r="E91" s="63">
        <f t="shared" si="61"/>
        <v>1407.7645889999999</v>
      </c>
      <c r="F91" s="307">
        <f>'base(indices)'!$I$147</f>
        <v>0.29920000000000002</v>
      </c>
      <c r="G91" s="63">
        <f t="shared" si="62"/>
        <v>421.20316502880002</v>
      </c>
      <c r="H91" s="268">
        <f t="shared" si="63"/>
        <v>1828.9677540287998</v>
      </c>
      <c r="I91" s="360">
        <f t="shared" si="81"/>
        <v>180044.85662652861</v>
      </c>
      <c r="J91" s="45">
        <f>IF((I91-H$93+(H$93/12*4))+K91-(H91/2)&gt;$I$197,$I$197-K91,(I91-H$93+(H$93/12*4)-(H91/2)))</f>
        <v>73820.948717981024</v>
      </c>
      <c r="K91" s="108">
        <f t="shared" si="64"/>
        <v>10899.051282018971</v>
      </c>
      <c r="L91" s="108">
        <f t="shared" si="65"/>
        <v>84720</v>
      </c>
      <c r="M91" s="108">
        <f t="shared" si="66"/>
        <v>70129.901282081963</v>
      </c>
      <c r="N91" s="108">
        <f t="shared" si="67"/>
        <v>10354.098717918021</v>
      </c>
      <c r="O91" s="108">
        <f t="shared" si="68"/>
        <v>80483.999999999985</v>
      </c>
      <c r="P91" s="93">
        <f t="shared" si="69"/>
        <v>66438.85384618293</v>
      </c>
      <c r="Q91" s="108">
        <f t="shared" si="70"/>
        <v>9809.1461538170734</v>
      </c>
      <c r="R91" s="108">
        <f t="shared" si="71"/>
        <v>76248</v>
      </c>
      <c r="S91" s="108">
        <f t="shared" si="72"/>
        <v>59056.758974384822</v>
      </c>
      <c r="T91" s="108">
        <f t="shared" si="73"/>
        <v>8719.2410256151761</v>
      </c>
      <c r="U91" s="108">
        <f t="shared" si="74"/>
        <v>67776</v>
      </c>
      <c r="V91" s="108">
        <f t="shared" si="75"/>
        <v>51674.664102586714</v>
      </c>
      <c r="W91" s="108">
        <f t="shared" si="76"/>
        <v>7629.3358974132789</v>
      </c>
      <c r="X91" s="108">
        <f t="shared" si="77"/>
        <v>59303.999999999993</v>
      </c>
      <c r="Y91" s="108">
        <f t="shared" si="78"/>
        <v>44292.569230788613</v>
      </c>
      <c r="Z91" s="108">
        <f t="shared" si="79"/>
        <v>6539.4307692113825</v>
      </c>
      <c r="AA91" s="46">
        <f t="shared" si="80"/>
        <v>50831.999999999993</v>
      </c>
      <c r="AB91" s="16"/>
      <c r="AC91" s="16"/>
      <c r="AD91" s="16"/>
      <c r="AE91" s="16"/>
      <c r="AF91" s="16"/>
      <c r="AG91" s="17"/>
      <c r="AH91" s="16"/>
      <c r="AI91" s="16"/>
    </row>
    <row r="92" spans="1:35" ht="13.5" customHeight="1">
      <c r="A92" s="105">
        <v>87</v>
      </c>
      <c r="B92" s="50">
        <v>42644</v>
      </c>
      <c r="C92" s="61">
        <f>VLOOKUP(B92,'base(indices)'!$A$4:$C$183,3,FALSE)*1.25</f>
        <v>1100</v>
      </c>
      <c r="D92" s="343">
        <f>'base(indices)'!G85</f>
        <v>1.2768492300000001</v>
      </c>
      <c r="E92" s="54">
        <f t="shared" si="61"/>
        <v>1404.5341530000001</v>
      </c>
      <c r="F92" s="307">
        <f>'base(indices)'!$I$147</f>
        <v>0.29920000000000002</v>
      </c>
      <c r="G92" s="54">
        <f t="shared" si="62"/>
        <v>420.23661857760004</v>
      </c>
      <c r="H92" s="267">
        <f t="shared" si="63"/>
        <v>1824.7707715776</v>
      </c>
      <c r="I92" s="384">
        <f t="shared" si="81"/>
        <v>178215.88887249981</v>
      </c>
      <c r="J92" s="58">
        <f>IF((I92-H$93+(H$93/12*3))+K92-(H92/2)&gt;$I$197,$I$197-K92,(I92-H$93+(H$93/12*3)-(H92/2)))</f>
        <v>73820.948717981024</v>
      </c>
      <c r="K92" s="91">
        <f t="shared" si="64"/>
        <v>10899.051282018971</v>
      </c>
      <c r="L92" s="92">
        <f t="shared" si="65"/>
        <v>84720</v>
      </c>
      <c r="M92" s="91">
        <f t="shared" si="66"/>
        <v>70129.901282081963</v>
      </c>
      <c r="N92" s="91">
        <f t="shared" si="67"/>
        <v>10354.098717918021</v>
      </c>
      <c r="O92" s="91">
        <f t="shared" si="68"/>
        <v>80483.999999999985</v>
      </c>
      <c r="P92" s="91">
        <f t="shared" si="69"/>
        <v>66438.85384618293</v>
      </c>
      <c r="Q92" s="91">
        <f t="shared" si="70"/>
        <v>9809.1461538170734</v>
      </c>
      <c r="R92" s="91">
        <f t="shared" si="71"/>
        <v>76248</v>
      </c>
      <c r="S92" s="91">
        <f t="shared" si="72"/>
        <v>59056.758974384822</v>
      </c>
      <c r="T92" s="91">
        <f t="shared" si="73"/>
        <v>8719.2410256151761</v>
      </c>
      <c r="U92" s="91">
        <f t="shared" si="74"/>
        <v>67776</v>
      </c>
      <c r="V92" s="91">
        <f t="shared" si="75"/>
        <v>51674.664102586714</v>
      </c>
      <c r="W92" s="91">
        <f t="shared" si="76"/>
        <v>7629.3358974132789</v>
      </c>
      <c r="X92" s="91">
        <f t="shared" si="77"/>
        <v>59303.999999999993</v>
      </c>
      <c r="Y92" s="91">
        <f t="shared" si="78"/>
        <v>44292.569230788613</v>
      </c>
      <c r="Z92" s="91">
        <f t="shared" si="79"/>
        <v>6539.4307692113825</v>
      </c>
      <c r="AA92" s="59">
        <f t="shared" si="80"/>
        <v>50831.999999999993</v>
      </c>
      <c r="AB92" s="16"/>
      <c r="AC92" s="16"/>
      <c r="AD92" s="16"/>
      <c r="AE92" s="16"/>
      <c r="AF92" s="16"/>
      <c r="AG92" s="17"/>
      <c r="AH92" s="16"/>
      <c r="AI92" s="16"/>
    </row>
    <row r="93" spans="1:35" ht="13.5" customHeight="1">
      <c r="A93" s="105">
        <v>86</v>
      </c>
      <c r="B93" s="50">
        <v>42675</v>
      </c>
      <c r="C93" s="61">
        <f>VLOOKUP(B93,'base(indices)'!$A$4:$C$183,3,FALSE)*1.25</f>
        <v>1100</v>
      </c>
      <c r="D93" s="343">
        <f>'base(indices)'!G86</f>
        <v>1.2744278200000001</v>
      </c>
      <c r="E93" s="63">
        <f t="shared" si="61"/>
        <v>1401.8706020000002</v>
      </c>
      <c r="F93" s="307">
        <f>'base(indices)'!$I$147</f>
        <v>0.29920000000000002</v>
      </c>
      <c r="G93" s="63">
        <f t="shared" si="62"/>
        <v>419.43968411840007</v>
      </c>
      <c r="H93" s="268">
        <f t="shared" si="63"/>
        <v>1821.3102861184002</v>
      </c>
      <c r="I93" s="360">
        <f t="shared" si="81"/>
        <v>176391.11810092221</v>
      </c>
      <c r="J93" s="45">
        <f>IF((I93-H$93+(H$93/12*2))+K93-(H93/2)&gt;$I$197,$I$197-K93,(I93-H$93+(H$93/12*2)-(H93/2)))</f>
        <v>73820.948717981024</v>
      </c>
      <c r="K93" s="108">
        <f t="shared" si="64"/>
        <v>10899.051282018971</v>
      </c>
      <c r="L93" s="108">
        <f t="shared" si="65"/>
        <v>84720</v>
      </c>
      <c r="M93" s="108">
        <f t="shared" si="66"/>
        <v>70129.901282081963</v>
      </c>
      <c r="N93" s="108">
        <f t="shared" si="67"/>
        <v>10354.098717918021</v>
      </c>
      <c r="O93" s="108">
        <f t="shared" si="68"/>
        <v>80483.999999999985</v>
      </c>
      <c r="P93" s="93">
        <f t="shared" si="69"/>
        <v>66438.85384618293</v>
      </c>
      <c r="Q93" s="108">
        <f t="shared" si="70"/>
        <v>9809.1461538170734</v>
      </c>
      <c r="R93" s="108">
        <f t="shared" si="71"/>
        <v>76248</v>
      </c>
      <c r="S93" s="108">
        <f t="shared" si="72"/>
        <v>59056.758974384822</v>
      </c>
      <c r="T93" s="108">
        <f t="shared" si="73"/>
        <v>8719.2410256151761</v>
      </c>
      <c r="U93" s="108">
        <f t="shared" si="74"/>
        <v>67776</v>
      </c>
      <c r="V93" s="108">
        <f t="shared" si="75"/>
        <v>51674.664102586714</v>
      </c>
      <c r="W93" s="108">
        <f t="shared" si="76"/>
        <v>7629.3358974132789</v>
      </c>
      <c r="X93" s="108">
        <f t="shared" si="77"/>
        <v>59303.999999999993</v>
      </c>
      <c r="Y93" s="108">
        <f t="shared" si="78"/>
        <v>44292.569230788613</v>
      </c>
      <c r="Z93" s="108">
        <f t="shared" si="79"/>
        <v>6539.4307692113825</v>
      </c>
      <c r="AA93" s="46">
        <f t="shared" si="80"/>
        <v>50831.999999999993</v>
      </c>
      <c r="AB93" s="16"/>
      <c r="AC93" s="16"/>
      <c r="AD93" s="16"/>
      <c r="AE93" s="16"/>
      <c r="AF93" s="16"/>
      <c r="AG93" s="17"/>
      <c r="AH93" s="16"/>
      <c r="AI93" s="16"/>
    </row>
    <row r="94" spans="1:35" ht="13.5" customHeight="1" thickBot="1">
      <c r="A94" s="161">
        <v>85</v>
      </c>
      <c r="B94" s="300">
        <v>42705</v>
      </c>
      <c r="C94" s="69">
        <f>C93*2</f>
        <v>2200</v>
      </c>
      <c r="D94" s="335">
        <f>'base(indices)'!G87</f>
        <v>1.2711228999999999</v>
      </c>
      <c r="E94" s="163">
        <f t="shared" si="61"/>
        <v>2796.4703799999997</v>
      </c>
      <c r="F94" s="304">
        <f>'base(indices)'!$I$147</f>
        <v>0.29920000000000002</v>
      </c>
      <c r="G94" s="163">
        <f t="shared" si="62"/>
        <v>836.70393769600003</v>
      </c>
      <c r="H94" s="355">
        <f t="shared" si="63"/>
        <v>3633.1743176959999</v>
      </c>
      <c r="I94" s="361">
        <f t="shared" si="81"/>
        <v>174569.80781480382</v>
      </c>
      <c r="J94" s="175">
        <f>IF((I94-H$93+(H$93/12*1))+K94-(H94/4)&gt;$I$197,$I$197-K94,(I94-H$93+(H$93/12*1)-(H94/4)))</f>
        <v>73820.948717981024</v>
      </c>
      <c r="K94" s="86">
        <f t="shared" si="64"/>
        <v>10899.051282018971</v>
      </c>
      <c r="L94" s="164">
        <f t="shared" si="65"/>
        <v>84720</v>
      </c>
      <c r="M94" s="86">
        <f t="shared" si="66"/>
        <v>70129.901282081963</v>
      </c>
      <c r="N94" s="86">
        <f t="shared" si="67"/>
        <v>10354.098717918021</v>
      </c>
      <c r="O94" s="86">
        <f t="shared" si="68"/>
        <v>80483.999999999985</v>
      </c>
      <c r="P94" s="86">
        <f t="shared" si="69"/>
        <v>66438.85384618293</v>
      </c>
      <c r="Q94" s="86">
        <f t="shared" si="70"/>
        <v>9809.1461538170734</v>
      </c>
      <c r="R94" s="86">
        <f t="shared" si="71"/>
        <v>76248</v>
      </c>
      <c r="S94" s="86">
        <f t="shared" si="72"/>
        <v>59056.758974384822</v>
      </c>
      <c r="T94" s="86">
        <f t="shared" si="73"/>
        <v>8719.2410256151761</v>
      </c>
      <c r="U94" s="86">
        <f t="shared" si="74"/>
        <v>67776</v>
      </c>
      <c r="V94" s="86">
        <f t="shared" si="75"/>
        <v>51674.664102586714</v>
      </c>
      <c r="W94" s="86">
        <f t="shared" si="76"/>
        <v>7629.3358974132789</v>
      </c>
      <c r="X94" s="86">
        <f t="shared" si="77"/>
        <v>59303.999999999993</v>
      </c>
      <c r="Y94" s="86">
        <f t="shared" si="78"/>
        <v>44292.569230788613</v>
      </c>
      <c r="Z94" s="86">
        <f t="shared" si="79"/>
        <v>6539.4307692113825</v>
      </c>
      <c r="AA94" s="165">
        <f t="shared" si="80"/>
        <v>50831.999999999993</v>
      </c>
      <c r="AB94" s="16"/>
      <c r="AC94" s="16"/>
      <c r="AD94" s="16"/>
      <c r="AE94" s="16"/>
      <c r="AF94" s="16"/>
      <c r="AG94" s="17"/>
      <c r="AH94" s="16"/>
      <c r="AI94" s="16"/>
    </row>
    <row r="95" spans="1:35" ht="13.5" customHeight="1">
      <c r="A95" s="158">
        <v>84</v>
      </c>
      <c r="B95" s="246">
        <v>42736</v>
      </c>
      <c r="C95" s="273">
        <f>VLOOKUP(B95,'base(indices)'!$A$4:$C$183,3,FALSE)*1.25</f>
        <v>1171.25</v>
      </c>
      <c r="D95" s="306">
        <f>'base(indices)'!G88</f>
        <v>1.2687123499999999</v>
      </c>
      <c r="E95" s="154">
        <f>C95*D95</f>
        <v>1485.9793399374998</v>
      </c>
      <c r="F95" s="264">
        <f>'base(indices)'!$I$147</f>
        <v>0.29920000000000002</v>
      </c>
      <c r="G95" s="154">
        <f>E95*F95</f>
        <v>444.60501850930001</v>
      </c>
      <c r="H95" s="362">
        <f>E95+G95</f>
        <v>1930.5843584467998</v>
      </c>
      <c r="I95" s="401">
        <f t="shared" si="81"/>
        <v>170936.63349710783</v>
      </c>
      <c r="J95" s="288">
        <f>IF((I95-H$105+(H$105))+K95-(H95/2)&gt;$I$197,$I$197-K95,(I95-H$105+(H$105)-(H95/2)))</f>
        <v>73820.948717981024</v>
      </c>
      <c r="K95" s="156">
        <f t="shared" ref="K95:K126" si="82">I$196</f>
        <v>10899.051282018971</v>
      </c>
      <c r="L95" s="156">
        <f>J95+K95</f>
        <v>84720</v>
      </c>
      <c r="M95" s="156">
        <f>J95*M$9</f>
        <v>70129.901282081963</v>
      </c>
      <c r="N95" s="156">
        <f>K95*M$9</f>
        <v>10354.098717918021</v>
      </c>
      <c r="O95" s="156">
        <f>M95+N95</f>
        <v>80483.999999999985</v>
      </c>
      <c r="P95" s="151">
        <f>J95*$P$9</f>
        <v>66438.85384618293</v>
      </c>
      <c r="Q95" s="156">
        <f>K95*P$9</f>
        <v>9809.1461538170734</v>
      </c>
      <c r="R95" s="156">
        <f>P95+Q95</f>
        <v>76248</v>
      </c>
      <c r="S95" s="156">
        <f>J95*S$9</f>
        <v>59056.758974384822</v>
      </c>
      <c r="T95" s="156">
        <f>K95*S$9</f>
        <v>8719.2410256151761</v>
      </c>
      <c r="U95" s="156">
        <f>S95+T95</f>
        <v>67776</v>
      </c>
      <c r="V95" s="156">
        <f>J95*V$9</f>
        <v>51674.664102586714</v>
      </c>
      <c r="W95" s="156">
        <f>K95*V$9</f>
        <v>7629.3358974132789</v>
      </c>
      <c r="X95" s="156">
        <f>V95+W95</f>
        <v>59303.999999999993</v>
      </c>
      <c r="Y95" s="156">
        <f>J95*Y$9</f>
        <v>44292.569230788613</v>
      </c>
      <c r="Z95" s="156">
        <f>K95*Y$9</f>
        <v>6539.4307692113825</v>
      </c>
      <c r="AA95" s="150">
        <f>Y95+Z95</f>
        <v>50831.999999999993</v>
      </c>
      <c r="AB95" s="16"/>
      <c r="AC95" s="16"/>
      <c r="AD95" s="16"/>
      <c r="AE95" s="16"/>
      <c r="AF95" s="16"/>
      <c r="AG95" s="17"/>
      <c r="AH95" s="16"/>
      <c r="AI95" s="16"/>
    </row>
    <row r="96" spans="1:35" s="26" customFormat="1" ht="13.5" customHeight="1">
      <c r="A96" s="105">
        <v>83</v>
      </c>
      <c r="B96" s="50">
        <v>42767</v>
      </c>
      <c r="C96" s="61">
        <f>VLOOKUP(B96,'base(indices)'!$A$4:$C$183,3,FALSE)*1.25</f>
        <v>1171.25</v>
      </c>
      <c r="D96" s="192">
        <f>'base(indices)'!G89</f>
        <v>1.2647914899999999</v>
      </c>
      <c r="E96" s="54">
        <f t="shared" ref="E96:E158" si="83">C96*D96</f>
        <v>1481.3870326624999</v>
      </c>
      <c r="F96" s="82">
        <f>'base(indices)'!$I$147</f>
        <v>0.29920000000000002</v>
      </c>
      <c r="G96" s="54">
        <f t="shared" ref="G96:G158" si="84">E96*F96</f>
        <v>443.23100017261999</v>
      </c>
      <c r="H96" s="267">
        <f t="shared" ref="H96:H158" si="85">E96+G96</f>
        <v>1924.6180328351199</v>
      </c>
      <c r="I96" s="384">
        <f t="shared" si="81"/>
        <v>169006.04913866104</v>
      </c>
      <c r="J96" s="58">
        <f>IF((I96-H$105+(H$105/12*11))+K96-(H96/2)&gt;$I$197,$I$197-K96,(I96-H$105+(H$105/12*11)-(H96/2)))</f>
        <v>73820.948717981024</v>
      </c>
      <c r="K96" s="91">
        <f t="shared" si="82"/>
        <v>10899.051282018971</v>
      </c>
      <c r="L96" s="92">
        <f t="shared" ref="L96:L158" si="86">J96+K96</f>
        <v>84720</v>
      </c>
      <c r="M96" s="91">
        <f t="shared" ref="M96:M158" si="87">J96*M$9</f>
        <v>70129.901282081963</v>
      </c>
      <c r="N96" s="91">
        <f t="shared" ref="N96:N158" si="88">K96*M$9</f>
        <v>10354.098717918021</v>
      </c>
      <c r="O96" s="91">
        <f t="shared" ref="O96:O158" si="89">M96+N96</f>
        <v>80483.999999999985</v>
      </c>
      <c r="P96" s="91">
        <f t="shared" ref="P96:P97" si="90">J96*$P$9</f>
        <v>66438.85384618293</v>
      </c>
      <c r="Q96" s="91">
        <f t="shared" ref="Q96:Q158" si="91">K96*P$9</f>
        <v>9809.1461538170734</v>
      </c>
      <c r="R96" s="91">
        <f t="shared" ref="R96:R101" si="92">P96+Q96</f>
        <v>76248</v>
      </c>
      <c r="S96" s="91">
        <f t="shared" ref="S96:S141" si="93">J96*S$9</f>
        <v>59056.758974384822</v>
      </c>
      <c r="T96" s="91">
        <f t="shared" ref="T96:T158" si="94">K96*S$9</f>
        <v>8719.2410256151761</v>
      </c>
      <c r="U96" s="91">
        <f t="shared" ref="U96:U141" si="95">S96+T96</f>
        <v>67776</v>
      </c>
      <c r="V96" s="91">
        <f t="shared" ref="V96:V158" si="96">J96*V$9</f>
        <v>51674.664102586714</v>
      </c>
      <c r="W96" s="91">
        <f t="shared" ref="W96:W158" si="97">K96*V$9</f>
        <v>7629.3358974132789</v>
      </c>
      <c r="X96" s="91">
        <f t="shared" ref="X96:X158" si="98">V96+W96</f>
        <v>59303.999999999993</v>
      </c>
      <c r="Y96" s="91">
        <f t="shared" ref="Y96:Y158" si="99">J96*Y$9</f>
        <v>44292.569230788613</v>
      </c>
      <c r="Z96" s="91">
        <f t="shared" ref="Z96:Z158" si="100">K96*Y$9</f>
        <v>6539.4307692113825</v>
      </c>
      <c r="AA96" s="59">
        <f t="shared" ref="AA96:AA158" si="101">Y96+Z96</f>
        <v>50831.999999999993</v>
      </c>
      <c r="AB96" s="32"/>
      <c r="AC96" s="32"/>
      <c r="AD96" s="32"/>
      <c r="AE96" s="32"/>
      <c r="AF96" s="32"/>
      <c r="AG96" s="33"/>
      <c r="AH96" s="32"/>
      <c r="AI96" s="32"/>
    </row>
    <row r="97" spans="1:35" ht="13.5" customHeight="1">
      <c r="A97" s="105">
        <v>82</v>
      </c>
      <c r="B97" s="50">
        <v>42795</v>
      </c>
      <c r="C97" s="61">
        <f>VLOOKUP(B97,'base(indices)'!$A$4:$C$183,3,FALSE)*1.25</f>
        <v>1171.25</v>
      </c>
      <c r="D97" s="192">
        <f>'base(indices)'!G90</f>
        <v>1.2579982999999999</v>
      </c>
      <c r="E97" s="63">
        <f t="shared" si="83"/>
        <v>1473.430508875</v>
      </c>
      <c r="F97" s="82">
        <f>'base(indices)'!$I$147</f>
        <v>0.29920000000000002</v>
      </c>
      <c r="G97" s="63">
        <f t="shared" si="84"/>
        <v>440.85040825540005</v>
      </c>
      <c r="H97" s="268">
        <f t="shared" si="85"/>
        <v>1914.2809171304</v>
      </c>
      <c r="I97" s="360">
        <f t="shared" si="81"/>
        <v>167081.4311058259</v>
      </c>
      <c r="J97" s="45">
        <f>IF((I97-H$105+(H$105/12*10))+K97-(H97/2)&gt;$I$197,$I$197-K97,(I97-H$105+(H$105/12*10)-(H97/2)))</f>
        <v>73820.948717981024</v>
      </c>
      <c r="K97" s="108">
        <f t="shared" si="82"/>
        <v>10899.051282018971</v>
      </c>
      <c r="L97" s="108">
        <f t="shared" si="86"/>
        <v>84720</v>
      </c>
      <c r="M97" s="108">
        <f t="shared" si="87"/>
        <v>70129.901282081963</v>
      </c>
      <c r="N97" s="108">
        <f t="shared" si="88"/>
        <v>10354.098717918021</v>
      </c>
      <c r="O97" s="108">
        <f t="shared" si="89"/>
        <v>80483.999999999985</v>
      </c>
      <c r="P97" s="93">
        <f t="shared" si="90"/>
        <v>66438.85384618293</v>
      </c>
      <c r="Q97" s="108">
        <f t="shared" si="91"/>
        <v>9809.1461538170734</v>
      </c>
      <c r="R97" s="108">
        <f t="shared" si="92"/>
        <v>76248</v>
      </c>
      <c r="S97" s="108">
        <f t="shared" si="93"/>
        <v>59056.758974384822</v>
      </c>
      <c r="T97" s="108">
        <f t="shared" si="94"/>
        <v>8719.2410256151761</v>
      </c>
      <c r="U97" s="108">
        <f t="shared" si="95"/>
        <v>67776</v>
      </c>
      <c r="V97" s="108">
        <f t="shared" si="96"/>
        <v>51674.664102586714</v>
      </c>
      <c r="W97" s="108">
        <f t="shared" si="97"/>
        <v>7629.3358974132789</v>
      </c>
      <c r="X97" s="108">
        <f t="shared" si="98"/>
        <v>59303.999999999993</v>
      </c>
      <c r="Y97" s="108">
        <f t="shared" si="99"/>
        <v>44292.569230788613</v>
      </c>
      <c r="Z97" s="108">
        <f t="shared" si="100"/>
        <v>6539.4307692113825</v>
      </c>
      <c r="AA97" s="46">
        <f t="shared" si="101"/>
        <v>50831.999999999993</v>
      </c>
      <c r="AB97" s="16"/>
      <c r="AC97" s="16"/>
      <c r="AD97" s="16"/>
      <c r="AE97" s="16"/>
      <c r="AF97" s="16"/>
      <c r="AG97" s="17"/>
      <c r="AH97" s="16"/>
      <c r="AI97" s="16"/>
    </row>
    <row r="98" spans="1:35" s="26" customFormat="1" ht="13.5" customHeight="1">
      <c r="A98" s="105">
        <v>81</v>
      </c>
      <c r="B98" s="50">
        <v>42826</v>
      </c>
      <c r="C98" s="61">
        <f>VLOOKUP(B98,'base(indices)'!$A$4:$C$183,3,FALSE)*1.25</f>
        <v>1171.25</v>
      </c>
      <c r="D98" s="343">
        <f>'base(indices)'!G91</f>
        <v>1.2561141300000001</v>
      </c>
      <c r="E98" s="54">
        <f t="shared" si="83"/>
        <v>1471.2236747625</v>
      </c>
      <c r="F98" s="307">
        <f>'base(indices)'!$I$147</f>
        <v>0.29920000000000002</v>
      </c>
      <c r="G98" s="54">
        <f t="shared" si="84"/>
        <v>440.19012348894</v>
      </c>
      <c r="H98" s="267">
        <f t="shared" si="85"/>
        <v>1911.4137982514399</v>
      </c>
      <c r="I98" s="384">
        <f t="shared" si="81"/>
        <v>165167.15018869549</v>
      </c>
      <c r="J98" s="58">
        <f>IF((I98-H$105+(H$105/12*9))+K98-(H98/2)&gt;$I$197,$I$197-K98,(I98-H$105+(H$105/12*9)-(H98/2)))</f>
        <v>73820.948717981024</v>
      </c>
      <c r="K98" s="91">
        <f t="shared" si="82"/>
        <v>10899.051282018971</v>
      </c>
      <c r="L98" s="92">
        <f t="shared" si="86"/>
        <v>84720</v>
      </c>
      <c r="M98" s="91">
        <f t="shared" si="87"/>
        <v>70129.901282081963</v>
      </c>
      <c r="N98" s="91">
        <f t="shared" si="88"/>
        <v>10354.098717918021</v>
      </c>
      <c r="O98" s="91">
        <f t="shared" si="89"/>
        <v>80483.999999999985</v>
      </c>
      <c r="P98" s="91">
        <f>J98*$P$9</f>
        <v>66438.85384618293</v>
      </c>
      <c r="Q98" s="91">
        <f t="shared" si="91"/>
        <v>9809.1461538170734</v>
      </c>
      <c r="R98" s="91">
        <f t="shared" si="92"/>
        <v>76248</v>
      </c>
      <c r="S98" s="91">
        <f t="shared" si="93"/>
        <v>59056.758974384822</v>
      </c>
      <c r="T98" s="91">
        <f t="shared" si="94"/>
        <v>8719.2410256151761</v>
      </c>
      <c r="U98" s="91">
        <f t="shared" si="95"/>
        <v>67776</v>
      </c>
      <c r="V98" s="91">
        <f t="shared" si="96"/>
        <v>51674.664102586714</v>
      </c>
      <c r="W98" s="91">
        <f t="shared" si="97"/>
        <v>7629.3358974132789</v>
      </c>
      <c r="X98" s="91">
        <f t="shared" si="98"/>
        <v>59303.999999999993</v>
      </c>
      <c r="Y98" s="91">
        <f t="shared" si="99"/>
        <v>44292.569230788613</v>
      </c>
      <c r="Z98" s="91">
        <f t="shared" si="100"/>
        <v>6539.4307692113825</v>
      </c>
      <c r="AA98" s="59">
        <f t="shared" si="101"/>
        <v>50831.999999999993</v>
      </c>
      <c r="AB98" s="32"/>
      <c r="AC98" s="32"/>
      <c r="AD98" s="32"/>
      <c r="AE98" s="32"/>
      <c r="AF98" s="32"/>
      <c r="AG98" s="33"/>
      <c r="AH98" s="32"/>
      <c r="AI98" s="32"/>
    </row>
    <row r="99" spans="1:35" ht="13.5" customHeight="1">
      <c r="A99" s="105">
        <v>80</v>
      </c>
      <c r="B99" s="50">
        <v>42856</v>
      </c>
      <c r="C99" s="61">
        <f>VLOOKUP(B99,'base(indices)'!$A$4:$C$183,3,FALSE)*1.25</f>
        <v>1171.25</v>
      </c>
      <c r="D99" s="343">
        <f>'base(indices)'!G92</f>
        <v>1.25348182</v>
      </c>
      <c r="E99" s="63">
        <f t="shared" si="83"/>
        <v>1468.140581675</v>
      </c>
      <c r="F99" s="307">
        <f>'base(indices)'!$I$147</f>
        <v>0.29920000000000002</v>
      </c>
      <c r="G99" s="63">
        <f t="shared" si="84"/>
        <v>439.26766203716005</v>
      </c>
      <c r="H99" s="268">
        <f t="shared" si="85"/>
        <v>1907.4082437121601</v>
      </c>
      <c r="I99" s="360">
        <f t="shared" si="81"/>
        <v>163255.73639044404</v>
      </c>
      <c r="J99" s="45">
        <f>IF((I99-H$105+(H$105/12*8))+K99-(H99/2)&gt;$I$197,$I$197-K99,(I99-H$105+(H$105/12*8)-(H99/2)))</f>
        <v>73820.948717981024</v>
      </c>
      <c r="K99" s="108">
        <f t="shared" si="82"/>
        <v>10899.051282018971</v>
      </c>
      <c r="L99" s="108">
        <f t="shared" si="86"/>
        <v>84720</v>
      </c>
      <c r="M99" s="108">
        <f t="shared" si="87"/>
        <v>70129.901282081963</v>
      </c>
      <c r="N99" s="108">
        <f t="shared" si="88"/>
        <v>10354.098717918021</v>
      </c>
      <c r="O99" s="108">
        <f t="shared" si="89"/>
        <v>80483.999999999985</v>
      </c>
      <c r="P99" s="93">
        <f>J99*$P$9</f>
        <v>66438.85384618293</v>
      </c>
      <c r="Q99" s="108">
        <f t="shared" si="91"/>
        <v>9809.1461538170734</v>
      </c>
      <c r="R99" s="108">
        <f t="shared" si="92"/>
        <v>76248</v>
      </c>
      <c r="S99" s="108">
        <f t="shared" si="93"/>
        <v>59056.758974384822</v>
      </c>
      <c r="T99" s="108">
        <f t="shared" si="94"/>
        <v>8719.2410256151761</v>
      </c>
      <c r="U99" s="108">
        <f t="shared" si="95"/>
        <v>67776</v>
      </c>
      <c r="V99" s="108">
        <f t="shared" si="96"/>
        <v>51674.664102586714</v>
      </c>
      <c r="W99" s="108">
        <f t="shared" si="97"/>
        <v>7629.3358974132789</v>
      </c>
      <c r="X99" s="108">
        <f t="shared" si="98"/>
        <v>59303.999999999993</v>
      </c>
      <c r="Y99" s="108">
        <f t="shared" si="99"/>
        <v>44292.569230788613</v>
      </c>
      <c r="Z99" s="108">
        <f t="shared" si="100"/>
        <v>6539.4307692113825</v>
      </c>
      <c r="AA99" s="46">
        <f t="shared" si="101"/>
        <v>50831.999999999993</v>
      </c>
      <c r="AB99" s="16"/>
      <c r="AC99" s="16"/>
      <c r="AD99" s="16"/>
      <c r="AE99" s="16"/>
      <c r="AF99" s="16"/>
      <c r="AG99" s="17"/>
      <c r="AH99" s="16"/>
      <c r="AI99" s="16"/>
    </row>
    <row r="100" spans="1:35" s="26" customFormat="1" ht="13.5" customHeight="1">
      <c r="A100" s="105">
        <v>79</v>
      </c>
      <c r="B100" s="50">
        <v>42887</v>
      </c>
      <c r="C100" s="61">
        <f>VLOOKUP(B100,'base(indices)'!$A$4:$C$183,3,FALSE)*1.25</f>
        <v>1171.25</v>
      </c>
      <c r="D100" s="343">
        <f>'base(indices)'!G93</f>
        <v>1.25048067</v>
      </c>
      <c r="E100" s="54">
        <f t="shared" si="83"/>
        <v>1464.6254847374998</v>
      </c>
      <c r="F100" s="307">
        <f>'base(indices)'!$I$147</f>
        <v>0.29920000000000002</v>
      </c>
      <c r="G100" s="54">
        <f t="shared" si="84"/>
        <v>438.21594503346</v>
      </c>
      <c r="H100" s="267">
        <f t="shared" si="85"/>
        <v>1902.8414297709598</v>
      </c>
      <c r="I100" s="384">
        <f t="shared" si="81"/>
        <v>161348.32814673189</v>
      </c>
      <c r="J100" s="58">
        <f>IF((I100-H$105+(H$105/12*7))+K100-(H100/2)&gt;$I$197,$I$197-K100,(I100-H$105+(H$105/12*7)-(H100/2)))</f>
        <v>73820.948717981024</v>
      </c>
      <c r="K100" s="91">
        <f t="shared" si="82"/>
        <v>10899.051282018971</v>
      </c>
      <c r="L100" s="92">
        <f t="shared" si="86"/>
        <v>84720</v>
      </c>
      <c r="M100" s="91">
        <f t="shared" si="87"/>
        <v>70129.901282081963</v>
      </c>
      <c r="N100" s="91">
        <f t="shared" si="88"/>
        <v>10354.098717918021</v>
      </c>
      <c r="O100" s="91">
        <f t="shared" si="89"/>
        <v>80483.999999999985</v>
      </c>
      <c r="P100" s="91">
        <f t="shared" ref="P100:P119" si="102">J100*$P$9</f>
        <v>66438.85384618293</v>
      </c>
      <c r="Q100" s="91">
        <f t="shared" si="91"/>
        <v>9809.1461538170734</v>
      </c>
      <c r="R100" s="91">
        <f t="shared" si="92"/>
        <v>76248</v>
      </c>
      <c r="S100" s="91">
        <f t="shared" si="93"/>
        <v>59056.758974384822</v>
      </c>
      <c r="T100" s="91">
        <f t="shared" si="94"/>
        <v>8719.2410256151761</v>
      </c>
      <c r="U100" s="91">
        <f t="shared" si="95"/>
        <v>67776</v>
      </c>
      <c r="V100" s="91">
        <f t="shared" si="96"/>
        <v>51674.664102586714</v>
      </c>
      <c r="W100" s="91">
        <f t="shared" si="97"/>
        <v>7629.3358974132789</v>
      </c>
      <c r="X100" s="91">
        <f t="shared" si="98"/>
        <v>59303.999999999993</v>
      </c>
      <c r="Y100" s="91">
        <f t="shared" si="99"/>
        <v>44292.569230788613</v>
      </c>
      <c r="Z100" s="91">
        <f t="shared" si="100"/>
        <v>6539.4307692113825</v>
      </c>
      <c r="AA100" s="59">
        <f t="shared" si="101"/>
        <v>50831.999999999993</v>
      </c>
      <c r="AB100" s="32"/>
      <c r="AC100" s="32"/>
      <c r="AD100" s="32"/>
      <c r="AE100" s="32"/>
      <c r="AF100" s="32"/>
      <c r="AG100" s="33"/>
      <c r="AH100" s="32"/>
      <c r="AI100" s="32"/>
    </row>
    <row r="101" spans="1:35" ht="13.5" customHeight="1">
      <c r="A101" s="105">
        <v>78</v>
      </c>
      <c r="B101" s="50">
        <v>42917</v>
      </c>
      <c r="C101" s="61">
        <f>VLOOKUP(B101,'base(indices)'!$A$4:$C$183,3,FALSE)*1.25</f>
        <v>1171.25</v>
      </c>
      <c r="D101" s="343">
        <f>'base(indices)'!G94</f>
        <v>1.2484830899999999</v>
      </c>
      <c r="E101" s="63">
        <f t="shared" si="83"/>
        <v>1462.2858191624998</v>
      </c>
      <c r="F101" s="307">
        <f>'base(indices)'!$I$147</f>
        <v>0.29920000000000002</v>
      </c>
      <c r="G101" s="63">
        <f t="shared" si="84"/>
        <v>437.51591709342</v>
      </c>
      <c r="H101" s="268">
        <f t="shared" si="85"/>
        <v>1899.8017362559199</v>
      </c>
      <c r="I101" s="360">
        <f t="shared" si="81"/>
        <v>159445.48671696094</v>
      </c>
      <c r="J101" s="45">
        <f>IF((I101-H$105+(H$105/12*6))+K101-(H101/2)&gt;$I$197,$I$197-K101,(I101-H$105+(H$105/12*6)-(H101/2)))</f>
        <v>73820.948717981024</v>
      </c>
      <c r="K101" s="108">
        <f t="shared" si="82"/>
        <v>10899.051282018971</v>
      </c>
      <c r="L101" s="108">
        <f t="shared" si="86"/>
        <v>84720</v>
      </c>
      <c r="M101" s="108">
        <f t="shared" si="87"/>
        <v>70129.901282081963</v>
      </c>
      <c r="N101" s="108">
        <f t="shared" si="88"/>
        <v>10354.098717918021</v>
      </c>
      <c r="O101" s="108">
        <f t="shared" si="89"/>
        <v>80483.999999999985</v>
      </c>
      <c r="P101" s="93">
        <f t="shared" si="102"/>
        <v>66438.85384618293</v>
      </c>
      <c r="Q101" s="108">
        <f t="shared" si="91"/>
        <v>9809.1461538170734</v>
      </c>
      <c r="R101" s="108">
        <f t="shared" si="92"/>
        <v>76248</v>
      </c>
      <c r="S101" s="108">
        <f t="shared" si="93"/>
        <v>59056.758974384822</v>
      </c>
      <c r="T101" s="108">
        <f t="shared" si="94"/>
        <v>8719.2410256151761</v>
      </c>
      <c r="U101" s="108">
        <f t="shared" si="95"/>
        <v>67776</v>
      </c>
      <c r="V101" s="108">
        <f t="shared" si="96"/>
        <v>51674.664102586714</v>
      </c>
      <c r="W101" s="108">
        <f t="shared" si="97"/>
        <v>7629.3358974132789</v>
      </c>
      <c r="X101" s="108">
        <f t="shared" si="98"/>
        <v>59303.999999999993</v>
      </c>
      <c r="Y101" s="108">
        <f t="shared" si="99"/>
        <v>44292.569230788613</v>
      </c>
      <c r="Z101" s="108">
        <f t="shared" si="100"/>
        <v>6539.4307692113825</v>
      </c>
      <c r="AA101" s="46">
        <f t="shared" si="101"/>
        <v>50831.999999999993</v>
      </c>
      <c r="AB101" s="16"/>
      <c r="AC101" s="16"/>
      <c r="AD101" s="16"/>
      <c r="AE101" s="16"/>
      <c r="AF101" s="16"/>
      <c r="AG101" s="17"/>
      <c r="AH101" s="16"/>
      <c r="AI101" s="16"/>
    </row>
    <row r="102" spans="1:35" s="26" customFormat="1" ht="13.5" customHeight="1">
      <c r="A102" s="105">
        <v>77</v>
      </c>
      <c r="B102" s="50">
        <v>42948</v>
      </c>
      <c r="C102" s="61">
        <f>VLOOKUP(B102,'base(indices)'!$A$4:$C$183,3,FALSE)*1.25</f>
        <v>1171.25</v>
      </c>
      <c r="D102" s="343">
        <f>'base(indices)'!G95</f>
        <v>1.2507344199999999</v>
      </c>
      <c r="E102" s="54">
        <f t="shared" si="83"/>
        <v>1464.9226894249998</v>
      </c>
      <c r="F102" s="307">
        <f>'base(indices)'!$I$147</f>
        <v>0.29920000000000002</v>
      </c>
      <c r="G102" s="54">
        <f t="shared" si="84"/>
        <v>438.30486867595999</v>
      </c>
      <c r="H102" s="267">
        <f t="shared" si="85"/>
        <v>1903.2275581009599</v>
      </c>
      <c r="I102" s="384">
        <f t="shared" si="81"/>
        <v>157545.684980705</v>
      </c>
      <c r="J102" s="58">
        <f>IF((I102-H$105+(H$105/12*5))+K102-(H102/2)&gt;$I$197,$I$197-K102,(I102-H$105+(H$105/12*5)-(H102/2)))</f>
        <v>73820.948717981024</v>
      </c>
      <c r="K102" s="91">
        <f t="shared" si="82"/>
        <v>10899.051282018971</v>
      </c>
      <c r="L102" s="92">
        <f t="shared" si="86"/>
        <v>84720</v>
      </c>
      <c r="M102" s="91">
        <f t="shared" si="87"/>
        <v>70129.901282081963</v>
      </c>
      <c r="N102" s="91">
        <f t="shared" si="88"/>
        <v>10354.098717918021</v>
      </c>
      <c r="O102" s="91">
        <f t="shared" si="89"/>
        <v>80483.999999999985</v>
      </c>
      <c r="P102" s="91">
        <f t="shared" si="102"/>
        <v>66438.85384618293</v>
      </c>
      <c r="Q102" s="91">
        <f t="shared" si="91"/>
        <v>9809.1461538170734</v>
      </c>
      <c r="R102" s="91">
        <f>P102+Q102</f>
        <v>76248</v>
      </c>
      <c r="S102" s="91">
        <f t="shared" si="93"/>
        <v>59056.758974384822</v>
      </c>
      <c r="T102" s="91">
        <f t="shared" si="94"/>
        <v>8719.2410256151761</v>
      </c>
      <c r="U102" s="91">
        <f t="shared" si="95"/>
        <v>67776</v>
      </c>
      <c r="V102" s="91">
        <f t="shared" si="96"/>
        <v>51674.664102586714</v>
      </c>
      <c r="W102" s="91">
        <f t="shared" si="97"/>
        <v>7629.3358974132789</v>
      </c>
      <c r="X102" s="91">
        <f t="shared" si="98"/>
        <v>59303.999999999993</v>
      </c>
      <c r="Y102" s="91">
        <f t="shared" si="99"/>
        <v>44292.569230788613</v>
      </c>
      <c r="Z102" s="91">
        <f t="shared" si="100"/>
        <v>6539.4307692113825</v>
      </c>
      <c r="AA102" s="59">
        <f t="shared" si="101"/>
        <v>50831.999999999993</v>
      </c>
      <c r="AB102" s="32"/>
      <c r="AC102" s="32"/>
      <c r="AD102" s="32"/>
      <c r="AE102" s="32"/>
      <c r="AF102" s="32"/>
      <c r="AG102" s="33"/>
      <c r="AH102" s="32"/>
      <c r="AI102" s="32"/>
    </row>
    <row r="103" spans="1:35" ht="13.5" customHeight="1">
      <c r="A103" s="105">
        <v>76</v>
      </c>
      <c r="B103" s="50">
        <v>42979</v>
      </c>
      <c r="C103" s="61">
        <f>VLOOKUP(B103,'base(indices)'!$A$4:$C$183,3,FALSE)*1.25</f>
        <v>1171.25</v>
      </c>
      <c r="D103" s="343">
        <f>'base(indices)'!G96</f>
        <v>1.24637211</v>
      </c>
      <c r="E103" s="63">
        <f t="shared" si="83"/>
        <v>1459.8133338375001</v>
      </c>
      <c r="F103" s="307">
        <f>'base(indices)'!$I$147</f>
        <v>0.29920000000000002</v>
      </c>
      <c r="G103" s="63">
        <f t="shared" si="84"/>
        <v>436.77614948418005</v>
      </c>
      <c r="H103" s="268">
        <f t="shared" si="85"/>
        <v>1896.5894833216801</v>
      </c>
      <c r="I103" s="360">
        <f t="shared" si="81"/>
        <v>155642.45742260403</v>
      </c>
      <c r="J103" s="45">
        <f>IF((I103-H$105+(H$105/12*4))+K103-(H103/2)&gt;$I$197,$I$197-K103,(I103-H$105+(H$105/12*4)-(H103/2)))</f>
        <v>73820.948717981024</v>
      </c>
      <c r="K103" s="108">
        <f t="shared" si="82"/>
        <v>10899.051282018971</v>
      </c>
      <c r="L103" s="108">
        <f t="shared" si="86"/>
        <v>84720</v>
      </c>
      <c r="M103" s="108">
        <f t="shared" si="87"/>
        <v>70129.901282081963</v>
      </c>
      <c r="N103" s="108">
        <f t="shared" si="88"/>
        <v>10354.098717918021</v>
      </c>
      <c r="O103" s="108">
        <f t="shared" si="89"/>
        <v>80483.999999999985</v>
      </c>
      <c r="P103" s="93">
        <f t="shared" si="102"/>
        <v>66438.85384618293</v>
      </c>
      <c r="Q103" s="108">
        <f t="shared" si="91"/>
        <v>9809.1461538170734</v>
      </c>
      <c r="R103" s="108">
        <f t="shared" ref="R103:R121" si="103">P103+Q103</f>
        <v>76248</v>
      </c>
      <c r="S103" s="108">
        <f t="shared" si="93"/>
        <v>59056.758974384822</v>
      </c>
      <c r="T103" s="108">
        <f t="shared" si="94"/>
        <v>8719.2410256151761</v>
      </c>
      <c r="U103" s="108">
        <f t="shared" si="95"/>
        <v>67776</v>
      </c>
      <c r="V103" s="108">
        <f t="shared" si="96"/>
        <v>51674.664102586714</v>
      </c>
      <c r="W103" s="108">
        <f t="shared" si="97"/>
        <v>7629.3358974132789</v>
      </c>
      <c r="X103" s="108">
        <f t="shared" si="98"/>
        <v>59303.999999999993</v>
      </c>
      <c r="Y103" s="108">
        <f t="shared" si="99"/>
        <v>44292.569230788613</v>
      </c>
      <c r="Z103" s="108">
        <f t="shared" si="100"/>
        <v>6539.4307692113825</v>
      </c>
      <c r="AA103" s="46">
        <f t="shared" si="101"/>
        <v>50831.999999999993</v>
      </c>
      <c r="AB103" s="16"/>
      <c r="AC103" s="16"/>
      <c r="AD103" s="16"/>
      <c r="AE103" s="16"/>
      <c r="AF103" s="16"/>
      <c r="AG103" s="17"/>
      <c r="AH103" s="16"/>
      <c r="AI103" s="16"/>
    </row>
    <row r="104" spans="1:35" s="26" customFormat="1" ht="13.5" customHeight="1">
      <c r="A104" s="105">
        <v>75</v>
      </c>
      <c r="B104" s="50">
        <v>43009</v>
      </c>
      <c r="C104" s="61">
        <f>VLOOKUP(B104,'base(indices)'!$A$4:$C$183,3,FALSE)*1.25</f>
        <v>1171.25</v>
      </c>
      <c r="D104" s="343">
        <f>'base(indices)'!G97</f>
        <v>1.24500261</v>
      </c>
      <c r="E104" s="54">
        <f t="shared" si="83"/>
        <v>1458.2093069625</v>
      </c>
      <c r="F104" s="307">
        <f>'base(indices)'!$I$147</f>
        <v>0.29920000000000002</v>
      </c>
      <c r="G104" s="54">
        <f t="shared" si="84"/>
        <v>436.29622464318004</v>
      </c>
      <c r="H104" s="267">
        <f t="shared" si="85"/>
        <v>1894.5055316056801</v>
      </c>
      <c r="I104" s="384">
        <f t="shared" si="81"/>
        <v>153745.86793928235</v>
      </c>
      <c r="J104" s="58">
        <f>IF((I104-H$105+(H$105/12*3))+K104-(H104/2)&gt;$I$197,$I$197-K104,(I104-H$105+(H$105/12*3)-(H104/2)))</f>
        <v>73820.948717981024</v>
      </c>
      <c r="K104" s="91">
        <f t="shared" si="82"/>
        <v>10899.051282018971</v>
      </c>
      <c r="L104" s="92">
        <f t="shared" si="86"/>
        <v>84720</v>
      </c>
      <c r="M104" s="91">
        <f t="shared" si="87"/>
        <v>70129.901282081963</v>
      </c>
      <c r="N104" s="91">
        <f t="shared" si="88"/>
        <v>10354.098717918021</v>
      </c>
      <c r="O104" s="91">
        <f t="shared" si="89"/>
        <v>80483.999999999985</v>
      </c>
      <c r="P104" s="91">
        <f t="shared" si="102"/>
        <v>66438.85384618293</v>
      </c>
      <c r="Q104" s="91">
        <f t="shared" si="91"/>
        <v>9809.1461538170734</v>
      </c>
      <c r="R104" s="91">
        <f t="shared" si="103"/>
        <v>76248</v>
      </c>
      <c r="S104" s="91">
        <f t="shared" si="93"/>
        <v>59056.758974384822</v>
      </c>
      <c r="T104" s="91">
        <f t="shared" si="94"/>
        <v>8719.2410256151761</v>
      </c>
      <c r="U104" s="91">
        <f t="shared" si="95"/>
        <v>67776</v>
      </c>
      <c r="V104" s="91">
        <f t="shared" si="96"/>
        <v>51674.664102586714</v>
      </c>
      <c r="W104" s="91">
        <f t="shared" si="97"/>
        <v>7629.3358974132789</v>
      </c>
      <c r="X104" s="91">
        <f t="shared" si="98"/>
        <v>59303.999999999993</v>
      </c>
      <c r="Y104" s="91">
        <f t="shared" si="99"/>
        <v>44292.569230788613</v>
      </c>
      <c r="Z104" s="91">
        <f t="shared" si="100"/>
        <v>6539.4307692113825</v>
      </c>
      <c r="AA104" s="59">
        <f t="shared" si="101"/>
        <v>50831.999999999993</v>
      </c>
      <c r="AB104" s="32"/>
      <c r="AC104" s="32"/>
      <c r="AD104" s="32"/>
      <c r="AE104" s="32"/>
      <c r="AF104" s="32"/>
      <c r="AG104" s="33"/>
      <c r="AH104" s="32"/>
      <c r="AI104" s="32"/>
    </row>
    <row r="105" spans="1:35" ht="13.5" customHeight="1">
      <c r="A105" s="105">
        <v>74</v>
      </c>
      <c r="B105" s="50">
        <v>43040</v>
      </c>
      <c r="C105" s="61">
        <f>VLOOKUP(B105,'base(indices)'!$A$4:$C$183,3,FALSE)*1.25</f>
        <v>1171.25</v>
      </c>
      <c r="D105" s="343">
        <f>'base(indices)'!G98</f>
        <v>1.24078394</v>
      </c>
      <c r="E105" s="63">
        <f t="shared" si="83"/>
        <v>1453.268189725</v>
      </c>
      <c r="F105" s="307">
        <f>'base(indices)'!$I$147</f>
        <v>0.29920000000000002</v>
      </c>
      <c r="G105" s="63">
        <f t="shared" si="84"/>
        <v>434.81784236572003</v>
      </c>
      <c r="H105" s="268">
        <f t="shared" si="85"/>
        <v>1888.08603209072</v>
      </c>
      <c r="I105" s="360">
        <f t="shared" si="81"/>
        <v>151851.36240767667</v>
      </c>
      <c r="J105" s="45">
        <f>IF((I105-H$105+(H$105/12*2))+K105-(H105/2)&gt;$I$197,$I$197-K105,(I105-H$105+(H$105/12*2)-(H105/2)))</f>
        <v>73820.948717981024</v>
      </c>
      <c r="K105" s="108">
        <f t="shared" si="82"/>
        <v>10899.051282018971</v>
      </c>
      <c r="L105" s="108">
        <f t="shared" si="86"/>
        <v>84720</v>
      </c>
      <c r="M105" s="108">
        <f t="shared" si="87"/>
        <v>70129.901282081963</v>
      </c>
      <c r="N105" s="108">
        <f t="shared" si="88"/>
        <v>10354.098717918021</v>
      </c>
      <c r="O105" s="108">
        <f t="shared" si="89"/>
        <v>80483.999999999985</v>
      </c>
      <c r="P105" s="93">
        <f t="shared" si="102"/>
        <v>66438.85384618293</v>
      </c>
      <c r="Q105" s="108">
        <f t="shared" si="91"/>
        <v>9809.1461538170734</v>
      </c>
      <c r="R105" s="108">
        <f t="shared" si="103"/>
        <v>76248</v>
      </c>
      <c r="S105" s="108">
        <f t="shared" si="93"/>
        <v>59056.758974384822</v>
      </c>
      <c r="T105" s="108">
        <f t="shared" si="94"/>
        <v>8719.2410256151761</v>
      </c>
      <c r="U105" s="108">
        <f t="shared" si="95"/>
        <v>67776</v>
      </c>
      <c r="V105" s="108">
        <f t="shared" si="96"/>
        <v>51674.664102586714</v>
      </c>
      <c r="W105" s="108">
        <f t="shared" si="97"/>
        <v>7629.3358974132789</v>
      </c>
      <c r="X105" s="108">
        <f t="shared" si="98"/>
        <v>59303.999999999993</v>
      </c>
      <c r="Y105" s="108">
        <f t="shared" si="99"/>
        <v>44292.569230788613</v>
      </c>
      <c r="Z105" s="108">
        <f t="shared" si="100"/>
        <v>6539.4307692113825</v>
      </c>
      <c r="AA105" s="46">
        <f t="shared" si="101"/>
        <v>50831.999999999993</v>
      </c>
      <c r="AB105" s="16"/>
      <c r="AC105" s="16"/>
      <c r="AD105" s="16"/>
      <c r="AE105" s="16"/>
      <c r="AF105" s="16"/>
      <c r="AG105" s="17"/>
      <c r="AH105" s="16"/>
      <c r="AI105" s="16"/>
    </row>
    <row r="106" spans="1:35" s="26" customFormat="1" ht="13.5" customHeight="1" thickBot="1">
      <c r="A106" s="161">
        <v>73</v>
      </c>
      <c r="B106" s="247">
        <v>43070</v>
      </c>
      <c r="C106" s="142">
        <f>C105*2</f>
        <v>2342.5</v>
      </c>
      <c r="D106" s="343">
        <f>'base(indices)'!G99</f>
        <v>1.2368261</v>
      </c>
      <c r="E106" s="170">
        <f t="shared" si="83"/>
        <v>2897.2651392500002</v>
      </c>
      <c r="F106" s="307">
        <f>'base(indices)'!$I$147</f>
        <v>0.29920000000000002</v>
      </c>
      <c r="G106" s="170">
        <f t="shared" si="84"/>
        <v>866.86172966360016</v>
      </c>
      <c r="H106" s="368">
        <f t="shared" si="85"/>
        <v>3764.1268689136004</v>
      </c>
      <c r="I106" s="384">
        <f t="shared" si="81"/>
        <v>149963.27637558596</v>
      </c>
      <c r="J106" s="285">
        <f>IF((I106-H$105+(H$105/12*1))+K106-(H106/4)&gt;$I$197,$I$197-K106,(I106-H$105+(H$105/12*1)-(H106/4)))</f>
        <v>73820.948717981024</v>
      </c>
      <c r="K106" s="86">
        <f t="shared" si="82"/>
        <v>10899.051282018971</v>
      </c>
      <c r="L106" s="164">
        <f t="shared" si="86"/>
        <v>84720</v>
      </c>
      <c r="M106" s="86">
        <f t="shared" si="87"/>
        <v>70129.901282081963</v>
      </c>
      <c r="N106" s="86">
        <f t="shared" si="88"/>
        <v>10354.098717918021</v>
      </c>
      <c r="O106" s="86">
        <f t="shared" si="89"/>
        <v>80483.999999999985</v>
      </c>
      <c r="P106" s="86">
        <f t="shared" si="102"/>
        <v>66438.85384618293</v>
      </c>
      <c r="Q106" s="86">
        <f t="shared" si="91"/>
        <v>9809.1461538170734</v>
      </c>
      <c r="R106" s="86">
        <f t="shared" si="103"/>
        <v>76248</v>
      </c>
      <c r="S106" s="86">
        <f t="shared" si="93"/>
        <v>59056.758974384822</v>
      </c>
      <c r="T106" s="86">
        <f t="shared" si="94"/>
        <v>8719.2410256151761</v>
      </c>
      <c r="U106" s="86">
        <f t="shared" si="95"/>
        <v>67776</v>
      </c>
      <c r="V106" s="86">
        <f t="shared" si="96"/>
        <v>51674.664102586714</v>
      </c>
      <c r="W106" s="86">
        <f t="shared" si="97"/>
        <v>7629.3358974132789</v>
      </c>
      <c r="X106" s="86">
        <f t="shared" si="98"/>
        <v>59303.999999999993</v>
      </c>
      <c r="Y106" s="86">
        <f t="shared" si="99"/>
        <v>44292.569230788613</v>
      </c>
      <c r="Z106" s="86">
        <f t="shared" si="100"/>
        <v>6539.4307692113825</v>
      </c>
      <c r="AA106" s="165">
        <f t="shared" si="101"/>
        <v>50831.999999999993</v>
      </c>
      <c r="AB106" s="32"/>
      <c r="AC106" s="32"/>
      <c r="AD106" s="32"/>
      <c r="AE106" s="32"/>
      <c r="AF106" s="32"/>
      <c r="AG106" s="33"/>
      <c r="AH106" s="32"/>
      <c r="AI106" s="32"/>
    </row>
    <row r="107" spans="1:35" ht="13.5" customHeight="1">
      <c r="A107" s="217">
        <v>72</v>
      </c>
      <c r="B107" s="136">
        <v>43101</v>
      </c>
      <c r="C107" s="120">
        <f>VLOOKUP(B107,'base(indices)'!$A$4:$C$183,3,FALSE)*1.25</f>
        <v>1192.5</v>
      </c>
      <c r="D107" s="386">
        <f>'base(indices)'!G100</f>
        <v>1.2325123099999999</v>
      </c>
      <c r="E107" s="137">
        <f t="shared" si="83"/>
        <v>1469.7709296749999</v>
      </c>
      <c r="F107" s="371">
        <f>'base(indices)'!$I$147</f>
        <v>0.29920000000000002</v>
      </c>
      <c r="G107" s="78">
        <f t="shared" si="84"/>
        <v>439.75546215876</v>
      </c>
      <c r="H107" s="266">
        <f t="shared" si="85"/>
        <v>1909.52639183376</v>
      </c>
      <c r="I107" s="358">
        <f t="shared" si="81"/>
        <v>146199.14950667237</v>
      </c>
      <c r="J107" s="48">
        <f>IF((I107-H$117+(H$117))+K107-(H107/2)&gt;$I$197,$I$197-K107,(I107-H$117+(H$117)-(H107/2)))</f>
        <v>73820.948717981024</v>
      </c>
      <c r="K107" s="156">
        <f t="shared" si="82"/>
        <v>10899.051282018971</v>
      </c>
      <c r="L107" s="156">
        <f t="shared" si="86"/>
        <v>84720</v>
      </c>
      <c r="M107" s="156">
        <f t="shared" si="87"/>
        <v>70129.901282081963</v>
      </c>
      <c r="N107" s="156">
        <f t="shared" si="88"/>
        <v>10354.098717918021</v>
      </c>
      <c r="O107" s="156">
        <f t="shared" si="89"/>
        <v>80483.999999999985</v>
      </c>
      <c r="P107" s="151">
        <f t="shared" si="102"/>
        <v>66438.85384618293</v>
      </c>
      <c r="Q107" s="156">
        <f t="shared" si="91"/>
        <v>9809.1461538170734</v>
      </c>
      <c r="R107" s="156">
        <f t="shared" si="103"/>
        <v>76248</v>
      </c>
      <c r="S107" s="156">
        <f t="shared" si="93"/>
        <v>59056.758974384822</v>
      </c>
      <c r="T107" s="156">
        <f t="shared" si="94"/>
        <v>8719.2410256151761</v>
      </c>
      <c r="U107" s="156">
        <f t="shared" si="95"/>
        <v>67776</v>
      </c>
      <c r="V107" s="156">
        <f t="shared" si="96"/>
        <v>51674.664102586714</v>
      </c>
      <c r="W107" s="156">
        <f t="shared" si="97"/>
        <v>7629.3358974132789</v>
      </c>
      <c r="X107" s="156">
        <f t="shared" si="98"/>
        <v>59303.999999999993</v>
      </c>
      <c r="Y107" s="156">
        <f t="shared" si="99"/>
        <v>44292.569230788613</v>
      </c>
      <c r="Z107" s="156">
        <f t="shared" si="100"/>
        <v>6539.4307692113825</v>
      </c>
      <c r="AA107" s="150">
        <f t="shared" si="101"/>
        <v>50831.999999999993</v>
      </c>
      <c r="AB107" s="16"/>
      <c r="AC107" s="16"/>
      <c r="AD107" s="16"/>
      <c r="AE107" s="16"/>
      <c r="AF107" s="16"/>
      <c r="AG107" s="17"/>
      <c r="AH107" s="16"/>
      <c r="AI107" s="16"/>
    </row>
    <row r="108" spans="1:35" s="26" customFormat="1" ht="13.5" customHeight="1">
      <c r="A108" s="187">
        <v>71</v>
      </c>
      <c r="B108" s="50">
        <v>43132</v>
      </c>
      <c r="C108" s="61">
        <f>VLOOKUP(B108,'base(indices)'!$A$4:$C$183,3,FALSE)*1.25</f>
        <v>1192.5</v>
      </c>
      <c r="D108" s="343">
        <f>'base(indices)'!G101</f>
        <v>1.2277241800000001</v>
      </c>
      <c r="E108" s="52">
        <f t="shared" si="83"/>
        <v>1464.0610846500001</v>
      </c>
      <c r="F108" s="307">
        <f>'base(indices)'!$I$147</f>
        <v>0.29920000000000002</v>
      </c>
      <c r="G108" s="54">
        <f t="shared" si="84"/>
        <v>438.04707652728007</v>
      </c>
      <c r="H108" s="267">
        <f t="shared" si="85"/>
        <v>1902.1081611772802</v>
      </c>
      <c r="I108" s="384">
        <f t="shared" si="81"/>
        <v>144289.62311483861</v>
      </c>
      <c r="J108" s="58">
        <f>IF((I108-H$117+(H$117/12*11))+K108-(H108/2)&gt;$I$197,$I$197-K108,(I108-H$117+(H$117/12*11)-(H108/2)))</f>
        <v>73820.948717981024</v>
      </c>
      <c r="K108" s="91">
        <f t="shared" si="82"/>
        <v>10899.051282018971</v>
      </c>
      <c r="L108" s="92">
        <f t="shared" si="86"/>
        <v>84720</v>
      </c>
      <c r="M108" s="91">
        <f t="shared" si="87"/>
        <v>70129.901282081963</v>
      </c>
      <c r="N108" s="91">
        <f t="shared" si="88"/>
        <v>10354.098717918021</v>
      </c>
      <c r="O108" s="91">
        <f t="shared" si="89"/>
        <v>80483.999999999985</v>
      </c>
      <c r="P108" s="91">
        <f t="shared" si="102"/>
        <v>66438.85384618293</v>
      </c>
      <c r="Q108" s="91">
        <f t="shared" si="91"/>
        <v>9809.1461538170734</v>
      </c>
      <c r="R108" s="91">
        <f t="shared" si="103"/>
        <v>76248</v>
      </c>
      <c r="S108" s="91">
        <f t="shared" si="93"/>
        <v>59056.758974384822</v>
      </c>
      <c r="T108" s="91">
        <f t="shared" si="94"/>
        <v>8719.2410256151761</v>
      </c>
      <c r="U108" s="91">
        <f t="shared" si="95"/>
        <v>67776</v>
      </c>
      <c r="V108" s="91">
        <f t="shared" si="96"/>
        <v>51674.664102586714</v>
      </c>
      <c r="W108" s="91">
        <f t="shared" si="97"/>
        <v>7629.3358974132789</v>
      </c>
      <c r="X108" s="91">
        <f t="shared" si="98"/>
        <v>59303.999999999993</v>
      </c>
      <c r="Y108" s="91">
        <f t="shared" si="99"/>
        <v>44292.569230788613</v>
      </c>
      <c r="Z108" s="91">
        <f t="shared" si="100"/>
        <v>6539.4307692113825</v>
      </c>
      <c r="AA108" s="59">
        <f t="shared" si="101"/>
        <v>50831.999999999993</v>
      </c>
      <c r="AB108" s="32"/>
      <c r="AC108" s="32"/>
      <c r="AD108" s="32"/>
      <c r="AE108" s="32"/>
      <c r="AF108" s="32"/>
      <c r="AG108" s="33"/>
      <c r="AH108" s="32"/>
      <c r="AI108" s="32"/>
    </row>
    <row r="109" spans="1:35" ht="13.5" customHeight="1">
      <c r="A109" s="187">
        <v>70</v>
      </c>
      <c r="B109" s="50">
        <v>43160</v>
      </c>
      <c r="C109" s="61">
        <f>VLOOKUP(B109,'base(indices)'!$A$4:$C$183,3,FALSE)*1.25</f>
        <v>1192.5</v>
      </c>
      <c r="D109" s="343">
        <f>'base(indices)'!G102</f>
        <v>1.22307649</v>
      </c>
      <c r="E109" s="62">
        <f t="shared" si="83"/>
        <v>1458.518714325</v>
      </c>
      <c r="F109" s="307">
        <f>'base(indices)'!$I$147</f>
        <v>0.29920000000000002</v>
      </c>
      <c r="G109" s="63">
        <f t="shared" si="84"/>
        <v>436.38879932604004</v>
      </c>
      <c r="H109" s="268">
        <f t="shared" si="85"/>
        <v>1894.9075136510401</v>
      </c>
      <c r="I109" s="360">
        <f t="shared" si="81"/>
        <v>142387.51495366133</v>
      </c>
      <c r="J109" s="45">
        <f>IF((I109-H$117+(H$117/12*10))+K109-(H109/2)&gt;$I$197,$I$197-K109,(I109-H$117+(H$117/12*10)-(H109/2)))</f>
        <v>73820.948717981024</v>
      </c>
      <c r="K109" s="108">
        <f t="shared" si="82"/>
        <v>10899.051282018971</v>
      </c>
      <c r="L109" s="108">
        <f t="shared" si="86"/>
        <v>84720</v>
      </c>
      <c r="M109" s="108">
        <f t="shared" si="87"/>
        <v>70129.901282081963</v>
      </c>
      <c r="N109" s="108">
        <f t="shared" si="88"/>
        <v>10354.098717918021</v>
      </c>
      <c r="O109" s="108">
        <f t="shared" si="89"/>
        <v>80483.999999999985</v>
      </c>
      <c r="P109" s="93">
        <f t="shared" si="102"/>
        <v>66438.85384618293</v>
      </c>
      <c r="Q109" s="108">
        <f t="shared" si="91"/>
        <v>9809.1461538170734</v>
      </c>
      <c r="R109" s="108">
        <f t="shared" si="103"/>
        <v>76248</v>
      </c>
      <c r="S109" s="108">
        <f t="shared" si="93"/>
        <v>59056.758974384822</v>
      </c>
      <c r="T109" s="108">
        <f t="shared" si="94"/>
        <v>8719.2410256151761</v>
      </c>
      <c r="U109" s="108">
        <f t="shared" si="95"/>
        <v>67776</v>
      </c>
      <c r="V109" s="108">
        <f t="shared" si="96"/>
        <v>51674.664102586714</v>
      </c>
      <c r="W109" s="108">
        <f t="shared" si="97"/>
        <v>7629.3358974132789</v>
      </c>
      <c r="X109" s="108">
        <f t="shared" si="98"/>
        <v>59303.999999999993</v>
      </c>
      <c r="Y109" s="108">
        <f t="shared" si="99"/>
        <v>44292.569230788613</v>
      </c>
      <c r="Z109" s="108">
        <f t="shared" si="100"/>
        <v>6539.4307692113825</v>
      </c>
      <c r="AA109" s="46">
        <f t="shared" si="101"/>
        <v>50831.999999999993</v>
      </c>
      <c r="AB109" s="16"/>
      <c r="AC109" s="16"/>
      <c r="AD109" s="16"/>
      <c r="AE109" s="16"/>
      <c r="AF109" s="16"/>
      <c r="AG109" s="17"/>
      <c r="AH109" s="16"/>
      <c r="AI109" s="16"/>
    </row>
    <row r="110" spans="1:35" s="26" customFormat="1" ht="13.5" customHeight="1">
      <c r="A110" s="187">
        <v>69</v>
      </c>
      <c r="B110" s="50">
        <v>43191</v>
      </c>
      <c r="C110" s="61">
        <f>VLOOKUP(B110,'base(indices)'!$A$4:$C$183,3,FALSE)*1.25</f>
        <v>1192.5</v>
      </c>
      <c r="D110" s="343">
        <f>'base(indices)'!G103</f>
        <v>1.2218546400000001</v>
      </c>
      <c r="E110" s="52">
        <f t="shared" si="83"/>
        <v>1457.0616582</v>
      </c>
      <c r="F110" s="307">
        <f>'base(indices)'!$I$147</f>
        <v>0.29920000000000002</v>
      </c>
      <c r="G110" s="54">
        <f t="shared" si="84"/>
        <v>435.95284813344006</v>
      </c>
      <c r="H110" s="267">
        <f t="shared" si="85"/>
        <v>1893.0145063334401</v>
      </c>
      <c r="I110" s="384">
        <f t="shared" si="81"/>
        <v>140492.6074400103</v>
      </c>
      <c r="J110" s="58">
        <f>IF((I110-H$117+(H$117/12*9))+K110-(H110/2)&gt;$I$197,$I$197-K110,(I110-H$117+(H$117/12*9)-(H110/2)))</f>
        <v>73820.948717981024</v>
      </c>
      <c r="K110" s="91">
        <f t="shared" si="82"/>
        <v>10899.051282018971</v>
      </c>
      <c r="L110" s="92">
        <f t="shared" si="86"/>
        <v>84720</v>
      </c>
      <c r="M110" s="91">
        <f t="shared" si="87"/>
        <v>70129.901282081963</v>
      </c>
      <c r="N110" s="91">
        <f t="shared" si="88"/>
        <v>10354.098717918021</v>
      </c>
      <c r="O110" s="91">
        <f t="shared" si="89"/>
        <v>80483.999999999985</v>
      </c>
      <c r="P110" s="91">
        <f t="shared" si="102"/>
        <v>66438.85384618293</v>
      </c>
      <c r="Q110" s="91">
        <f t="shared" si="91"/>
        <v>9809.1461538170734</v>
      </c>
      <c r="R110" s="91">
        <f t="shared" si="103"/>
        <v>76248</v>
      </c>
      <c r="S110" s="91">
        <f t="shared" si="93"/>
        <v>59056.758974384822</v>
      </c>
      <c r="T110" s="91">
        <f t="shared" si="94"/>
        <v>8719.2410256151761</v>
      </c>
      <c r="U110" s="91">
        <f t="shared" si="95"/>
        <v>67776</v>
      </c>
      <c r="V110" s="91">
        <f t="shared" si="96"/>
        <v>51674.664102586714</v>
      </c>
      <c r="W110" s="91">
        <f t="shared" si="97"/>
        <v>7629.3358974132789</v>
      </c>
      <c r="X110" s="91">
        <f t="shared" si="98"/>
        <v>59303.999999999993</v>
      </c>
      <c r="Y110" s="91">
        <f t="shared" si="99"/>
        <v>44292.569230788613</v>
      </c>
      <c r="Z110" s="91">
        <f t="shared" si="100"/>
        <v>6539.4307692113825</v>
      </c>
      <c r="AA110" s="59">
        <f t="shared" si="101"/>
        <v>50831.999999999993</v>
      </c>
      <c r="AB110" s="32"/>
      <c r="AC110" s="32"/>
      <c r="AD110" s="32"/>
      <c r="AE110" s="32"/>
      <c r="AF110" s="32"/>
      <c r="AG110" s="33"/>
      <c r="AH110" s="32"/>
      <c r="AI110" s="32"/>
    </row>
    <row r="111" spans="1:35" ht="13.5" customHeight="1">
      <c r="A111" s="187">
        <v>68</v>
      </c>
      <c r="B111" s="50">
        <v>43221</v>
      </c>
      <c r="C111" s="61">
        <f>VLOOKUP(B111,'base(indices)'!$A$4:$C$183,3,FALSE)*1.25</f>
        <v>1192.5</v>
      </c>
      <c r="D111" s="343">
        <f>'base(indices)'!G104</f>
        <v>1.21929412</v>
      </c>
      <c r="E111" s="62">
        <f t="shared" si="83"/>
        <v>1454.0082381</v>
      </c>
      <c r="F111" s="307">
        <f>'base(indices)'!$I$147</f>
        <v>0.29920000000000002</v>
      </c>
      <c r="G111" s="63">
        <f t="shared" si="84"/>
        <v>435.03926483952</v>
      </c>
      <c r="H111" s="268">
        <f t="shared" si="85"/>
        <v>1889.04750293952</v>
      </c>
      <c r="I111" s="360">
        <f t="shared" si="81"/>
        <v>138599.59293367685</v>
      </c>
      <c r="J111" s="45">
        <f>IF((I111-H$117+(H$117/12*8))+K111-(H111/2)&gt;$I$197,$I$197-K111,(I111-H$117+(H$117/12*8)-(H111/2)))</f>
        <v>73820.948717981024</v>
      </c>
      <c r="K111" s="108">
        <f t="shared" si="82"/>
        <v>10899.051282018971</v>
      </c>
      <c r="L111" s="108">
        <f t="shared" si="86"/>
        <v>84720</v>
      </c>
      <c r="M111" s="108">
        <f t="shared" si="87"/>
        <v>70129.901282081963</v>
      </c>
      <c r="N111" s="108">
        <f t="shared" si="88"/>
        <v>10354.098717918021</v>
      </c>
      <c r="O111" s="108">
        <f t="shared" si="89"/>
        <v>80483.999999999985</v>
      </c>
      <c r="P111" s="93">
        <f t="shared" si="102"/>
        <v>66438.85384618293</v>
      </c>
      <c r="Q111" s="108">
        <f t="shared" si="91"/>
        <v>9809.1461538170734</v>
      </c>
      <c r="R111" s="108">
        <f t="shared" si="103"/>
        <v>76248</v>
      </c>
      <c r="S111" s="108">
        <f t="shared" si="93"/>
        <v>59056.758974384822</v>
      </c>
      <c r="T111" s="108">
        <f t="shared" si="94"/>
        <v>8719.2410256151761</v>
      </c>
      <c r="U111" s="108">
        <f t="shared" si="95"/>
        <v>67776</v>
      </c>
      <c r="V111" s="108">
        <f t="shared" si="96"/>
        <v>51674.664102586714</v>
      </c>
      <c r="W111" s="108">
        <f t="shared" si="97"/>
        <v>7629.3358974132789</v>
      </c>
      <c r="X111" s="108">
        <f t="shared" si="98"/>
        <v>59303.999999999993</v>
      </c>
      <c r="Y111" s="108">
        <f t="shared" si="99"/>
        <v>44292.569230788613</v>
      </c>
      <c r="Z111" s="108">
        <f t="shared" si="100"/>
        <v>6539.4307692113825</v>
      </c>
      <c r="AA111" s="46">
        <f t="shared" si="101"/>
        <v>50831.999999999993</v>
      </c>
      <c r="AB111" s="16"/>
      <c r="AC111" s="16"/>
      <c r="AD111" s="16"/>
      <c r="AE111" s="16"/>
      <c r="AF111" s="16"/>
      <c r="AG111" s="17"/>
      <c r="AH111" s="16"/>
      <c r="AI111" s="16"/>
    </row>
    <row r="112" spans="1:35" s="26" customFormat="1" ht="13.5" customHeight="1">
      <c r="A112" s="187">
        <v>67</v>
      </c>
      <c r="B112" s="50">
        <v>43252</v>
      </c>
      <c r="C112" s="61">
        <f>VLOOKUP(B112,'base(indices)'!$A$4:$C$183,3,FALSE)*1.25</f>
        <v>1192.5</v>
      </c>
      <c r="D112" s="343">
        <f>'base(indices)'!G105</f>
        <v>1.2175895000000001</v>
      </c>
      <c r="E112" s="52">
        <f t="shared" si="83"/>
        <v>1451.9754787500001</v>
      </c>
      <c r="F112" s="307">
        <f>'base(indices)'!$I$147</f>
        <v>0.29920000000000002</v>
      </c>
      <c r="G112" s="54">
        <f t="shared" si="84"/>
        <v>434.43106324200005</v>
      </c>
      <c r="H112" s="267">
        <f t="shared" si="85"/>
        <v>1886.4065419920003</v>
      </c>
      <c r="I112" s="384">
        <f t="shared" si="81"/>
        <v>136710.54543073731</v>
      </c>
      <c r="J112" s="58">
        <f>IF((I112-H$117+(H$117/12*7))+K112-(H112/2)&gt;$I$197,$I$197-K112,(I112-H$117+(H$117/12*7)-(H112/2)))</f>
        <v>73820.948717981024</v>
      </c>
      <c r="K112" s="91">
        <f t="shared" si="82"/>
        <v>10899.051282018971</v>
      </c>
      <c r="L112" s="92">
        <f t="shared" si="86"/>
        <v>84720</v>
      </c>
      <c r="M112" s="91">
        <f t="shared" si="87"/>
        <v>70129.901282081963</v>
      </c>
      <c r="N112" s="91">
        <f t="shared" si="88"/>
        <v>10354.098717918021</v>
      </c>
      <c r="O112" s="91">
        <f t="shared" si="89"/>
        <v>80483.999999999985</v>
      </c>
      <c r="P112" s="91">
        <f t="shared" si="102"/>
        <v>66438.85384618293</v>
      </c>
      <c r="Q112" s="91">
        <f t="shared" si="91"/>
        <v>9809.1461538170734</v>
      </c>
      <c r="R112" s="91">
        <f t="shared" si="103"/>
        <v>76248</v>
      </c>
      <c r="S112" s="91">
        <f t="shared" si="93"/>
        <v>59056.758974384822</v>
      </c>
      <c r="T112" s="91">
        <f t="shared" si="94"/>
        <v>8719.2410256151761</v>
      </c>
      <c r="U112" s="91">
        <f t="shared" si="95"/>
        <v>67776</v>
      </c>
      <c r="V112" s="91">
        <f t="shared" si="96"/>
        <v>51674.664102586714</v>
      </c>
      <c r="W112" s="91">
        <f t="shared" si="97"/>
        <v>7629.3358974132789</v>
      </c>
      <c r="X112" s="91">
        <f t="shared" si="98"/>
        <v>59303.999999999993</v>
      </c>
      <c r="Y112" s="91">
        <f t="shared" si="99"/>
        <v>44292.569230788613</v>
      </c>
      <c r="Z112" s="91">
        <f t="shared" si="100"/>
        <v>6539.4307692113825</v>
      </c>
      <c r="AA112" s="59">
        <f t="shared" si="101"/>
        <v>50831.999999999993</v>
      </c>
      <c r="AB112" s="32"/>
      <c r="AC112" s="32"/>
      <c r="AD112" s="32"/>
      <c r="AE112" s="32"/>
      <c r="AF112" s="32"/>
      <c r="AG112" s="33"/>
      <c r="AH112" s="32"/>
      <c r="AI112" s="32"/>
    </row>
    <row r="113" spans="1:35" ht="13.5" customHeight="1">
      <c r="A113" s="187">
        <v>66</v>
      </c>
      <c r="B113" s="50">
        <v>43282</v>
      </c>
      <c r="C113" s="61">
        <f>VLOOKUP(B113,'base(indices)'!$A$4:$C$183,3,FALSE)*1.25</f>
        <v>1192.5</v>
      </c>
      <c r="D113" s="343">
        <f>'base(indices)'!G106</f>
        <v>1.2042226199999999</v>
      </c>
      <c r="E113" s="62">
        <f t="shared" si="83"/>
        <v>1436.03547435</v>
      </c>
      <c r="F113" s="307">
        <f>'base(indices)'!$I$147</f>
        <v>0.29920000000000002</v>
      </c>
      <c r="G113" s="63">
        <f t="shared" si="84"/>
        <v>429.66181392551999</v>
      </c>
      <c r="H113" s="268">
        <f t="shared" si="85"/>
        <v>1865.6972882755199</v>
      </c>
      <c r="I113" s="360">
        <f t="shared" si="81"/>
        <v>134824.13888874531</v>
      </c>
      <c r="J113" s="45">
        <f>IF((I113-H$117+(H$117/12*6))+K113-(H113/2)&gt;$I$197,$I$197-K113,(I113-H$117+(H$117/12*6)-(H113/2)))</f>
        <v>73820.948717981024</v>
      </c>
      <c r="K113" s="108">
        <f t="shared" si="82"/>
        <v>10899.051282018971</v>
      </c>
      <c r="L113" s="108">
        <f t="shared" si="86"/>
        <v>84720</v>
      </c>
      <c r="M113" s="108">
        <f t="shared" si="87"/>
        <v>70129.901282081963</v>
      </c>
      <c r="N113" s="108">
        <f t="shared" si="88"/>
        <v>10354.098717918021</v>
      </c>
      <c r="O113" s="108">
        <f t="shared" si="89"/>
        <v>80483.999999999985</v>
      </c>
      <c r="P113" s="93">
        <f t="shared" si="102"/>
        <v>66438.85384618293</v>
      </c>
      <c r="Q113" s="108">
        <f t="shared" si="91"/>
        <v>9809.1461538170734</v>
      </c>
      <c r="R113" s="108">
        <f t="shared" si="103"/>
        <v>76248</v>
      </c>
      <c r="S113" s="108">
        <f t="shared" si="93"/>
        <v>59056.758974384822</v>
      </c>
      <c r="T113" s="108">
        <f t="shared" si="94"/>
        <v>8719.2410256151761</v>
      </c>
      <c r="U113" s="108">
        <f t="shared" si="95"/>
        <v>67776</v>
      </c>
      <c r="V113" s="108">
        <f t="shared" si="96"/>
        <v>51674.664102586714</v>
      </c>
      <c r="W113" s="108">
        <f t="shared" si="97"/>
        <v>7629.3358974132789</v>
      </c>
      <c r="X113" s="108">
        <f t="shared" si="98"/>
        <v>59303.999999999993</v>
      </c>
      <c r="Y113" s="108">
        <f t="shared" si="99"/>
        <v>44292.569230788613</v>
      </c>
      <c r="Z113" s="108">
        <f t="shared" si="100"/>
        <v>6539.4307692113825</v>
      </c>
      <c r="AA113" s="46">
        <f t="shared" si="101"/>
        <v>50831.999999999993</v>
      </c>
      <c r="AB113" s="16"/>
      <c r="AC113" s="16"/>
      <c r="AD113" s="16"/>
      <c r="AE113" s="16"/>
      <c r="AF113" s="16"/>
      <c r="AG113" s="17"/>
      <c r="AH113" s="16"/>
      <c r="AI113" s="16"/>
    </row>
    <row r="114" spans="1:35" s="26" customFormat="1" ht="13.5" customHeight="1">
      <c r="A114" s="187">
        <v>65</v>
      </c>
      <c r="B114" s="50">
        <v>43313</v>
      </c>
      <c r="C114" s="61">
        <f>VLOOKUP(B114,'base(indices)'!$A$4:$C$183,3,FALSE)*1.25</f>
        <v>1192.5</v>
      </c>
      <c r="D114" s="343">
        <f>'base(indices)'!G107</f>
        <v>1.19656461</v>
      </c>
      <c r="E114" s="52">
        <f t="shared" si="83"/>
        <v>1426.9032974250001</v>
      </c>
      <c r="F114" s="307">
        <f>'base(indices)'!$I$147</f>
        <v>0.29920000000000002</v>
      </c>
      <c r="G114" s="54">
        <f t="shared" si="84"/>
        <v>426.92946658956009</v>
      </c>
      <c r="H114" s="267">
        <f t="shared" si="85"/>
        <v>1853.8327640145603</v>
      </c>
      <c r="I114" s="384">
        <f t="shared" si="81"/>
        <v>132958.44160046979</v>
      </c>
      <c r="J114" s="58">
        <f>IF((I114-H$117+(H$117/12*5))+K114-(H114/2)&gt;$I$197,$I$197-K114,(I114-H$117+(H$117/12*5)-(H114/2)))</f>
        <v>73820.948717981024</v>
      </c>
      <c r="K114" s="91">
        <f t="shared" si="82"/>
        <v>10899.051282018971</v>
      </c>
      <c r="L114" s="92">
        <f t="shared" si="86"/>
        <v>84720</v>
      </c>
      <c r="M114" s="91">
        <f t="shared" si="87"/>
        <v>70129.901282081963</v>
      </c>
      <c r="N114" s="91">
        <f t="shared" si="88"/>
        <v>10354.098717918021</v>
      </c>
      <c r="O114" s="91">
        <f t="shared" si="89"/>
        <v>80483.999999999985</v>
      </c>
      <c r="P114" s="91">
        <f t="shared" si="102"/>
        <v>66438.85384618293</v>
      </c>
      <c r="Q114" s="91">
        <f t="shared" si="91"/>
        <v>9809.1461538170734</v>
      </c>
      <c r="R114" s="91">
        <f t="shared" si="103"/>
        <v>76248</v>
      </c>
      <c r="S114" s="91">
        <f t="shared" si="93"/>
        <v>59056.758974384822</v>
      </c>
      <c r="T114" s="91">
        <f t="shared" si="94"/>
        <v>8719.2410256151761</v>
      </c>
      <c r="U114" s="91">
        <f t="shared" si="95"/>
        <v>67776</v>
      </c>
      <c r="V114" s="91">
        <f t="shared" si="96"/>
        <v>51674.664102586714</v>
      </c>
      <c r="W114" s="91">
        <f t="shared" si="97"/>
        <v>7629.3358974132789</v>
      </c>
      <c r="X114" s="91">
        <f t="shared" si="98"/>
        <v>59303.999999999993</v>
      </c>
      <c r="Y114" s="91">
        <f t="shared" si="99"/>
        <v>44292.569230788613</v>
      </c>
      <c r="Z114" s="91">
        <f t="shared" si="100"/>
        <v>6539.4307692113825</v>
      </c>
      <c r="AA114" s="59">
        <f t="shared" si="101"/>
        <v>50831.999999999993</v>
      </c>
      <c r="AB114" s="32"/>
      <c r="AC114" s="32"/>
      <c r="AD114" s="32"/>
      <c r="AE114" s="32"/>
      <c r="AF114" s="32"/>
      <c r="AG114" s="33"/>
      <c r="AH114" s="32"/>
      <c r="AI114" s="32"/>
    </row>
    <row r="115" spans="1:35" ht="13.5" customHeight="1">
      <c r="A115" s="187">
        <v>64</v>
      </c>
      <c r="B115" s="50">
        <v>43344</v>
      </c>
      <c r="C115" s="61">
        <f>VLOOKUP(B115,'base(indices)'!$A$4:$C$183,3,FALSE)*1.25</f>
        <v>1192.5</v>
      </c>
      <c r="D115" s="343">
        <f>'base(indices)'!G108</f>
        <v>1.1950111000000001</v>
      </c>
      <c r="E115" s="62">
        <f t="shared" si="83"/>
        <v>1425.0507367500002</v>
      </c>
      <c r="F115" s="307">
        <f>'base(indices)'!$I$147</f>
        <v>0.29920000000000002</v>
      </c>
      <c r="G115" s="63">
        <f t="shared" si="84"/>
        <v>426.3751804356001</v>
      </c>
      <c r="H115" s="268">
        <f t="shared" si="85"/>
        <v>1851.4259171856002</v>
      </c>
      <c r="I115" s="360">
        <f t="shared" si="81"/>
        <v>131104.60883645521</v>
      </c>
      <c r="J115" s="45">
        <f>IF((I115-H$117+(H$117/12*4))+K115-(H115/2)&gt;$I$197,$I$197-K115,(I115-H$117+(H$117/12*4)-(H115/2)))</f>
        <v>73820.948717981024</v>
      </c>
      <c r="K115" s="108">
        <f t="shared" si="82"/>
        <v>10899.051282018971</v>
      </c>
      <c r="L115" s="108">
        <f t="shared" si="86"/>
        <v>84720</v>
      </c>
      <c r="M115" s="108">
        <f t="shared" si="87"/>
        <v>70129.901282081963</v>
      </c>
      <c r="N115" s="108">
        <f t="shared" si="88"/>
        <v>10354.098717918021</v>
      </c>
      <c r="O115" s="108">
        <f t="shared" si="89"/>
        <v>80483.999999999985</v>
      </c>
      <c r="P115" s="93">
        <f t="shared" si="102"/>
        <v>66438.85384618293</v>
      </c>
      <c r="Q115" s="108">
        <f t="shared" si="91"/>
        <v>9809.1461538170734</v>
      </c>
      <c r="R115" s="108">
        <f t="shared" si="103"/>
        <v>76248</v>
      </c>
      <c r="S115" s="108">
        <f t="shared" si="93"/>
        <v>59056.758974384822</v>
      </c>
      <c r="T115" s="108">
        <f t="shared" si="94"/>
        <v>8719.2410256151761</v>
      </c>
      <c r="U115" s="108">
        <f t="shared" si="95"/>
        <v>67776</v>
      </c>
      <c r="V115" s="108">
        <f t="shared" si="96"/>
        <v>51674.664102586714</v>
      </c>
      <c r="W115" s="108">
        <f t="shared" si="97"/>
        <v>7629.3358974132789</v>
      </c>
      <c r="X115" s="108">
        <f t="shared" si="98"/>
        <v>59303.999999999993</v>
      </c>
      <c r="Y115" s="108">
        <f t="shared" si="99"/>
        <v>44292.569230788613</v>
      </c>
      <c r="Z115" s="108">
        <f t="shared" si="100"/>
        <v>6539.4307692113825</v>
      </c>
      <c r="AA115" s="46">
        <f t="shared" si="101"/>
        <v>50831.999999999993</v>
      </c>
      <c r="AB115" s="16"/>
      <c r="AC115" s="16"/>
      <c r="AD115" s="16"/>
      <c r="AE115" s="16"/>
      <c r="AF115" s="16"/>
      <c r="AG115" s="17"/>
      <c r="AH115" s="16"/>
      <c r="AI115" s="16"/>
    </row>
    <row r="116" spans="1:35" s="26" customFormat="1" ht="13.5" customHeight="1">
      <c r="A116" s="187">
        <v>63</v>
      </c>
      <c r="B116" s="50">
        <v>43374</v>
      </c>
      <c r="C116" s="61">
        <f>VLOOKUP(B116,'base(indices)'!$A$4:$C$183,3,FALSE)*1.25</f>
        <v>1192.5</v>
      </c>
      <c r="D116" s="343">
        <f>'base(indices)'!G109</f>
        <v>1.1939365500000001</v>
      </c>
      <c r="E116" s="52">
        <f t="shared" si="83"/>
        <v>1423.769335875</v>
      </c>
      <c r="F116" s="307">
        <f>'base(indices)'!$I$147</f>
        <v>0.29920000000000002</v>
      </c>
      <c r="G116" s="54">
        <f t="shared" si="84"/>
        <v>425.99178529380004</v>
      </c>
      <c r="H116" s="267">
        <f t="shared" si="85"/>
        <v>1849.7611211687999</v>
      </c>
      <c r="I116" s="384">
        <f t="shared" si="81"/>
        <v>129253.18291926962</v>
      </c>
      <c r="J116" s="58">
        <f>IF((I116-H$117+(H$117/12*3))+K116-(H116/2)&gt;$I$197,$I$197-K116,(I116-H$117+(H$117/12*3)-(H116/2)))</f>
        <v>73820.948717981024</v>
      </c>
      <c r="K116" s="91">
        <f t="shared" si="82"/>
        <v>10899.051282018971</v>
      </c>
      <c r="L116" s="92">
        <f t="shared" si="86"/>
        <v>84720</v>
      </c>
      <c r="M116" s="91">
        <f t="shared" si="87"/>
        <v>70129.901282081963</v>
      </c>
      <c r="N116" s="91">
        <f t="shared" si="88"/>
        <v>10354.098717918021</v>
      </c>
      <c r="O116" s="91">
        <f t="shared" si="89"/>
        <v>80483.999999999985</v>
      </c>
      <c r="P116" s="91">
        <f t="shared" si="102"/>
        <v>66438.85384618293</v>
      </c>
      <c r="Q116" s="91">
        <f t="shared" si="91"/>
        <v>9809.1461538170734</v>
      </c>
      <c r="R116" s="91">
        <f t="shared" si="103"/>
        <v>76248</v>
      </c>
      <c r="S116" s="91">
        <f t="shared" si="93"/>
        <v>59056.758974384822</v>
      </c>
      <c r="T116" s="91">
        <f t="shared" si="94"/>
        <v>8719.2410256151761</v>
      </c>
      <c r="U116" s="91">
        <f t="shared" si="95"/>
        <v>67776</v>
      </c>
      <c r="V116" s="91">
        <f t="shared" si="96"/>
        <v>51674.664102586714</v>
      </c>
      <c r="W116" s="91">
        <f t="shared" si="97"/>
        <v>7629.3358974132789</v>
      </c>
      <c r="X116" s="91">
        <f t="shared" si="98"/>
        <v>59303.999999999993</v>
      </c>
      <c r="Y116" s="91">
        <f t="shared" si="99"/>
        <v>44292.569230788613</v>
      </c>
      <c r="Z116" s="91">
        <f t="shared" si="100"/>
        <v>6539.4307692113825</v>
      </c>
      <c r="AA116" s="59">
        <f t="shared" si="101"/>
        <v>50831.999999999993</v>
      </c>
      <c r="AB116" s="32"/>
      <c r="AC116" s="32"/>
      <c r="AD116" s="32"/>
      <c r="AE116" s="32"/>
      <c r="AF116" s="32"/>
      <c r="AG116" s="33"/>
      <c r="AH116" s="32"/>
      <c r="AI116" s="32"/>
    </row>
    <row r="117" spans="1:35" ht="13.5" customHeight="1">
      <c r="A117" s="187">
        <v>62</v>
      </c>
      <c r="B117" s="50">
        <v>43405</v>
      </c>
      <c r="C117" s="61">
        <f>VLOOKUP(B117,'base(indices)'!$A$4:$C$183,3,FALSE)*1.25</f>
        <v>1192.5</v>
      </c>
      <c r="D117" s="343">
        <f>'base(indices)'!G110</f>
        <v>1.1870516499999999</v>
      </c>
      <c r="E117" s="62">
        <f t="shared" si="83"/>
        <v>1415.5590926249999</v>
      </c>
      <c r="F117" s="307">
        <f>'base(indices)'!$I$147</f>
        <v>0.29920000000000002</v>
      </c>
      <c r="G117" s="63">
        <f t="shared" si="84"/>
        <v>423.53528051340004</v>
      </c>
      <c r="H117" s="268">
        <f t="shared" si="85"/>
        <v>1839.0943731384</v>
      </c>
      <c r="I117" s="360">
        <f t="shared" si="81"/>
        <v>127403.42179810081</v>
      </c>
      <c r="J117" s="45">
        <f>IF((I117-H$117+(H$117/12*2))+K117-(H117/2)&gt;$I$197,$I$197-K117,(I117-H$117+(H$117/12*2)-(H117/2)))</f>
        <v>73820.948717981024</v>
      </c>
      <c r="K117" s="108">
        <f t="shared" si="82"/>
        <v>10899.051282018971</v>
      </c>
      <c r="L117" s="108">
        <f t="shared" si="86"/>
        <v>84720</v>
      </c>
      <c r="M117" s="108">
        <f t="shared" si="87"/>
        <v>70129.901282081963</v>
      </c>
      <c r="N117" s="108">
        <f t="shared" si="88"/>
        <v>10354.098717918021</v>
      </c>
      <c r="O117" s="108">
        <f t="shared" si="89"/>
        <v>80483.999999999985</v>
      </c>
      <c r="P117" s="93">
        <f t="shared" si="102"/>
        <v>66438.85384618293</v>
      </c>
      <c r="Q117" s="108">
        <f t="shared" si="91"/>
        <v>9809.1461538170734</v>
      </c>
      <c r="R117" s="108">
        <f t="shared" si="103"/>
        <v>76248</v>
      </c>
      <c r="S117" s="108">
        <f t="shared" si="93"/>
        <v>59056.758974384822</v>
      </c>
      <c r="T117" s="108">
        <f t="shared" si="94"/>
        <v>8719.2410256151761</v>
      </c>
      <c r="U117" s="108">
        <f t="shared" si="95"/>
        <v>67776</v>
      </c>
      <c r="V117" s="108">
        <f t="shared" si="96"/>
        <v>51674.664102586714</v>
      </c>
      <c r="W117" s="108">
        <f t="shared" si="97"/>
        <v>7629.3358974132789</v>
      </c>
      <c r="X117" s="108">
        <f t="shared" si="98"/>
        <v>59303.999999999993</v>
      </c>
      <c r="Y117" s="108">
        <f t="shared" si="99"/>
        <v>44292.569230788613</v>
      </c>
      <c r="Z117" s="108">
        <f t="shared" si="100"/>
        <v>6539.4307692113825</v>
      </c>
      <c r="AA117" s="46">
        <f t="shared" si="101"/>
        <v>50831.999999999993</v>
      </c>
      <c r="AB117" s="16"/>
      <c r="AC117" s="16"/>
      <c r="AD117" s="16"/>
      <c r="AE117" s="16"/>
      <c r="AF117" s="16"/>
      <c r="AG117" s="17"/>
      <c r="AH117" s="16"/>
      <c r="AI117" s="16"/>
    </row>
    <row r="118" spans="1:35" s="26" customFormat="1" ht="13.5" customHeight="1" thickBot="1">
      <c r="A118" s="305">
        <v>61</v>
      </c>
      <c r="B118" s="68">
        <v>43435</v>
      </c>
      <c r="C118" s="69">
        <f>C117*2</f>
        <v>2385</v>
      </c>
      <c r="D118" s="335">
        <f>'base(indices)'!G111</f>
        <v>1.18480053</v>
      </c>
      <c r="E118" s="219">
        <f t="shared" si="83"/>
        <v>2825.74926405</v>
      </c>
      <c r="F118" s="304">
        <f>'base(indices)'!$I$147</f>
        <v>0.29920000000000002</v>
      </c>
      <c r="G118" s="163">
        <f t="shared" si="84"/>
        <v>845.46417980376009</v>
      </c>
      <c r="H118" s="355">
        <f t="shared" si="85"/>
        <v>3671.2134438537601</v>
      </c>
      <c r="I118" s="361">
        <f t="shared" si="81"/>
        <v>125564.32742496241</v>
      </c>
      <c r="J118" s="175">
        <f>IF((I118-H$117+(H$117/12*1))+K118-(H118/4)&gt;$I$197,$I$197-K118,(I118-H$117+(H$117/12*1)-(H118/4)))</f>
        <v>73820.948717981024</v>
      </c>
      <c r="K118" s="202">
        <f t="shared" si="82"/>
        <v>10899.051282018971</v>
      </c>
      <c r="L118" s="250">
        <f t="shared" si="86"/>
        <v>84720</v>
      </c>
      <c r="M118" s="202">
        <f t="shared" si="87"/>
        <v>70129.901282081963</v>
      </c>
      <c r="N118" s="202">
        <f t="shared" si="88"/>
        <v>10354.098717918021</v>
      </c>
      <c r="O118" s="202">
        <f t="shared" si="89"/>
        <v>80483.999999999985</v>
      </c>
      <c r="P118" s="202">
        <f t="shared" si="102"/>
        <v>66438.85384618293</v>
      </c>
      <c r="Q118" s="202">
        <f t="shared" si="91"/>
        <v>9809.1461538170734</v>
      </c>
      <c r="R118" s="202">
        <f t="shared" si="103"/>
        <v>76248</v>
      </c>
      <c r="S118" s="202">
        <f t="shared" si="93"/>
        <v>59056.758974384822</v>
      </c>
      <c r="T118" s="202">
        <f t="shared" si="94"/>
        <v>8719.2410256151761</v>
      </c>
      <c r="U118" s="202">
        <f t="shared" si="95"/>
        <v>67776</v>
      </c>
      <c r="V118" s="202">
        <f t="shared" si="96"/>
        <v>51674.664102586714</v>
      </c>
      <c r="W118" s="202">
        <f t="shared" si="97"/>
        <v>7629.3358974132789</v>
      </c>
      <c r="X118" s="202">
        <f t="shared" si="98"/>
        <v>59303.999999999993</v>
      </c>
      <c r="Y118" s="202">
        <f t="shared" si="99"/>
        <v>44292.569230788613</v>
      </c>
      <c r="Z118" s="202">
        <f t="shared" si="100"/>
        <v>6539.4307692113825</v>
      </c>
      <c r="AA118" s="203">
        <f t="shared" si="101"/>
        <v>50831.999999999993</v>
      </c>
      <c r="AB118" s="32"/>
      <c r="AC118" s="32"/>
      <c r="AD118" s="32"/>
      <c r="AE118" s="32"/>
      <c r="AF118" s="32"/>
      <c r="AG118" s="33"/>
      <c r="AH118" s="32"/>
      <c r="AI118" s="32"/>
    </row>
    <row r="119" spans="1:35" ht="13.5" customHeight="1">
      <c r="A119" s="190">
        <v>60</v>
      </c>
      <c r="B119" s="246">
        <v>43466</v>
      </c>
      <c r="C119" s="273">
        <f>VLOOKUP(B119,'base(indices)'!$A$4:$C$183,3,FALSE)*1.25</f>
        <v>1247.5</v>
      </c>
      <c r="D119" s="306">
        <f>'base(indices)'!G112</f>
        <v>1.18669925</v>
      </c>
      <c r="E119" s="206">
        <f t="shared" si="83"/>
        <v>1480.4073143749999</v>
      </c>
      <c r="F119" s="264">
        <f>'base(indices)'!$I$147</f>
        <v>0.29920000000000002</v>
      </c>
      <c r="G119" s="154">
        <f t="shared" si="84"/>
        <v>442.93786846099999</v>
      </c>
      <c r="H119" s="362">
        <f t="shared" si="85"/>
        <v>1923.3451828359998</v>
      </c>
      <c r="I119" s="401">
        <f t="shared" si="81"/>
        <v>121893.11398110865</v>
      </c>
      <c r="J119" s="288">
        <f>IF((I119-H$129+(H$129))+K119-(H119/2)&gt;$I$197,$I$197-K119,(I119-H$129+(H$129)-(H119/2)))</f>
        <v>73820.948717981024</v>
      </c>
      <c r="K119" s="109">
        <f t="shared" si="82"/>
        <v>10899.051282018971</v>
      </c>
      <c r="L119" s="109">
        <f t="shared" si="86"/>
        <v>84720</v>
      </c>
      <c r="M119" s="109">
        <f t="shared" si="87"/>
        <v>70129.901282081963</v>
      </c>
      <c r="N119" s="109">
        <f t="shared" si="88"/>
        <v>10354.098717918021</v>
      </c>
      <c r="O119" s="109">
        <f t="shared" si="89"/>
        <v>80483.999999999985</v>
      </c>
      <c r="P119" s="90">
        <f t="shared" si="102"/>
        <v>66438.85384618293</v>
      </c>
      <c r="Q119" s="109">
        <f t="shared" si="91"/>
        <v>9809.1461538170734</v>
      </c>
      <c r="R119" s="109">
        <f t="shared" si="103"/>
        <v>76248</v>
      </c>
      <c r="S119" s="109">
        <f t="shared" si="93"/>
        <v>59056.758974384822</v>
      </c>
      <c r="T119" s="109">
        <f t="shared" si="94"/>
        <v>8719.2410256151761</v>
      </c>
      <c r="U119" s="109">
        <f t="shared" si="95"/>
        <v>67776</v>
      </c>
      <c r="V119" s="109">
        <f t="shared" si="96"/>
        <v>51674.664102586714</v>
      </c>
      <c r="W119" s="109">
        <f t="shared" si="97"/>
        <v>7629.3358974132789</v>
      </c>
      <c r="X119" s="109">
        <f t="shared" si="98"/>
        <v>59303.999999999993</v>
      </c>
      <c r="Y119" s="109">
        <f t="shared" si="99"/>
        <v>44292.569230788613</v>
      </c>
      <c r="Z119" s="109">
        <f t="shared" si="100"/>
        <v>6539.4307692113825</v>
      </c>
      <c r="AA119" s="49">
        <f t="shared" si="101"/>
        <v>50831.999999999993</v>
      </c>
      <c r="AB119" s="16"/>
      <c r="AC119" s="16"/>
      <c r="AD119" s="16"/>
      <c r="AE119" s="16"/>
      <c r="AF119" s="16"/>
      <c r="AG119" s="17"/>
      <c r="AH119" s="16"/>
      <c r="AI119" s="16"/>
    </row>
    <row r="120" spans="1:35" s="26" customFormat="1" ht="13.5" customHeight="1">
      <c r="A120" s="187">
        <v>59</v>
      </c>
      <c r="B120" s="50">
        <v>43497</v>
      </c>
      <c r="C120" s="61">
        <f>VLOOKUP(B120,'base(indices)'!$A$4:$C$183,3,FALSE)*1.25</f>
        <v>1247.5</v>
      </c>
      <c r="D120" s="343">
        <f>'base(indices)'!G113</f>
        <v>1.1831498</v>
      </c>
      <c r="E120" s="52">
        <f t="shared" si="83"/>
        <v>1475.9793755000001</v>
      </c>
      <c r="F120" s="307">
        <f>'base(indices)'!$I$147</f>
        <v>0.29920000000000002</v>
      </c>
      <c r="G120" s="54">
        <f t="shared" si="84"/>
        <v>441.61302914960004</v>
      </c>
      <c r="H120" s="267">
        <f t="shared" si="85"/>
        <v>1917.5924046496002</v>
      </c>
      <c r="I120" s="384">
        <f t="shared" si="81"/>
        <v>119969.76879827265</v>
      </c>
      <c r="J120" s="58">
        <f>IF((I120-H$129+(H$129/12*11))+K120-(H120/2)&gt;$I$197,$I$197-K120,(I120-H$129+(H$129/12*11)-(H120/2)))</f>
        <v>73820.948717981024</v>
      </c>
      <c r="K120" s="91">
        <f t="shared" si="82"/>
        <v>10899.051282018971</v>
      </c>
      <c r="L120" s="92">
        <f t="shared" si="86"/>
        <v>84720</v>
      </c>
      <c r="M120" s="91">
        <f t="shared" si="87"/>
        <v>70129.901282081963</v>
      </c>
      <c r="N120" s="91">
        <f t="shared" si="88"/>
        <v>10354.098717918021</v>
      </c>
      <c r="O120" s="91">
        <f t="shared" si="89"/>
        <v>80483.999999999985</v>
      </c>
      <c r="P120" s="91">
        <f>J120*$P$9</f>
        <v>66438.85384618293</v>
      </c>
      <c r="Q120" s="91">
        <f t="shared" si="91"/>
        <v>9809.1461538170734</v>
      </c>
      <c r="R120" s="91">
        <f t="shared" si="103"/>
        <v>76248</v>
      </c>
      <c r="S120" s="91">
        <f t="shared" si="93"/>
        <v>59056.758974384822</v>
      </c>
      <c r="T120" s="91">
        <f t="shared" si="94"/>
        <v>8719.2410256151761</v>
      </c>
      <c r="U120" s="91">
        <f t="shared" si="95"/>
        <v>67776</v>
      </c>
      <c r="V120" s="91">
        <f t="shared" si="96"/>
        <v>51674.664102586714</v>
      </c>
      <c r="W120" s="91">
        <f t="shared" si="97"/>
        <v>7629.3358974132789</v>
      </c>
      <c r="X120" s="91">
        <f t="shared" si="98"/>
        <v>59303.999999999993</v>
      </c>
      <c r="Y120" s="91">
        <f t="shared" si="99"/>
        <v>44292.569230788613</v>
      </c>
      <c r="Z120" s="91">
        <f t="shared" si="100"/>
        <v>6539.4307692113825</v>
      </c>
      <c r="AA120" s="59">
        <f t="shared" si="101"/>
        <v>50831.999999999993</v>
      </c>
      <c r="AB120" s="32"/>
      <c r="AC120" s="32"/>
      <c r="AD120" s="32"/>
      <c r="AE120" s="32"/>
      <c r="AF120" s="32"/>
      <c r="AG120" s="33"/>
      <c r="AH120" s="32"/>
      <c r="AI120" s="32"/>
    </row>
    <row r="121" spans="1:35" ht="13.5" customHeight="1">
      <c r="A121" s="187">
        <v>58</v>
      </c>
      <c r="B121" s="50">
        <v>43525</v>
      </c>
      <c r="C121" s="61">
        <f>VLOOKUP(B121,'base(indices)'!$A$4:$C$183,3,FALSE)*1.25</f>
        <v>1247.5</v>
      </c>
      <c r="D121" s="343">
        <f>'base(indices)'!G114</f>
        <v>1.1791407199999999</v>
      </c>
      <c r="E121" s="62">
        <f t="shared" si="83"/>
        <v>1470.9780481999999</v>
      </c>
      <c r="F121" s="307">
        <f>'base(indices)'!$I$147</f>
        <v>0.29920000000000002</v>
      </c>
      <c r="G121" s="63">
        <f t="shared" si="84"/>
        <v>440.11663202144001</v>
      </c>
      <c r="H121" s="268">
        <f t="shared" si="85"/>
        <v>1911.0946802214398</v>
      </c>
      <c r="I121" s="360">
        <f t="shared" si="81"/>
        <v>118052.17639362306</v>
      </c>
      <c r="J121" s="45">
        <f>IF((I121-H$129+(H$129/12*10))+K121-(H121/2)&gt;$I$197,$I$197-K121,(I121-H$129+(H$129/12*10)-(H121/2)))</f>
        <v>73820.948717981024</v>
      </c>
      <c r="K121" s="108">
        <f t="shared" si="82"/>
        <v>10899.051282018971</v>
      </c>
      <c r="L121" s="108">
        <f t="shared" si="86"/>
        <v>84720</v>
      </c>
      <c r="M121" s="108">
        <f t="shared" si="87"/>
        <v>70129.901282081963</v>
      </c>
      <c r="N121" s="108">
        <f t="shared" si="88"/>
        <v>10354.098717918021</v>
      </c>
      <c r="O121" s="108">
        <f t="shared" si="89"/>
        <v>80483.999999999985</v>
      </c>
      <c r="P121" s="93">
        <f>J121*$P$9</f>
        <v>66438.85384618293</v>
      </c>
      <c r="Q121" s="108">
        <f t="shared" si="91"/>
        <v>9809.1461538170734</v>
      </c>
      <c r="R121" s="108">
        <f t="shared" si="103"/>
        <v>76248</v>
      </c>
      <c r="S121" s="108">
        <f t="shared" si="93"/>
        <v>59056.758974384822</v>
      </c>
      <c r="T121" s="108">
        <f t="shared" si="94"/>
        <v>8719.2410256151761</v>
      </c>
      <c r="U121" s="108">
        <f t="shared" si="95"/>
        <v>67776</v>
      </c>
      <c r="V121" s="108">
        <f t="shared" si="96"/>
        <v>51674.664102586714</v>
      </c>
      <c r="W121" s="108">
        <f t="shared" si="97"/>
        <v>7629.3358974132789</v>
      </c>
      <c r="X121" s="108">
        <f t="shared" si="98"/>
        <v>59303.999999999993</v>
      </c>
      <c r="Y121" s="108">
        <f t="shared" si="99"/>
        <v>44292.569230788613</v>
      </c>
      <c r="Z121" s="108">
        <f t="shared" si="100"/>
        <v>6539.4307692113825</v>
      </c>
      <c r="AA121" s="46">
        <f t="shared" si="101"/>
        <v>50831.999999999993</v>
      </c>
      <c r="AB121" s="16"/>
      <c r="AC121" s="16"/>
      <c r="AD121" s="16"/>
      <c r="AE121" s="16"/>
      <c r="AF121" s="16"/>
      <c r="AG121" s="17"/>
      <c r="AH121" s="16"/>
      <c r="AI121" s="16"/>
    </row>
    <row r="122" spans="1:35" s="26" customFormat="1" ht="13.5" customHeight="1">
      <c r="A122" s="187">
        <v>57</v>
      </c>
      <c r="B122" s="50">
        <v>43556</v>
      </c>
      <c r="C122" s="61">
        <f>VLOOKUP(B122,'base(indices)'!$A$4:$C$183,3,FALSE)*1.25</f>
        <v>1247.5</v>
      </c>
      <c r="D122" s="343">
        <f>'base(indices)'!G115</f>
        <v>1.1728075600000001</v>
      </c>
      <c r="E122" s="52">
        <f t="shared" si="83"/>
        <v>1463.0774311</v>
      </c>
      <c r="F122" s="307">
        <f>'base(indices)'!$I$147</f>
        <v>0.29920000000000002</v>
      </c>
      <c r="G122" s="54">
        <f t="shared" si="84"/>
        <v>437.75276738512002</v>
      </c>
      <c r="H122" s="267">
        <f t="shared" si="85"/>
        <v>1900.83019848512</v>
      </c>
      <c r="I122" s="384">
        <f t="shared" si="81"/>
        <v>116141.08171340161</v>
      </c>
      <c r="J122" s="58">
        <f>IF((I122-H$129+(H$129/12*9))+K122-(H122/2)&gt;$I$197,$I$197-K122,(I122-H$129+(H$129/12*9)-(H122/2)))</f>
        <v>73820.948717981024</v>
      </c>
      <c r="K122" s="91">
        <f t="shared" si="82"/>
        <v>10899.051282018971</v>
      </c>
      <c r="L122" s="92">
        <f t="shared" si="86"/>
        <v>84720</v>
      </c>
      <c r="M122" s="91">
        <f t="shared" si="87"/>
        <v>70129.901282081963</v>
      </c>
      <c r="N122" s="91">
        <f t="shared" si="88"/>
        <v>10354.098717918021</v>
      </c>
      <c r="O122" s="91">
        <f t="shared" si="89"/>
        <v>80483.999999999985</v>
      </c>
      <c r="P122" s="91">
        <f t="shared" ref="P122:P178" si="104">J122*$P$9</f>
        <v>66438.85384618293</v>
      </c>
      <c r="Q122" s="91">
        <f t="shared" si="91"/>
        <v>9809.1461538170734</v>
      </c>
      <c r="R122" s="91">
        <f>P122+Q122</f>
        <v>76248</v>
      </c>
      <c r="S122" s="91">
        <f t="shared" si="93"/>
        <v>59056.758974384822</v>
      </c>
      <c r="T122" s="91">
        <f t="shared" si="94"/>
        <v>8719.2410256151761</v>
      </c>
      <c r="U122" s="91">
        <f t="shared" si="95"/>
        <v>67776</v>
      </c>
      <c r="V122" s="91">
        <f t="shared" si="96"/>
        <v>51674.664102586714</v>
      </c>
      <c r="W122" s="91">
        <f t="shared" si="97"/>
        <v>7629.3358974132789</v>
      </c>
      <c r="X122" s="91">
        <f t="shared" si="98"/>
        <v>59303.999999999993</v>
      </c>
      <c r="Y122" s="91">
        <f t="shared" si="99"/>
        <v>44292.569230788613</v>
      </c>
      <c r="Z122" s="91">
        <f t="shared" si="100"/>
        <v>6539.4307692113825</v>
      </c>
      <c r="AA122" s="59">
        <f t="shared" si="101"/>
        <v>50831.999999999993</v>
      </c>
      <c r="AB122" s="32"/>
      <c r="AC122" s="32"/>
      <c r="AD122" s="32"/>
      <c r="AE122" s="32"/>
      <c r="AF122" s="32"/>
      <c r="AG122" s="33"/>
      <c r="AH122" s="32"/>
      <c r="AI122" s="32"/>
    </row>
    <row r="123" spans="1:35" ht="13.5" customHeight="1">
      <c r="A123" s="187">
        <v>56</v>
      </c>
      <c r="B123" s="50">
        <v>43586</v>
      </c>
      <c r="C123" s="61">
        <f>VLOOKUP(B123,'base(indices)'!$A$4:$C$183,3,FALSE)*1.25</f>
        <v>1247.5</v>
      </c>
      <c r="D123" s="343">
        <f>'base(indices)'!G116</f>
        <v>1.1644237099999999</v>
      </c>
      <c r="E123" s="62">
        <f t="shared" si="83"/>
        <v>1452.618578225</v>
      </c>
      <c r="F123" s="307">
        <f>'base(indices)'!$I$147</f>
        <v>0.29920000000000002</v>
      </c>
      <c r="G123" s="63">
        <f t="shared" si="84"/>
        <v>434.62347860492002</v>
      </c>
      <c r="H123" s="268">
        <f t="shared" si="85"/>
        <v>1887.2420568299199</v>
      </c>
      <c r="I123" s="360">
        <f t="shared" si="81"/>
        <v>114240.2515149165</v>
      </c>
      <c r="J123" s="45">
        <f>IF((I123-H$129+(H$129/12*8))+K123-(H123/2)&gt;$I$197,$I$197-K123,(I123-H$129+(H$129/12*8)-(H123/2)))</f>
        <v>73820.948717981024</v>
      </c>
      <c r="K123" s="108">
        <f t="shared" si="82"/>
        <v>10899.051282018971</v>
      </c>
      <c r="L123" s="108">
        <f t="shared" si="86"/>
        <v>84720</v>
      </c>
      <c r="M123" s="108">
        <f t="shared" si="87"/>
        <v>70129.901282081963</v>
      </c>
      <c r="N123" s="108">
        <f t="shared" si="88"/>
        <v>10354.098717918021</v>
      </c>
      <c r="O123" s="108">
        <f t="shared" si="89"/>
        <v>80483.999999999985</v>
      </c>
      <c r="P123" s="93">
        <f t="shared" si="104"/>
        <v>66438.85384618293</v>
      </c>
      <c r="Q123" s="108">
        <f t="shared" si="91"/>
        <v>9809.1461538170734</v>
      </c>
      <c r="R123" s="108">
        <f t="shared" ref="R123:R178" si="105">P123+Q123</f>
        <v>76248</v>
      </c>
      <c r="S123" s="108">
        <f t="shared" si="93"/>
        <v>59056.758974384822</v>
      </c>
      <c r="T123" s="108">
        <f t="shared" si="94"/>
        <v>8719.2410256151761</v>
      </c>
      <c r="U123" s="108">
        <f t="shared" si="95"/>
        <v>67776</v>
      </c>
      <c r="V123" s="108">
        <f t="shared" si="96"/>
        <v>51674.664102586714</v>
      </c>
      <c r="W123" s="108">
        <f t="shared" si="97"/>
        <v>7629.3358974132789</v>
      </c>
      <c r="X123" s="108">
        <f t="shared" si="98"/>
        <v>59303.999999999993</v>
      </c>
      <c r="Y123" s="108">
        <f t="shared" si="99"/>
        <v>44292.569230788613</v>
      </c>
      <c r="Z123" s="108">
        <f t="shared" si="100"/>
        <v>6539.4307692113825</v>
      </c>
      <c r="AA123" s="46">
        <f t="shared" si="101"/>
        <v>50831.999999999993</v>
      </c>
      <c r="AB123" s="16"/>
      <c r="AC123" s="16"/>
      <c r="AD123" s="16"/>
      <c r="AE123" s="16"/>
      <c r="AF123" s="16"/>
      <c r="AG123" s="17"/>
      <c r="AH123" s="16"/>
      <c r="AI123" s="16"/>
    </row>
    <row r="124" spans="1:35" s="26" customFormat="1" ht="13.5" customHeight="1">
      <c r="A124" s="187">
        <v>55</v>
      </c>
      <c r="B124" s="50">
        <v>43617</v>
      </c>
      <c r="C124" s="61">
        <f>VLOOKUP(B124,'base(indices)'!$A$4:$C$183,3,FALSE)*1.25</f>
        <v>1247.5</v>
      </c>
      <c r="D124" s="343">
        <f>'base(indices)'!G117</f>
        <v>1.1603624400000001</v>
      </c>
      <c r="E124" s="52">
        <f t="shared" si="83"/>
        <v>1447.5521439000001</v>
      </c>
      <c r="F124" s="307">
        <f>'base(indices)'!$I$147</f>
        <v>0.29920000000000002</v>
      </c>
      <c r="G124" s="54">
        <f t="shared" si="84"/>
        <v>433.10760145488007</v>
      </c>
      <c r="H124" s="267">
        <f t="shared" si="85"/>
        <v>1880.6597453548802</v>
      </c>
      <c r="I124" s="384">
        <f t="shared" si="81"/>
        <v>112353.00945808658</v>
      </c>
      <c r="J124" s="58">
        <f>IF((I124-H$129+(H$129/12*7))+K124-(H124/2)&gt;$I$197,$I$197-K124,(I124-H$129+(H$129/12*7)-(H124/2)))</f>
        <v>73820.948717981024</v>
      </c>
      <c r="K124" s="91">
        <f t="shared" si="82"/>
        <v>10899.051282018971</v>
      </c>
      <c r="L124" s="92">
        <f t="shared" si="86"/>
        <v>84720</v>
      </c>
      <c r="M124" s="91">
        <f t="shared" si="87"/>
        <v>70129.901282081963</v>
      </c>
      <c r="N124" s="91">
        <f t="shared" si="88"/>
        <v>10354.098717918021</v>
      </c>
      <c r="O124" s="91">
        <f t="shared" si="89"/>
        <v>80483.999999999985</v>
      </c>
      <c r="P124" s="91">
        <f t="shared" si="104"/>
        <v>66438.85384618293</v>
      </c>
      <c r="Q124" s="91">
        <f t="shared" si="91"/>
        <v>9809.1461538170734</v>
      </c>
      <c r="R124" s="91">
        <f t="shared" si="105"/>
        <v>76248</v>
      </c>
      <c r="S124" s="91">
        <f t="shared" si="93"/>
        <v>59056.758974384822</v>
      </c>
      <c r="T124" s="91">
        <f t="shared" si="94"/>
        <v>8719.2410256151761</v>
      </c>
      <c r="U124" s="91">
        <f t="shared" si="95"/>
        <v>67776</v>
      </c>
      <c r="V124" s="91">
        <f t="shared" si="96"/>
        <v>51674.664102586714</v>
      </c>
      <c r="W124" s="91">
        <f t="shared" si="97"/>
        <v>7629.3358974132789</v>
      </c>
      <c r="X124" s="91">
        <f t="shared" si="98"/>
        <v>59303.999999999993</v>
      </c>
      <c r="Y124" s="91">
        <f t="shared" si="99"/>
        <v>44292.569230788613</v>
      </c>
      <c r="Z124" s="91">
        <f t="shared" si="100"/>
        <v>6539.4307692113825</v>
      </c>
      <c r="AA124" s="59">
        <f t="shared" si="101"/>
        <v>50831.999999999993</v>
      </c>
      <c r="AB124" s="32"/>
      <c r="AC124" s="32"/>
      <c r="AD124" s="32"/>
      <c r="AE124" s="32"/>
      <c r="AF124" s="32"/>
      <c r="AG124" s="33"/>
      <c r="AH124" s="32"/>
      <c r="AI124" s="32"/>
    </row>
    <row r="125" spans="1:35" ht="13.5" customHeight="1">
      <c r="A125" s="187">
        <v>54</v>
      </c>
      <c r="B125" s="50">
        <v>43647</v>
      </c>
      <c r="C125" s="61">
        <f>VLOOKUP(B125,'base(indices)'!$A$4:$C$183,3,FALSE)*1.25</f>
        <v>1247.5</v>
      </c>
      <c r="D125" s="343">
        <f>'base(indices)'!G118</f>
        <v>1.15966664</v>
      </c>
      <c r="E125" s="62">
        <f t="shared" si="83"/>
        <v>1446.6841334000001</v>
      </c>
      <c r="F125" s="307">
        <f>'base(indices)'!$I$147</f>
        <v>0.29920000000000002</v>
      </c>
      <c r="G125" s="63">
        <f t="shared" si="84"/>
        <v>432.84789271328003</v>
      </c>
      <c r="H125" s="268">
        <f t="shared" si="85"/>
        <v>1879.5320261132802</v>
      </c>
      <c r="I125" s="360">
        <f t="shared" si="81"/>
        <v>110472.34971273171</v>
      </c>
      <c r="J125" s="45">
        <f>IF((I125-H$129+(H$129/12*6))+K125-(H125/2)&gt;$I$197,$I$197-K125,(I125-H$129+(H$129/12*6)-(H125/2)))</f>
        <v>73820.948717981024</v>
      </c>
      <c r="K125" s="108">
        <f t="shared" si="82"/>
        <v>10899.051282018971</v>
      </c>
      <c r="L125" s="108">
        <f t="shared" si="86"/>
        <v>84720</v>
      </c>
      <c r="M125" s="108">
        <f t="shared" si="87"/>
        <v>70129.901282081963</v>
      </c>
      <c r="N125" s="108">
        <f t="shared" si="88"/>
        <v>10354.098717918021</v>
      </c>
      <c r="O125" s="108">
        <f t="shared" si="89"/>
        <v>80483.999999999985</v>
      </c>
      <c r="P125" s="93">
        <f t="shared" si="104"/>
        <v>66438.85384618293</v>
      </c>
      <c r="Q125" s="108">
        <f t="shared" si="91"/>
        <v>9809.1461538170734</v>
      </c>
      <c r="R125" s="108">
        <f t="shared" si="105"/>
        <v>76248</v>
      </c>
      <c r="S125" s="108">
        <f t="shared" si="93"/>
        <v>59056.758974384822</v>
      </c>
      <c r="T125" s="108">
        <f t="shared" si="94"/>
        <v>8719.2410256151761</v>
      </c>
      <c r="U125" s="108">
        <f t="shared" si="95"/>
        <v>67776</v>
      </c>
      <c r="V125" s="108">
        <f t="shared" si="96"/>
        <v>51674.664102586714</v>
      </c>
      <c r="W125" s="108">
        <f t="shared" si="97"/>
        <v>7629.3358974132789</v>
      </c>
      <c r="X125" s="108">
        <f t="shared" si="98"/>
        <v>59303.999999999993</v>
      </c>
      <c r="Y125" s="108">
        <f t="shared" si="99"/>
        <v>44292.569230788613</v>
      </c>
      <c r="Z125" s="108">
        <f t="shared" si="100"/>
        <v>6539.4307692113825</v>
      </c>
      <c r="AA125" s="46">
        <f t="shared" si="101"/>
        <v>50831.999999999993</v>
      </c>
      <c r="AB125" s="16"/>
      <c r="AC125" s="16"/>
      <c r="AD125" s="16"/>
      <c r="AE125" s="16"/>
      <c r="AF125" s="16"/>
      <c r="AG125" s="17"/>
      <c r="AH125" s="16"/>
      <c r="AI125" s="16"/>
    </row>
    <row r="126" spans="1:35" s="26" customFormat="1" ht="13.5" customHeight="1">
      <c r="A126" s="187">
        <v>53</v>
      </c>
      <c r="B126" s="50">
        <v>43678</v>
      </c>
      <c r="C126" s="61">
        <f>VLOOKUP(B126,'base(indices)'!$A$4:$C$183,3,FALSE)*1.25</f>
        <v>1247.5</v>
      </c>
      <c r="D126" s="343">
        <f>'base(indices)'!G119</f>
        <v>1.1586238799999999</v>
      </c>
      <c r="E126" s="52">
        <f t="shared" si="83"/>
        <v>1445.3832903</v>
      </c>
      <c r="F126" s="307">
        <f>'base(indices)'!$I$147</f>
        <v>0.29920000000000002</v>
      </c>
      <c r="G126" s="54">
        <f t="shared" si="84"/>
        <v>432.45868045776001</v>
      </c>
      <c r="H126" s="267">
        <f t="shared" si="85"/>
        <v>1877.84197075776</v>
      </c>
      <c r="I126" s="384">
        <f t="shared" si="81"/>
        <v>108592.81768661842</v>
      </c>
      <c r="J126" s="58">
        <f>IF((I126-H$129+(H$129/12*5))+K126-(H126/2)&gt;$I$197,$I$197-K126,(I126-H$129+(H$129/12*5)-(H126/2)))</f>
        <v>73820.948717981024</v>
      </c>
      <c r="K126" s="91">
        <f t="shared" si="82"/>
        <v>10899.051282018971</v>
      </c>
      <c r="L126" s="92">
        <f t="shared" si="86"/>
        <v>84720</v>
      </c>
      <c r="M126" s="91">
        <f t="shared" si="87"/>
        <v>70129.901282081963</v>
      </c>
      <c r="N126" s="91">
        <f t="shared" si="88"/>
        <v>10354.098717918021</v>
      </c>
      <c r="O126" s="91">
        <f t="shared" si="89"/>
        <v>80483.999999999985</v>
      </c>
      <c r="P126" s="91">
        <f t="shared" si="104"/>
        <v>66438.85384618293</v>
      </c>
      <c r="Q126" s="91">
        <f t="shared" si="91"/>
        <v>9809.1461538170734</v>
      </c>
      <c r="R126" s="91">
        <f t="shared" si="105"/>
        <v>76248</v>
      </c>
      <c r="S126" s="91">
        <f t="shared" si="93"/>
        <v>59056.758974384822</v>
      </c>
      <c r="T126" s="91">
        <f t="shared" si="94"/>
        <v>8719.2410256151761</v>
      </c>
      <c r="U126" s="91">
        <f t="shared" si="95"/>
        <v>67776</v>
      </c>
      <c r="V126" s="91">
        <f t="shared" si="96"/>
        <v>51674.664102586714</v>
      </c>
      <c r="W126" s="91">
        <f t="shared" si="97"/>
        <v>7629.3358974132789</v>
      </c>
      <c r="X126" s="91">
        <f t="shared" si="98"/>
        <v>59303.999999999993</v>
      </c>
      <c r="Y126" s="91">
        <f t="shared" si="99"/>
        <v>44292.569230788613</v>
      </c>
      <c r="Z126" s="91">
        <f t="shared" si="100"/>
        <v>6539.4307692113825</v>
      </c>
      <c r="AA126" s="59">
        <f t="shared" si="101"/>
        <v>50831.999999999993</v>
      </c>
      <c r="AB126" s="32"/>
      <c r="AC126" s="32"/>
      <c r="AD126" s="32"/>
      <c r="AE126" s="32"/>
      <c r="AF126" s="32"/>
      <c r="AG126" s="33"/>
      <c r="AH126" s="32"/>
      <c r="AI126" s="32"/>
    </row>
    <row r="127" spans="1:35" ht="13.5" customHeight="1">
      <c r="A127" s="187">
        <v>52</v>
      </c>
      <c r="B127" s="50">
        <v>43709</v>
      </c>
      <c r="C127" s="61">
        <f>VLOOKUP(B127,'base(indices)'!$A$4:$C$183,3,FALSE)*1.25</f>
        <v>1247.5</v>
      </c>
      <c r="D127" s="343">
        <f>'base(indices)'!G120</f>
        <v>1.15769772</v>
      </c>
      <c r="E127" s="62">
        <f t="shared" si="83"/>
        <v>1444.2279057000001</v>
      </c>
      <c r="F127" s="307">
        <f>'base(indices)'!$I$147</f>
        <v>0.29920000000000002</v>
      </c>
      <c r="G127" s="63">
        <f t="shared" si="84"/>
        <v>432.11298938544007</v>
      </c>
      <c r="H127" s="268">
        <f t="shared" si="85"/>
        <v>1876.34089508544</v>
      </c>
      <c r="I127" s="360">
        <f t="shared" si="81"/>
        <v>106714.97571586067</v>
      </c>
      <c r="J127" s="45">
        <f>IF((I127-H$129+(H$129/12*4))+K127-(H127/2)&gt;$I$197,$I$197-K127,(I127-H$129+(H$129/12*4)-(H127/2)))</f>
        <v>73820.948717981024</v>
      </c>
      <c r="K127" s="108">
        <f t="shared" ref="K127:K158" si="106">I$196</f>
        <v>10899.051282018971</v>
      </c>
      <c r="L127" s="108">
        <f t="shared" si="86"/>
        <v>84720</v>
      </c>
      <c r="M127" s="108">
        <f t="shared" si="87"/>
        <v>70129.901282081963</v>
      </c>
      <c r="N127" s="108">
        <f t="shared" si="88"/>
        <v>10354.098717918021</v>
      </c>
      <c r="O127" s="108">
        <f t="shared" si="89"/>
        <v>80483.999999999985</v>
      </c>
      <c r="P127" s="93">
        <f t="shared" si="104"/>
        <v>66438.85384618293</v>
      </c>
      <c r="Q127" s="108">
        <f t="shared" si="91"/>
        <v>9809.1461538170734</v>
      </c>
      <c r="R127" s="108">
        <f t="shared" si="105"/>
        <v>76248</v>
      </c>
      <c r="S127" s="108">
        <f t="shared" si="93"/>
        <v>59056.758974384822</v>
      </c>
      <c r="T127" s="108">
        <f t="shared" si="94"/>
        <v>8719.2410256151761</v>
      </c>
      <c r="U127" s="108">
        <f t="shared" si="95"/>
        <v>67776</v>
      </c>
      <c r="V127" s="108">
        <f t="shared" si="96"/>
        <v>51674.664102586714</v>
      </c>
      <c r="W127" s="108">
        <f t="shared" si="97"/>
        <v>7629.3358974132789</v>
      </c>
      <c r="X127" s="108">
        <f t="shared" si="98"/>
        <v>59303.999999999993</v>
      </c>
      <c r="Y127" s="108">
        <f t="shared" si="99"/>
        <v>44292.569230788613</v>
      </c>
      <c r="Z127" s="108">
        <f t="shared" si="100"/>
        <v>6539.4307692113825</v>
      </c>
      <c r="AA127" s="46">
        <f t="shared" si="101"/>
        <v>50831.999999999993</v>
      </c>
      <c r="AB127" s="16"/>
      <c r="AC127" s="16"/>
      <c r="AD127" s="16"/>
      <c r="AE127" s="16"/>
      <c r="AF127" s="16"/>
      <c r="AG127" s="17"/>
      <c r="AH127" s="16"/>
      <c r="AI127" s="16"/>
    </row>
    <row r="128" spans="1:35" s="26" customFormat="1" ht="13.5" customHeight="1">
      <c r="A128" s="187">
        <v>51</v>
      </c>
      <c r="B128" s="50">
        <v>43739</v>
      </c>
      <c r="C128" s="61">
        <f>VLOOKUP(B128,'base(indices)'!$A$4:$C$183,3,FALSE)*1.25</f>
        <v>1247.5</v>
      </c>
      <c r="D128" s="343">
        <f>'base(indices)'!G121</f>
        <v>1.1566567299999999</v>
      </c>
      <c r="E128" s="52">
        <f t="shared" si="83"/>
        <v>1442.929270675</v>
      </c>
      <c r="F128" s="307">
        <f>'base(indices)'!$I$147</f>
        <v>0.29920000000000002</v>
      </c>
      <c r="G128" s="54">
        <f t="shared" si="84"/>
        <v>431.72443778596005</v>
      </c>
      <c r="H128" s="267">
        <f t="shared" si="85"/>
        <v>1874.6537084609599</v>
      </c>
      <c r="I128" s="384">
        <f t="shared" si="81"/>
        <v>104838.63482077523</v>
      </c>
      <c r="J128" s="58">
        <f>IF((I128-H$129+(H$129/12*3))+K128-(H128/2)&gt;$I$197,$I$197-K128,(I128-H$129+(H$129/12*3)-(H128/2)))</f>
        <v>73820.948717981024</v>
      </c>
      <c r="K128" s="91">
        <f t="shared" si="106"/>
        <v>10899.051282018971</v>
      </c>
      <c r="L128" s="92">
        <f t="shared" si="86"/>
        <v>84720</v>
      </c>
      <c r="M128" s="91">
        <f t="shared" si="87"/>
        <v>70129.901282081963</v>
      </c>
      <c r="N128" s="91">
        <f t="shared" si="88"/>
        <v>10354.098717918021</v>
      </c>
      <c r="O128" s="91">
        <f t="shared" si="89"/>
        <v>80483.999999999985</v>
      </c>
      <c r="P128" s="91">
        <f t="shared" si="104"/>
        <v>66438.85384618293</v>
      </c>
      <c r="Q128" s="91">
        <f t="shared" si="91"/>
        <v>9809.1461538170734</v>
      </c>
      <c r="R128" s="91">
        <f t="shared" si="105"/>
        <v>76248</v>
      </c>
      <c r="S128" s="91">
        <f t="shared" si="93"/>
        <v>59056.758974384822</v>
      </c>
      <c r="T128" s="91">
        <f t="shared" si="94"/>
        <v>8719.2410256151761</v>
      </c>
      <c r="U128" s="91">
        <f t="shared" si="95"/>
        <v>67776</v>
      </c>
      <c r="V128" s="91">
        <f t="shared" si="96"/>
        <v>51674.664102586714</v>
      </c>
      <c r="W128" s="91">
        <f t="shared" si="97"/>
        <v>7629.3358974132789</v>
      </c>
      <c r="X128" s="91">
        <f t="shared" si="98"/>
        <v>59303.999999999993</v>
      </c>
      <c r="Y128" s="91">
        <f t="shared" si="99"/>
        <v>44292.569230788613</v>
      </c>
      <c r="Z128" s="91">
        <f t="shared" si="100"/>
        <v>6539.4307692113825</v>
      </c>
      <c r="AA128" s="59">
        <f t="shared" si="101"/>
        <v>50831.999999999993</v>
      </c>
      <c r="AB128" s="32"/>
      <c r="AC128" s="32"/>
      <c r="AD128" s="32"/>
      <c r="AE128" s="32"/>
      <c r="AF128" s="32"/>
      <c r="AG128" s="33"/>
      <c r="AH128" s="32"/>
      <c r="AI128" s="32"/>
    </row>
    <row r="129" spans="1:35" ht="13.5" customHeight="1">
      <c r="A129" s="187">
        <v>50</v>
      </c>
      <c r="B129" s="50">
        <v>43770</v>
      </c>
      <c r="C129" s="61">
        <f>VLOOKUP(B129,'base(indices)'!$A$4:$C$183,3,FALSE)*1.25</f>
        <v>1247.5</v>
      </c>
      <c r="D129" s="343">
        <f>'base(indices)'!G122</f>
        <v>1.1556166800000001</v>
      </c>
      <c r="E129" s="62">
        <f t="shared" si="83"/>
        <v>1441.6318083000001</v>
      </c>
      <c r="F129" s="307">
        <f>'base(indices)'!$I$147</f>
        <v>0.29920000000000002</v>
      </c>
      <c r="G129" s="63">
        <f t="shared" si="84"/>
        <v>431.33623704336009</v>
      </c>
      <c r="H129" s="268">
        <f t="shared" si="85"/>
        <v>1872.9680453433602</v>
      </c>
      <c r="I129" s="360">
        <f t="shared" si="81"/>
        <v>102963.98111231427</v>
      </c>
      <c r="J129" s="45">
        <f>IF((I129-H$129+(H$129/12*2))+K129-(H129/2)&gt;$I$197,$I$197-K129,(I129-H$129+(H$129/12*2)-(H129/2)))</f>
        <v>73820.948717981024</v>
      </c>
      <c r="K129" s="108">
        <f t="shared" si="106"/>
        <v>10899.051282018971</v>
      </c>
      <c r="L129" s="108">
        <f t="shared" si="86"/>
        <v>84720</v>
      </c>
      <c r="M129" s="108">
        <f t="shared" si="87"/>
        <v>70129.901282081963</v>
      </c>
      <c r="N129" s="108">
        <f t="shared" si="88"/>
        <v>10354.098717918021</v>
      </c>
      <c r="O129" s="108">
        <f t="shared" si="89"/>
        <v>80483.999999999985</v>
      </c>
      <c r="P129" s="93">
        <f t="shared" si="104"/>
        <v>66438.85384618293</v>
      </c>
      <c r="Q129" s="108">
        <f t="shared" si="91"/>
        <v>9809.1461538170734</v>
      </c>
      <c r="R129" s="108">
        <f t="shared" si="105"/>
        <v>76248</v>
      </c>
      <c r="S129" s="108">
        <f t="shared" si="93"/>
        <v>59056.758974384822</v>
      </c>
      <c r="T129" s="108">
        <f t="shared" si="94"/>
        <v>8719.2410256151761</v>
      </c>
      <c r="U129" s="108">
        <f t="shared" si="95"/>
        <v>67776</v>
      </c>
      <c r="V129" s="108">
        <f t="shared" si="96"/>
        <v>51674.664102586714</v>
      </c>
      <c r="W129" s="108">
        <f t="shared" si="97"/>
        <v>7629.3358974132789</v>
      </c>
      <c r="X129" s="108">
        <f t="shared" si="98"/>
        <v>59303.999999999993</v>
      </c>
      <c r="Y129" s="108">
        <f t="shared" si="99"/>
        <v>44292.569230788613</v>
      </c>
      <c r="Z129" s="108">
        <f t="shared" si="100"/>
        <v>6539.4307692113825</v>
      </c>
      <c r="AA129" s="46">
        <f t="shared" si="101"/>
        <v>50831.999999999993</v>
      </c>
      <c r="AB129" s="16"/>
      <c r="AC129" s="16"/>
      <c r="AD129" s="16"/>
      <c r="AE129" s="16"/>
      <c r="AF129" s="16"/>
      <c r="AG129" s="17"/>
      <c r="AH129" s="16"/>
      <c r="AI129" s="16"/>
    </row>
    <row r="130" spans="1:35" s="26" customFormat="1" ht="13.5" customHeight="1" thickBot="1">
      <c r="A130" s="188">
        <v>49</v>
      </c>
      <c r="B130" s="247">
        <v>43800</v>
      </c>
      <c r="C130" s="142">
        <f>C129*2</f>
        <v>2495</v>
      </c>
      <c r="D130" s="343">
        <f>'base(indices)'!G123</f>
        <v>1.15400108</v>
      </c>
      <c r="E130" s="248">
        <f t="shared" si="83"/>
        <v>2879.2326945999998</v>
      </c>
      <c r="F130" s="307">
        <f>'base(indices)'!$I$147</f>
        <v>0.29920000000000002</v>
      </c>
      <c r="G130" s="170">
        <f t="shared" si="84"/>
        <v>861.46642222432001</v>
      </c>
      <c r="H130" s="368">
        <f t="shared" si="85"/>
        <v>3740.6991168243198</v>
      </c>
      <c r="I130" s="384">
        <f t="shared" si="81"/>
        <v>101091.01306697092</v>
      </c>
      <c r="J130" s="285">
        <f>IF((I130-H$129+(H$129/12*1))+K130-(H130/4)&gt;$I$197,$I$197-K130,(I130-H$129+(H$129/12*1)-(H130/4)))</f>
        <v>73820.948717981024</v>
      </c>
      <c r="K130" s="202">
        <f t="shared" si="106"/>
        <v>10899.051282018971</v>
      </c>
      <c r="L130" s="250">
        <f t="shared" si="86"/>
        <v>84720</v>
      </c>
      <c r="M130" s="202">
        <f t="shared" si="87"/>
        <v>70129.901282081963</v>
      </c>
      <c r="N130" s="202">
        <f t="shared" si="88"/>
        <v>10354.098717918021</v>
      </c>
      <c r="O130" s="202">
        <f t="shared" si="89"/>
        <v>80483.999999999985</v>
      </c>
      <c r="P130" s="202">
        <f t="shared" si="104"/>
        <v>66438.85384618293</v>
      </c>
      <c r="Q130" s="202">
        <f t="shared" si="91"/>
        <v>9809.1461538170734</v>
      </c>
      <c r="R130" s="202">
        <f t="shared" si="105"/>
        <v>76248</v>
      </c>
      <c r="S130" s="202">
        <f t="shared" si="93"/>
        <v>59056.758974384822</v>
      </c>
      <c r="T130" s="202">
        <f t="shared" si="94"/>
        <v>8719.2410256151761</v>
      </c>
      <c r="U130" s="202">
        <f t="shared" si="95"/>
        <v>67776</v>
      </c>
      <c r="V130" s="202">
        <f t="shared" si="96"/>
        <v>51674.664102586714</v>
      </c>
      <c r="W130" s="202">
        <f t="shared" si="97"/>
        <v>7629.3358974132789</v>
      </c>
      <c r="X130" s="202">
        <f t="shared" si="98"/>
        <v>59303.999999999993</v>
      </c>
      <c r="Y130" s="202">
        <f t="shared" si="99"/>
        <v>44292.569230788613</v>
      </c>
      <c r="Z130" s="202">
        <f t="shared" si="100"/>
        <v>6539.4307692113825</v>
      </c>
      <c r="AA130" s="203">
        <f t="shared" si="101"/>
        <v>50831.999999999993</v>
      </c>
      <c r="AB130" s="32"/>
      <c r="AC130" s="32"/>
      <c r="AD130" s="32"/>
      <c r="AE130" s="32"/>
      <c r="AF130" s="32"/>
      <c r="AG130" s="33"/>
      <c r="AH130" s="32"/>
      <c r="AI130" s="32"/>
    </row>
    <row r="131" spans="1:35" ht="13.5" customHeight="1">
      <c r="A131" s="190">
        <v>48</v>
      </c>
      <c r="B131" s="136">
        <v>43831</v>
      </c>
      <c r="C131" s="120">
        <f>VLOOKUP(B131,'base(indices)'!$A$4:$C$183,3,FALSE)*1.25</f>
        <v>1298.75</v>
      </c>
      <c r="D131" s="386">
        <f>'base(indices)'!G124</f>
        <v>1.1420099699999999</v>
      </c>
      <c r="E131" s="137">
        <f t="shared" si="83"/>
        <v>1483.1854485375</v>
      </c>
      <c r="F131" s="371">
        <f>'base(indices)'!$I$147</f>
        <v>0.29920000000000002</v>
      </c>
      <c r="G131" s="78">
        <f t="shared" si="84"/>
        <v>443.76908620242</v>
      </c>
      <c r="H131" s="266">
        <f t="shared" si="85"/>
        <v>1926.9545347399198</v>
      </c>
      <c r="I131" s="358">
        <f t="shared" si="81"/>
        <v>97350.313950146592</v>
      </c>
      <c r="J131" s="48">
        <f>IF((I131-H$141+(H$141))+K131-(H131/2)&gt;$I$197,$I$197-K131,(I131-H$141+(H$141)-(H131/2)))</f>
        <v>73820.948717981024</v>
      </c>
      <c r="K131" s="109">
        <f t="shared" si="106"/>
        <v>10899.051282018971</v>
      </c>
      <c r="L131" s="109">
        <f t="shared" si="86"/>
        <v>84720</v>
      </c>
      <c r="M131" s="109">
        <f t="shared" si="87"/>
        <v>70129.901282081963</v>
      </c>
      <c r="N131" s="109">
        <f t="shared" si="88"/>
        <v>10354.098717918021</v>
      </c>
      <c r="O131" s="109">
        <f t="shared" si="89"/>
        <v>80483.999999999985</v>
      </c>
      <c r="P131" s="90">
        <f t="shared" si="104"/>
        <v>66438.85384618293</v>
      </c>
      <c r="Q131" s="109">
        <f t="shared" si="91"/>
        <v>9809.1461538170734</v>
      </c>
      <c r="R131" s="109">
        <f t="shared" si="105"/>
        <v>76248</v>
      </c>
      <c r="S131" s="109">
        <f t="shared" si="93"/>
        <v>59056.758974384822</v>
      </c>
      <c r="T131" s="109">
        <f t="shared" si="94"/>
        <v>8719.2410256151761</v>
      </c>
      <c r="U131" s="109">
        <f t="shared" si="95"/>
        <v>67776</v>
      </c>
      <c r="V131" s="109">
        <f t="shared" si="96"/>
        <v>51674.664102586714</v>
      </c>
      <c r="W131" s="109">
        <f t="shared" si="97"/>
        <v>7629.3358974132789</v>
      </c>
      <c r="X131" s="109">
        <f t="shared" si="98"/>
        <v>59303.999999999993</v>
      </c>
      <c r="Y131" s="109">
        <f t="shared" si="99"/>
        <v>44292.569230788613</v>
      </c>
      <c r="Z131" s="109">
        <f t="shared" si="100"/>
        <v>6539.4307692113825</v>
      </c>
      <c r="AA131" s="49">
        <f t="shared" si="101"/>
        <v>50831.999999999993</v>
      </c>
      <c r="AB131" s="16"/>
      <c r="AC131" s="16"/>
      <c r="AD131" s="16"/>
      <c r="AE131" s="16"/>
      <c r="AF131" s="16"/>
      <c r="AG131" s="17"/>
      <c r="AH131" s="16"/>
      <c r="AI131" s="16"/>
    </row>
    <row r="132" spans="1:35" s="26" customFormat="1" ht="13.5" customHeight="1">
      <c r="A132" s="187">
        <v>47</v>
      </c>
      <c r="B132" s="50">
        <v>43862</v>
      </c>
      <c r="C132" s="61">
        <f>VLOOKUP(B132,'base(indices)'!$A$4:$C$183,3,FALSE)*1.25</f>
        <v>1306.25</v>
      </c>
      <c r="D132" s="343">
        <f>'base(indices)'!G125</f>
        <v>1.1339588599999999</v>
      </c>
      <c r="E132" s="52">
        <f t="shared" si="83"/>
        <v>1481.2337608749999</v>
      </c>
      <c r="F132" s="307">
        <f>'base(indices)'!$I$147</f>
        <v>0.29920000000000002</v>
      </c>
      <c r="G132" s="54">
        <f t="shared" si="84"/>
        <v>443.1851412538</v>
      </c>
      <c r="H132" s="267">
        <f t="shared" si="85"/>
        <v>1924.4189021287998</v>
      </c>
      <c r="I132" s="384">
        <f t="shared" si="81"/>
        <v>95423.359415406667</v>
      </c>
      <c r="J132" s="58">
        <f>IF((I132-H$141+(H$141/12*11))+K132-(H132/2)&gt;$I$197,$I$197-K132,(I132-H$141+(H$141/12*11)-(H132/2)))</f>
        <v>73820.948717981024</v>
      </c>
      <c r="K132" s="91">
        <f t="shared" si="106"/>
        <v>10899.051282018971</v>
      </c>
      <c r="L132" s="92">
        <f t="shared" si="86"/>
        <v>84720</v>
      </c>
      <c r="M132" s="91">
        <f t="shared" si="87"/>
        <v>70129.901282081963</v>
      </c>
      <c r="N132" s="91">
        <f t="shared" si="88"/>
        <v>10354.098717918021</v>
      </c>
      <c r="O132" s="91">
        <f t="shared" si="89"/>
        <v>80483.999999999985</v>
      </c>
      <c r="P132" s="91">
        <f t="shared" si="104"/>
        <v>66438.85384618293</v>
      </c>
      <c r="Q132" s="91">
        <f t="shared" si="91"/>
        <v>9809.1461538170734</v>
      </c>
      <c r="R132" s="91">
        <f t="shared" si="105"/>
        <v>76248</v>
      </c>
      <c r="S132" s="91">
        <f t="shared" si="93"/>
        <v>59056.758974384822</v>
      </c>
      <c r="T132" s="91">
        <f t="shared" si="94"/>
        <v>8719.2410256151761</v>
      </c>
      <c r="U132" s="91">
        <f t="shared" si="95"/>
        <v>67776</v>
      </c>
      <c r="V132" s="91">
        <f t="shared" si="96"/>
        <v>51674.664102586714</v>
      </c>
      <c r="W132" s="91">
        <f t="shared" si="97"/>
        <v>7629.3358974132789</v>
      </c>
      <c r="X132" s="91">
        <f t="shared" si="98"/>
        <v>59303.999999999993</v>
      </c>
      <c r="Y132" s="91">
        <f t="shared" si="99"/>
        <v>44292.569230788613</v>
      </c>
      <c r="Z132" s="91">
        <f t="shared" si="100"/>
        <v>6539.4307692113825</v>
      </c>
      <c r="AA132" s="59">
        <f t="shared" si="101"/>
        <v>50831.999999999993</v>
      </c>
      <c r="AB132" s="32"/>
      <c r="AC132" s="32"/>
      <c r="AD132" s="32"/>
      <c r="AE132" s="32"/>
      <c r="AF132" s="32"/>
      <c r="AG132" s="33"/>
      <c r="AH132" s="32"/>
      <c r="AI132" s="32"/>
    </row>
    <row r="133" spans="1:35" ht="13.5" customHeight="1">
      <c r="A133" s="187">
        <v>46</v>
      </c>
      <c r="B133" s="50">
        <v>43891</v>
      </c>
      <c r="C133" s="61">
        <f>VLOOKUP(B133,'base(indices)'!$A$4:$C$183,3,FALSE)*1.25</f>
        <v>1306.25</v>
      </c>
      <c r="D133" s="343">
        <f>'base(indices)'!G126</f>
        <v>1.13146963</v>
      </c>
      <c r="E133" s="62">
        <f t="shared" si="83"/>
        <v>1477.9822041875</v>
      </c>
      <c r="F133" s="307">
        <f>'base(indices)'!$I$147</f>
        <v>0.29920000000000002</v>
      </c>
      <c r="G133" s="63">
        <f t="shared" si="84"/>
        <v>442.21227549290001</v>
      </c>
      <c r="H133" s="268">
        <f t="shared" si="85"/>
        <v>1920.1944796804</v>
      </c>
      <c r="I133" s="360">
        <f t="shared" si="81"/>
        <v>93498.940513277863</v>
      </c>
      <c r="J133" s="45">
        <f>IF((I133-H$141+(H$141/12*10))+K133-(H133/2)&gt;$I$197,$I$197-K133,(I133-H$141+(H$141/12*10)-(H133/2)))</f>
        <v>73820.948717981024</v>
      </c>
      <c r="K133" s="108">
        <f t="shared" si="106"/>
        <v>10899.051282018971</v>
      </c>
      <c r="L133" s="108">
        <f t="shared" si="86"/>
        <v>84720</v>
      </c>
      <c r="M133" s="108">
        <f t="shared" si="87"/>
        <v>70129.901282081963</v>
      </c>
      <c r="N133" s="108">
        <f t="shared" si="88"/>
        <v>10354.098717918021</v>
      </c>
      <c r="O133" s="108">
        <f t="shared" si="89"/>
        <v>80483.999999999985</v>
      </c>
      <c r="P133" s="93">
        <f t="shared" si="104"/>
        <v>66438.85384618293</v>
      </c>
      <c r="Q133" s="108">
        <f t="shared" si="91"/>
        <v>9809.1461538170734</v>
      </c>
      <c r="R133" s="108">
        <f t="shared" si="105"/>
        <v>76248</v>
      </c>
      <c r="S133" s="108">
        <f t="shared" si="93"/>
        <v>59056.758974384822</v>
      </c>
      <c r="T133" s="108">
        <f t="shared" si="94"/>
        <v>8719.2410256151761</v>
      </c>
      <c r="U133" s="108">
        <f t="shared" si="95"/>
        <v>67776</v>
      </c>
      <c r="V133" s="108">
        <f t="shared" si="96"/>
        <v>51674.664102586714</v>
      </c>
      <c r="W133" s="108">
        <f t="shared" si="97"/>
        <v>7629.3358974132789</v>
      </c>
      <c r="X133" s="108">
        <f t="shared" si="98"/>
        <v>59303.999999999993</v>
      </c>
      <c r="Y133" s="108">
        <f t="shared" si="99"/>
        <v>44292.569230788613</v>
      </c>
      <c r="Z133" s="108">
        <f t="shared" si="100"/>
        <v>6539.4307692113825</v>
      </c>
      <c r="AA133" s="46">
        <f t="shared" si="101"/>
        <v>50831.999999999993</v>
      </c>
      <c r="AB133" s="16"/>
      <c r="AC133" s="16"/>
      <c r="AD133" s="16"/>
      <c r="AE133" s="16"/>
      <c r="AF133" s="16"/>
      <c r="AG133" s="17"/>
      <c r="AH133" s="16"/>
      <c r="AI133" s="16"/>
    </row>
    <row r="134" spans="1:35" s="26" customFormat="1" ht="13.5" customHeight="1">
      <c r="A134" s="187">
        <v>45</v>
      </c>
      <c r="B134" s="50">
        <v>43922</v>
      </c>
      <c r="C134" s="61">
        <f>VLOOKUP(B134,'base(indices)'!$A$4:$C$183,3,FALSE)*1.25</f>
        <v>1306.25</v>
      </c>
      <c r="D134" s="343">
        <f>'base(indices)'!G127</f>
        <v>1.1312433799999999</v>
      </c>
      <c r="E134" s="52">
        <f t="shared" si="83"/>
        <v>1477.686665125</v>
      </c>
      <c r="F134" s="307">
        <f>'base(indices)'!$I$147</f>
        <v>0.29920000000000002</v>
      </c>
      <c r="G134" s="54">
        <f t="shared" si="84"/>
        <v>442.1238502054</v>
      </c>
      <c r="H134" s="267">
        <f t="shared" si="85"/>
        <v>1919.8105153304</v>
      </c>
      <c r="I134" s="384">
        <f t="shared" si="81"/>
        <v>91578.746033597461</v>
      </c>
      <c r="J134" s="58">
        <f>IF((I134-H$141+(H$141/12*9))+K134-(H134/2)&gt;$I$197,$I$197-K134,(I134-H$141+(H$141/12*9)-(H134/2)))</f>
        <v>73820.948717981024</v>
      </c>
      <c r="K134" s="91">
        <f t="shared" si="106"/>
        <v>10899.051282018971</v>
      </c>
      <c r="L134" s="92">
        <f t="shared" si="86"/>
        <v>84720</v>
      </c>
      <c r="M134" s="91">
        <f t="shared" si="87"/>
        <v>70129.901282081963</v>
      </c>
      <c r="N134" s="91">
        <f t="shared" si="88"/>
        <v>10354.098717918021</v>
      </c>
      <c r="O134" s="91">
        <f t="shared" si="89"/>
        <v>80483.999999999985</v>
      </c>
      <c r="P134" s="91">
        <f t="shared" si="104"/>
        <v>66438.85384618293</v>
      </c>
      <c r="Q134" s="91">
        <f t="shared" si="91"/>
        <v>9809.1461538170734</v>
      </c>
      <c r="R134" s="91">
        <f t="shared" si="105"/>
        <v>76248</v>
      </c>
      <c r="S134" s="91">
        <f t="shared" si="93"/>
        <v>59056.758974384822</v>
      </c>
      <c r="T134" s="91">
        <f t="shared" si="94"/>
        <v>8719.2410256151761</v>
      </c>
      <c r="U134" s="91">
        <f t="shared" si="95"/>
        <v>67776</v>
      </c>
      <c r="V134" s="91">
        <f t="shared" si="96"/>
        <v>51674.664102586714</v>
      </c>
      <c r="W134" s="91">
        <f t="shared" si="97"/>
        <v>7629.3358974132789</v>
      </c>
      <c r="X134" s="91">
        <f t="shared" si="98"/>
        <v>59303.999999999993</v>
      </c>
      <c r="Y134" s="91">
        <f t="shared" si="99"/>
        <v>44292.569230788613</v>
      </c>
      <c r="Z134" s="91">
        <f t="shared" si="100"/>
        <v>6539.4307692113825</v>
      </c>
      <c r="AA134" s="59">
        <f t="shared" si="101"/>
        <v>50831.999999999993</v>
      </c>
      <c r="AB134" s="32"/>
      <c r="AC134" s="32"/>
      <c r="AD134" s="32"/>
      <c r="AE134" s="32"/>
      <c r="AF134" s="32"/>
      <c r="AG134" s="33"/>
      <c r="AH134" s="32"/>
      <c r="AI134" s="32"/>
    </row>
    <row r="135" spans="1:35" ht="13.5" customHeight="1">
      <c r="A135" s="187">
        <v>44</v>
      </c>
      <c r="B135" s="50">
        <v>43952</v>
      </c>
      <c r="C135" s="61">
        <f>VLOOKUP(B135,'base(indices)'!$A$4:$C$183,3,FALSE)*1.25</f>
        <v>1306.25</v>
      </c>
      <c r="D135" s="343">
        <f>'base(indices)'!G128</f>
        <v>1.13135652</v>
      </c>
      <c r="E135" s="62">
        <f t="shared" si="83"/>
        <v>1477.8344542499999</v>
      </c>
      <c r="F135" s="307">
        <f>'base(indices)'!$I$147</f>
        <v>0.29920000000000002</v>
      </c>
      <c r="G135" s="63">
        <f t="shared" si="84"/>
        <v>442.16806871160003</v>
      </c>
      <c r="H135" s="268">
        <f t="shared" si="85"/>
        <v>1920.0025229615999</v>
      </c>
      <c r="I135" s="360">
        <f t="shared" si="81"/>
        <v>89658.935518267055</v>
      </c>
      <c r="J135" s="45">
        <f>IF((I135-H$141+(H$141/12*8))+K135-(H135/2)&gt;$I$197,$I$197-K135,(I135-H$141+(H$141/12*8)-(H135/2)))</f>
        <v>73820.948717981024</v>
      </c>
      <c r="K135" s="108">
        <f t="shared" si="106"/>
        <v>10899.051282018971</v>
      </c>
      <c r="L135" s="108">
        <f t="shared" si="86"/>
        <v>84720</v>
      </c>
      <c r="M135" s="108">
        <f t="shared" si="87"/>
        <v>70129.901282081963</v>
      </c>
      <c r="N135" s="108">
        <f t="shared" si="88"/>
        <v>10354.098717918021</v>
      </c>
      <c r="O135" s="108">
        <f t="shared" si="89"/>
        <v>80483.999999999985</v>
      </c>
      <c r="P135" s="93">
        <f t="shared" si="104"/>
        <v>66438.85384618293</v>
      </c>
      <c r="Q135" s="108">
        <f t="shared" si="91"/>
        <v>9809.1461538170734</v>
      </c>
      <c r="R135" s="108">
        <f t="shared" si="105"/>
        <v>76248</v>
      </c>
      <c r="S135" s="108">
        <f t="shared" si="93"/>
        <v>59056.758974384822</v>
      </c>
      <c r="T135" s="108">
        <f t="shared" si="94"/>
        <v>8719.2410256151761</v>
      </c>
      <c r="U135" s="108">
        <f t="shared" si="95"/>
        <v>67776</v>
      </c>
      <c r="V135" s="108">
        <f t="shared" si="96"/>
        <v>51674.664102586714</v>
      </c>
      <c r="W135" s="108">
        <f t="shared" si="97"/>
        <v>7629.3358974132789</v>
      </c>
      <c r="X135" s="108">
        <f t="shared" si="98"/>
        <v>59303.999999999993</v>
      </c>
      <c r="Y135" s="108">
        <f t="shared" si="99"/>
        <v>44292.569230788613</v>
      </c>
      <c r="Z135" s="108">
        <f t="shared" si="100"/>
        <v>6539.4307692113825</v>
      </c>
      <c r="AA135" s="46">
        <f t="shared" si="101"/>
        <v>50831.999999999993</v>
      </c>
      <c r="AB135" s="16"/>
      <c r="AC135" s="16"/>
      <c r="AD135" s="16"/>
      <c r="AE135" s="16"/>
      <c r="AF135" s="16"/>
      <c r="AG135" s="17"/>
      <c r="AH135" s="16"/>
      <c r="AI135" s="16"/>
    </row>
    <row r="136" spans="1:35" s="26" customFormat="1" ht="13.5" customHeight="1">
      <c r="A136" s="187">
        <v>43</v>
      </c>
      <c r="B136" s="50">
        <v>43983</v>
      </c>
      <c r="C136" s="61">
        <f>VLOOKUP(B136,'base(indices)'!$A$4:$C$183,3,FALSE)*1.25</f>
        <v>1306.25</v>
      </c>
      <c r="D136" s="343">
        <f>'base(indices)'!G129</f>
        <v>1.1380711400000001</v>
      </c>
      <c r="E136" s="52">
        <f t="shared" si="83"/>
        <v>1486.6054266250001</v>
      </c>
      <c r="F136" s="307">
        <f>'base(indices)'!$I$147</f>
        <v>0.29920000000000002</v>
      </c>
      <c r="G136" s="54">
        <f t="shared" si="84"/>
        <v>444.79234364620004</v>
      </c>
      <c r="H136" s="267">
        <f t="shared" si="85"/>
        <v>1931.3977702712</v>
      </c>
      <c r="I136" s="384">
        <f t="shared" si="81"/>
        <v>87738.932995305455</v>
      </c>
      <c r="J136" s="58">
        <f>IF((I136-H$141+(H$141/12*7))+K136-(H136/2)&gt;$I$197,$I$197-K136,(I136-H$141+(H$141/12*7)-(H136/2)))</f>
        <v>73820.948717981024</v>
      </c>
      <c r="K136" s="91">
        <f t="shared" si="106"/>
        <v>10899.051282018971</v>
      </c>
      <c r="L136" s="92">
        <f t="shared" si="86"/>
        <v>84720</v>
      </c>
      <c r="M136" s="91">
        <f t="shared" si="87"/>
        <v>70129.901282081963</v>
      </c>
      <c r="N136" s="91">
        <f t="shared" si="88"/>
        <v>10354.098717918021</v>
      </c>
      <c r="O136" s="91">
        <f t="shared" si="89"/>
        <v>80483.999999999985</v>
      </c>
      <c r="P136" s="91">
        <f t="shared" si="104"/>
        <v>66438.85384618293</v>
      </c>
      <c r="Q136" s="91">
        <f t="shared" si="91"/>
        <v>9809.1461538170734</v>
      </c>
      <c r="R136" s="91">
        <f t="shared" si="105"/>
        <v>76248</v>
      </c>
      <c r="S136" s="91">
        <f t="shared" si="93"/>
        <v>59056.758974384822</v>
      </c>
      <c r="T136" s="91">
        <f t="shared" si="94"/>
        <v>8719.2410256151761</v>
      </c>
      <c r="U136" s="91">
        <f t="shared" si="95"/>
        <v>67776</v>
      </c>
      <c r="V136" s="91">
        <f t="shared" si="96"/>
        <v>51674.664102586714</v>
      </c>
      <c r="W136" s="91">
        <f t="shared" si="97"/>
        <v>7629.3358974132789</v>
      </c>
      <c r="X136" s="91">
        <f t="shared" si="98"/>
        <v>59303.999999999993</v>
      </c>
      <c r="Y136" s="91">
        <f t="shared" si="99"/>
        <v>44292.569230788613</v>
      </c>
      <c r="Z136" s="91">
        <f t="shared" si="100"/>
        <v>6539.4307692113825</v>
      </c>
      <c r="AA136" s="59">
        <f t="shared" si="101"/>
        <v>50831.999999999993</v>
      </c>
      <c r="AB136" s="32"/>
      <c r="AC136" s="32"/>
      <c r="AD136" s="32"/>
      <c r="AE136" s="32"/>
      <c r="AF136" s="32"/>
      <c r="AG136" s="33"/>
      <c r="AH136" s="32"/>
      <c r="AI136" s="32"/>
    </row>
    <row r="137" spans="1:35" ht="13.5" customHeight="1">
      <c r="A137" s="187">
        <v>42</v>
      </c>
      <c r="B137" s="50">
        <v>44013</v>
      </c>
      <c r="C137" s="61">
        <f>VLOOKUP(B137,'base(indices)'!$A$4:$C$183,3,FALSE)*1.25</f>
        <v>1306.25</v>
      </c>
      <c r="D137" s="343">
        <f>'base(indices)'!G130</f>
        <v>1.13784357</v>
      </c>
      <c r="E137" s="62">
        <f t="shared" si="83"/>
        <v>1486.3081633125</v>
      </c>
      <c r="F137" s="307">
        <f>'base(indices)'!$I$147</f>
        <v>0.29920000000000002</v>
      </c>
      <c r="G137" s="63">
        <f t="shared" si="84"/>
        <v>444.70340246310002</v>
      </c>
      <c r="H137" s="268">
        <f t="shared" si="85"/>
        <v>1931.0115657756</v>
      </c>
      <c r="I137" s="360">
        <f t="shared" si="81"/>
        <v>85807.535225034255</v>
      </c>
      <c r="J137" s="45">
        <f>IF((I137-H$141+(H$141/12*6))+K137-(H137/2)&gt;$I$197,$I$197-K137,(I137-H$141+(H$141/12*6)-(H137/2)))</f>
        <v>73820.948717981024</v>
      </c>
      <c r="K137" s="108">
        <f t="shared" si="106"/>
        <v>10899.051282018971</v>
      </c>
      <c r="L137" s="108">
        <f t="shared" si="86"/>
        <v>84720</v>
      </c>
      <c r="M137" s="108">
        <f t="shared" si="87"/>
        <v>70129.901282081963</v>
      </c>
      <c r="N137" s="108">
        <f t="shared" si="88"/>
        <v>10354.098717918021</v>
      </c>
      <c r="O137" s="108">
        <f t="shared" si="89"/>
        <v>80483.999999999985</v>
      </c>
      <c r="P137" s="93">
        <f t="shared" si="104"/>
        <v>66438.85384618293</v>
      </c>
      <c r="Q137" s="108">
        <f t="shared" si="91"/>
        <v>9809.1461538170734</v>
      </c>
      <c r="R137" s="108">
        <f t="shared" si="105"/>
        <v>76248</v>
      </c>
      <c r="S137" s="108">
        <f t="shared" si="93"/>
        <v>59056.758974384822</v>
      </c>
      <c r="T137" s="108">
        <f t="shared" si="94"/>
        <v>8719.2410256151761</v>
      </c>
      <c r="U137" s="108">
        <f t="shared" si="95"/>
        <v>67776</v>
      </c>
      <c r="V137" s="108">
        <f t="shared" si="96"/>
        <v>51674.664102586714</v>
      </c>
      <c r="W137" s="108">
        <f t="shared" si="97"/>
        <v>7629.3358974132789</v>
      </c>
      <c r="X137" s="108">
        <f t="shared" si="98"/>
        <v>59303.999999999993</v>
      </c>
      <c r="Y137" s="108">
        <f t="shared" si="99"/>
        <v>44292.569230788613</v>
      </c>
      <c r="Z137" s="108">
        <f t="shared" si="100"/>
        <v>6539.4307692113825</v>
      </c>
      <c r="AA137" s="46">
        <f t="shared" si="101"/>
        <v>50831.999999999993</v>
      </c>
      <c r="AB137" s="16"/>
      <c r="AC137" s="16"/>
      <c r="AD137" s="16"/>
      <c r="AE137" s="16"/>
      <c r="AF137" s="16"/>
      <c r="AG137" s="17"/>
      <c r="AH137" s="16"/>
      <c r="AI137" s="16"/>
    </row>
    <row r="138" spans="1:35" s="26" customFormat="1" ht="13.5" customHeight="1">
      <c r="A138" s="187">
        <v>41</v>
      </c>
      <c r="B138" s="50">
        <v>44044</v>
      </c>
      <c r="C138" s="61">
        <f>VLOOKUP(B138,'base(indices)'!$A$4:$C$183,3,FALSE)*1.25</f>
        <v>1306.25</v>
      </c>
      <c r="D138" s="343">
        <f>'base(indices)'!G131</f>
        <v>1.1344402499999999</v>
      </c>
      <c r="E138" s="52">
        <f t="shared" si="83"/>
        <v>1481.8625765625</v>
      </c>
      <c r="F138" s="307">
        <f>'base(indices)'!$I$147</f>
        <v>0.29920000000000002</v>
      </c>
      <c r="G138" s="54">
        <f t="shared" si="84"/>
        <v>443.37328290750003</v>
      </c>
      <c r="H138" s="267">
        <f t="shared" si="85"/>
        <v>1925.2358594699999</v>
      </c>
      <c r="I138" s="384">
        <f t="shared" si="81"/>
        <v>83876.523659258659</v>
      </c>
      <c r="J138" s="58">
        <f>IF((I138-H$141+(H$141/12*5))+K138-(H138/2)&gt;$I$197,$I$197-K138,(I138-H$141+(H$141/12*5)-(H138/2)))</f>
        <v>73820.948717981024</v>
      </c>
      <c r="K138" s="91">
        <f t="shared" si="106"/>
        <v>10899.051282018971</v>
      </c>
      <c r="L138" s="92">
        <f t="shared" si="86"/>
        <v>84720</v>
      </c>
      <c r="M138" s="91">
        <f t="shared" si="87"/>
        <v>70129.901282081963</v>
      </c>
      <c r="N138" s="91">
        <f t="shared" si="88"/>
        <v>10354.098717918021</v>
      </c>
      <c r="O138" s="91">
        <f t="shared" si="89"/>
        <v>80483.999999999985</v>
      </c>
      <c r="P138" s="91">
        <f t="shared" si="104"/>
        <v>66438.85384618293</v>
      </c>
      <c r="Q138" s="91">
        <f t="shared" si="91"/>
        <v>9809.1461538170734</v>
      </c>
      <c r="R138" s="91">
        <f t="shared" si="105"/>
        <v>76248</v>
      </c>
      <c r="S138" s="91">
        <f t="shared" si="93"/>
        <v>59056.758974384822</v>
      </c>
      <c r="T138" s="91">
        <f t="shared" si="94"/>
        <v>8719.2410256151761</v>
      </c>
      <c r="U138" s="91">
        <f t="shared" si="95"/>
        <v>67776</v>
      </c>
      <c r="V138" s="91">
        <f t="shared" si="96"/>
        <v>51674.664102586714</v>
      </c>
      <c r="W138" s="91">
        <f t="shared" si="97"/>
        <v>7629.3358974132789</v>
      </c>
      <c r="X138" s="91">
        <f t="shared" si="98"/>
        <v>59303.999999999993</v>
      </c>
      <c r="Y138" s="91">
        <f t="shared" si="99"/>
        <v>44292.569230788613</v>
      </c>
      <c r="Z138" s="91">
        <f t="shared" si="100"/>
        <v>6539.4307692113825</v>
      </c>
      <c r="AA138" s="59">
        <f t="shared" si="101"/>
        <v>50831.999999999993</v>
      </c>
      <c r="AB138" s="32"/>
      <c r="AC138" s="32"/>
      <c r="AD138" s="32"/>
      <c r="AE138" s="32"/>
      <c r="AF138" s="32"/>
      <c r="AG138" s="33"/>
      <c r="AH138" s="32"/>
      <c r="AI138" s="32"/>
    </row>
    <row r="139" spans="1:35" ht="13.5" customHeight="1">
      <c r="A139" s="187">
        <v>40</v>
      </c>
      <c r="B139" s="50">
        <v>44075</v>
      </c>
      <c r="C139" s="61">
        <f>VLOOKUP(B139,'base(indices)'!$A$4:$C$183,3,FALSE)*1.25</f>
        <v>1306.25</v>
      </c>
      <c r="D139" s="343">
        <f>'base(indices)'!G132</f>
        <v>1.1318370200000001</v>
      </c>
      <c r="E139" s="62">
        <f t="shared" si="83"/>
        <v>1478.4621073750002</v>
      </c>
      <c r="F139" s="307">
        <f>'base(indices)'!$I$147</f>
        <v>0.29920000000000002</v>
      </c>
      <c r="G139" s="63">
        <f t="shared" si="84"/>
        <v>442.35586252660011</v>
      </c>
      <c r="H139" s="268">
        <f t="shared" si="85"/>
        <v>1920.8179699016002</v>
      </c>
      <c r="I139" s="360">
        <f t="shared" si="81"/>
        <v>81951.287799788654</v>
      </c>
      <c r="J139" s="45">
        <f>IF((I139-H$141+(H$141/12*4))+K139-(H139/2)&gt;$I$197,$I$197-K139,(I139-H$141+(H$141/12*4)-(H139/2)))</f>
        <v>73820.948717981024</v>
      </c>
      <c r="K139" s="108">
        <f t="shared" si="106"/>
        <v>10899.051282018971</v>
      </c>
      <c r="L139" s="108">
        <f t="shared" si="86"/>
        <v>84720</v>
      </c>
      <c r="M139" s="108">
        <f t="shared" si="87"/>
        <v>70129.901282081963</v>
      </c>
      <c r="N139" s="108">
        <f t="shared" si="88"/>
        <v>10354.098717918021</v>
      </c>
      <c r="O139" s="108">
        <f t="shared" si="89"/>
        <v>80483.999999999985</v>
      </c>
      <c r="P139" s="93">
        <f t="shared" si="104"/>
        <v>66438.85384618293</v>
      </c>
      <c r="Q139" s="108">
        <f t="shared" si="91"/>
        <v>9809.1461538170734</v>
      </c>
      <c r="R139" s="108">
        <f t="shared" si="105"/>
        <v>76248</v>
      </c>
      <c r="S139" s="108">
        <f t="shared" si="93"/>
        <v>59056.758974384822</v>
      </c>
      <c r="T139" s="108">
        <f t="shared" si="94"/>
        <v>8719.2410256151761</v>
      </c>
      <c r="U139" s="108">
        <f t="shared" si="95"/>
        <v>67776</v>
      </c>
      <c r="V139" s="108">
        <f t="shared" si="96"/>
        <v>51674.664102586714</v>
      </c>
      <c r="W139" s="108">
        <f t="shared" si="97"/>
        <v>7629.3358974132789</v>
      </c>
      <c r="X139" s="108">
        <f t="shared" si="98"/>
        <v>59303.999999999993</v>
      </c>
      <c r="Y139" s="108">
        <f t="shared" si="99"/>
        <v>44292.569230788613</v>
      </c>
      <c r="Z139" s="108">
        <f t="shared" si="100"/>
        <v>6539.4307692113825</v>
      </c>
      <c r="AA139" s="46">
        <f t="shared" si="101"/>
        <v>50831.999999999993</v>
      </c>
      <c r="AB139" s="16"/>
      <c r="AC139" s="16"/>
      <c r="AD139" s="16"/>
      <c r="AE139" s="16"/>
      <c r="AF139" s="16"/>
      <c r="AG139" s="17"/>
      <c r="AH139" s="16"/>
      <c r="AI139" s="16"/>
    </row>
    <row r="140" spans="1:35" s="26" customFormat="1" ht="13.5" customHeight="1">
      <c r="A140" s="187">
        <v>39</v>
      </c>
      <c r="B140" s="50">
        <v>44105</v>
      </c>
      <c r="C140" s="61">
        <f>VLOOKUP(B140,'base(indices)'!$A$4:$C$183,3,FALSE)*1.25</f>
        <v>1306.25</v>
      </c>
      <c r="D140" s="343">
        <f>'base(indices)'!G133</f>
        <v>1.12676657</v>
      </c>
      <c r="E140" s="52">
        <f t="shared" si="83"/>
        <v>1471.8388320624999</v>
      </c>
      <c r="F140" s="307">
        <f>'base(indices)'!$I$147</f>
        <v>0.29920000000000002</v>
      </c>
      <c r="G140" s="54">
        <f t="shared" si="84"/>
        <v>440.37417855310002</v>
      </c>
      <c r="H140" s="267">
        <f t="shared" si="85"/>
        <v>1912.2130106156001</v>
      </c>
      <c r="I140" s="384">
        <f t="shared" si="81"/>
        <v>80030.46982988705</v>
      </c>
      <c r="J140" s="58">
        <f>IF((I140-H$141+(H$141/12*3))+K140-(H140/2)&gt;$I$197,$I$197-K140,(I140-H$141+(H$141/12*3)-(H140/2)))</f>
        <v>73820.948717981024</v>
      </c>
      <c r="K140" s="91">
        <f t="shared" si="106"/>
        <v>10899.051282018971</v>
      </c>
      <c r="L140" s="92">
        <f t="shared" si="86"/>
        <v>84720</v>
      </c>
      <c r="M140" s="91">
        <f t="shared" si="87"/>
        <v>70129.901282081963</v>
      </c>
      <c r="N140" s="91">
        <f t="shared" si="88"/>
        <v>10354.098717918021</v>
      </c>
      <c r="O140" s="91">
        <f t="shared" si="89"/>
        <v>80483.999999999985</v>
      </c>
      <c r="P140" s="91">
        <f t="shared" si="104"/>
        <v>66438.85384618293</v>
      </c>
      <c r="Q140" s="91">
        <f t="shared" si="91"/>
        <v>9809.1461538170734</v>
      </c>
      <c r="R140" s="91">
        <f t="shared" si="105"/>
        <v>76248</v>
      </c>
      <c r="S140" s="91">
        <f t="shared" si="93"/>
        <v>59056.758974384822</v>
      </c>
      <c r="T140" s="91">
        <f t="shared" si="94"/>
        <v>8719.2410256151761</v>
      </c>
      <c r="U140" s="91">
        <f t="shared" si="95"/>
        <v>67776</v>
      </c>
      <c r="V140" s="91">
        <f t="shared" si="96"/>
        <v>51674.664102586714</v>
      </c>
      <c r="W140" s="91">
        <f t="shared" si="97"/>
        <v>7629.3358974132789</v>
      </c>
      <c r="X140" s="91">
        <f t="shared" si="98"/>
        <v>59303.999999999993</v>
      </c>
      <c r="Y140" s="91">
        <f t="shared" si="99"/>
        <v>44292.569230788613</v>
      </c>
      <c r="Z140" s="91">
        <f t="shared" si="100"/>
        <v>6539.4307692113825</v>
      </c>
      <c r="AA140" s="59">
        <f t="shared" si="101"/>
        <v>50831.999999999993</v>
      </c>
      <c r="AB140" s="32"/>
      <c r="AC140" s="32"/>
      <c r="AD140" s="32"/>
      <c r="AE140" s="32"/>
      <c r="AF140" s="32"/>
      <c r="AG140" s="33"/>
      <c r="AH140" s="32"/>
      <c r="AI140" s="32"/>
    </row>
    <row r="141" spans="1:35" ht="13.5" customHeight="1">
      <c r="A141" s="187">
        <v>38</v>
      </c>
      <c r="B141" s="50">
        <v>44136</v>
      </c>
      <c r="C141" s="61">
        <f>VLOOKUP(B141,'base(indices)'!$A$4:$C$183,3,FALSE)*1.25</f>
        <v>1306.25</v>
      </c>
      <c r="D141" s="343">
        <f>'base(indices)'!G134</f>
        <v>1.1162736</v>
      </c>
      <c r="E141" s="62">
        <f t="shared" si="83"/>
        <v>1458.13239</v>
      </c>
      <c r="F141" s="307">
        <f>'base(indices)'!$I$147</f>
        <v>0.29920000000000002</v>
      </c>
      <c r="G141" s="63">
        <f t="shared" si="84"/>
        <v>436.27321108800004</v>
      </c>
      <c r="H141" s="268">
        <f t="shared" si="85"/>
        <v>1894.4056010879999</v>
      </c>
      <c r="I141" s="360">
        <f t="shared" ref="I141:I178" si="107">I140-H140</f>
        <v>78118.256819271453</v>
      </c>
      <c r="J141" s="45">
        <f>IF((I141-H$141+(H$141/12*2))+K141-(H141/2)&gt;$I$197,$I$197-K141,(I141-H$141+(H$141/12*2)-(H141/2)))</f>
        <v>73820.948717981024</v>
      </c>
      <c r="K141" s="108">
        <f t="shared" si="106"/>
        <v>10899.051282018971</v>
      </c>
      <c r="L141" s="108">
        <f t="shared" si="86"/>
        <v>84720</v>
      </c>
      <c r="M141" s="108">
        <f t="shared" si="87"/>
        <v>70129.901282081963</v>
      </c>
      <c r="N141" s="108">
        <f t="shared" si="88"/>
        <v>10354.098717918021</v>
      </c>
      <c r="O141" s="108">
        <f t="shared" si="89"/>
        <v>80483.999999999985</v>
      </c>
      <c r="P141" s="93">
        <f t="shared" si="104"/>
        <v>66438.85384618293</v>
      </c>
      <c r="Q141" s="108">
        <f t="shared" si="91"/>
        <v>9809.1461538170734</v>
      </c>
      <c r="R141" s="108">
        <f t="shared" si="105"/>
        <v>76248</v>
      </c>
      <c r="S141" s="108">
        <f t="shared" si="93"/>
        <v>59056.758974384822</v>
      </c>
      <c r="T141" s="108">
        <f t="shared" si="94"/>
        <v>8719.2410256151761</v>
      </c>
      <c r="U141" s="108">
        <f t="shared" si="95"/>
        <v>67776</v>
      </c>
      <c r="V141" s="108">
        <f t="shared" si="96"/>
        <v>51674.664102586714</v>
      </c>
      <c r="W141" s="108">
        <f t="shared" si="97"/>
        <v>7629.3358974132789</v>
      </c>
      <c r="X141" s="108">
        <f t="shared" si="98"/>
        <v>59303.999999999993</v>
      </c>
      <c r="Y141" s="108">
        <f t="shared" si="99"/>
        <v>44292.569230788613</v>
      </c>
      <c r="Z141" s="108">
        <f t="shared" si="100"/>
        <v>6539.4307692113825</v>
      </c>
      <c r="AA141" s="46">
        <f t="shared" si="101"/>
        <v>50831.999999999993</v>
      </c>
      <c r="AB141" s="16"/>
      <c r="AC141" s="16"/>
      <c r="AD141" s="16"/>
      <c r="AE141" s="16"/>
      <c r="AF141" s="16"/>
      <c r="AG141" s="17"/>
      <c r="AH141" s="16"/>
      <c r="AI141" s="16"/>
    </row>
    <row r="142" spans="1:35" s="26" customFormat="1" ht="13.5" customHeight="1" thickBot="1">
      <c r="A142" s="188">
        <v>37</v>
      </c>
      <c r="B142" s="68">
        <v>44166</v>
      </c>
      <c r="C142" s="69">
        <f>C141*2</f>
        <v>2612.5</v>
      </c>
      <c r="D142" s="335">
        <f>'base(indices)'!G135</f>
        <v>1.1073044400000001</v>
      </c>
      <c r="E142" s="219">
        <f t="shared" si="83"/>
        <v>2892.8328495000001</v>
      </c>
      <c r="F142" s="304">
        <f>'base(indices)'!$I$147</f>
        <v>0.29920000000000002</v>
      </c>
      <c r="G142" s="163">
        <f t="shared" si="84"/>
        <v>865.53558857040014</v>
      </c>
      <c r="H142" s="355">
        <f t="shared" si="85"/>
        <v>3758.3684380704003</v>
      </c>
      <c r="I142" s="361">
        <f t="shared" si="107"/>
        <v>76223.851218183452</v>
      </c>
      <c r="J142" s="175">
        <f>IF((I142-H$141+(H$141/12*1))+K142-(H142/4)&gt;$I$197,$I$197-K142,(I142-H$141+(H$141/12*1)-(H142/4)))</f>
        <v>73547.720641001855</v>
      </c>
      <c r="K142" s="86">
        <f t="shared" si="106"/>
        <v>10899.051282018971</v>
      </c>
      <c r="L142" s="164">
        <f t="shared" si="86"/>
        <v>84446.771923020831</v>
      </c>
      <c r="M142" s="86">
        <f t="shared" si="87"/>
        <v>69870.334608951758</v>
      </c>
      <c r="N142" s="86">
        <f t="shared" si="88"/>
        <v>10354.098717918021</v>
      </c>
      <c r="O142" s="86">
        <f t="shared" si="89"/>
        <v>80224.433326869781</v>
      </c>
      <c r="P142" s="86">
        <f t="shared" si="104"/>
        <v>66192.948576901676</v>
      </c>
      <c r="Q142" s="86">
        <f t="shared" si="91"/>
        <v>9809.1461538170734</v>
      </c>
      <c r="R142" s="86">
        <f t="shared" si="105"/>
        <v>76002.094730718745</v>
      </c>
      <c r="S142" s="86">
        <f>J142*S$9</f>
        <v>58838.176512801489</v>
      </c>
      <c r="T142" s="86">
        <f t="shared" si="94"/>
        <v>8719.2410256151761</v>
      </c>
      <c r="U142" s="86">
        <f>S142+T142</f>
        <v>67557.417538416659</v>
      </c>
      <c r="V142" s="86">
        <f t="shared" si="96"/>
        <v>51483.404448701294</v>
      </c>
      <c r="W142" s="86">
        <f t="shared" si="97"/>
        <v>7629.3358974132789</v>
      </c>
      <c r="X142" s="86">
        <f t="shared" si="98"/>
        <v>59112.740346114573</v>
      </c>
      <c r="Y142" s="86">
        <f t="shared" si="99"/>
        <v>44128.632384601115</v>
      </c>
      <c r="Z142" s="86">
        <f t="shared" si="100"/>
        <v>6539.4307692113825</v>
      </c>
      <c r="AA142" s="165">
        <f t="shared" si="101"/>
        <v>50668.063153812494</v>
      </c>
      <c r="AB142" s="32"/>
      <c r="AC142" s="32"/>
      <c r="AD142" s="32"/>
      <c r="AE142" s="32"/>
      <c r="AF142" s="32"/>
      <c r="AG142" s="33"/>
      <c r="AH142" s="32"/>
      <c r="AI142" s="32"/>
    </row>
    <row r="143" spans="1:35" s="26" customFormat="1" ht="13.5" customHeight="1">
      <c r="A143" s="217">
        <v>36</v>
      </c>
      <c r="B143" s="246">
        <v>44197</v>
      </c>
      <c r="C143" s="273">
        <f>VLOOKUP(B143,'base(indices)'!$A$4:$C$183,3,FALSE)*1.25</f>
        <v>1375</v>
      </c>
      <c r="D143" s="306">
        <f>'base(indices)'!G136</f>
        <v>1.09569012</v>
      </c>
      <c r="E143" s="265">
        <f t="shared" si="83"/>
        <v>1506.5739149999999</v>
      </c>
      <c r="F143" s="264">
        <f>'base(indices)'!$I$147</f>
        <v>0.29920000000000002</v>
      </c>
      <c r="G143" s="204">
        <f t="shared" si="84"/>
        <v>450.76691536800001</v>
      </c>
      <c r="H143" s="400">
        <f t="shared" si="85"/>
        <v>1957.3408303679998</v>
      </c>
      <c r="I143" s="401">
        <f t="shared" si="107"/>
        <v>72465.482780113045</v>
      </c>
      <c r="J143" s="288">
        <f>IF((I143-H$153+(H$153))+K143-(H143/2)&gt;$I$197,$I$197-K143,(I143-H$153+(H$153)-(H143/2)))</f>
        <v>71486.81236492905</v>
      </c>
      <c r="K143" s="156">
        <f t="shared" si="106"/>
        <v>10899.051282018971</v>
      </c>
      <c r="L143" s="156">
        <f t="shared" si="86"/>
        <v>82385.863646948026</v>
      </c>
      <c r="M143" s="156">
        <f t="shared" si="87"/>
        <v>67912.471746682597</v>
      </c>
      <c r="N143" s="156">
        <f t="shared" si="88"/>
        <v>10354.098717918021</v>
      </c>
      <c r="O143" s="156">
        <f t="shared" si="89"/>
        <v>78266.57046460062</v>
      </c>
      <c r="P143" s="151">
        <f t="shared" si="104"/>
        <v>64338.131128436144</v>
      </c>
      <c r="Q143" s="156">
        <f t="shared" si="91"/>
        <v>9809.1461538170734</v>
      </c>
      <c r="R143" s="156">
        <f t="shared" si="105"/>
        <v>74147.277282253213</v>
      </c>
      <c r="S143" s="156">
        <f t="shared" ref="S143:S153" si="108">J143*S$9</f>
        <v>57189.449891943244</v>
      </c>
      <c r="T143" s="156">
        <f t="shared" si="94"/>
        <v>8719.2410256151761</v>
      </c>
      <c r="U143" s="156">
        <f t="shared" ref="U143:U153" si="109">S143+T143</f>
        <v>65908.690917558415</v>
      </c>
      <c r="V143" s="156">
        <f t="shared" si="96"/>
        <v>50040.768655450331</v>
      </c>
      <c r="W143" s="156">
        <f t="shared" si="97"/>
        <v>7629.3358974132789</v>
      </c>
      <c r="X143" s="156">
        <f t="shared" si="98"/>
        <v>57670.10455286361</v>
      </c>
      <c r="Y143" s="156">
        <f t="shared" si="99"/>
        <v>42892.087418957432</v>
      </c>
      <c r="Z143" s="156">
        <f t="shared" si="100"/>
        <v>6539.4307692113825</v>
      </c>
      <c r="AA143" s="150">
        <f t="shared" si="101"/>
        <v>49431.518188168811</v>
      </c>
      <c r="AB143" s="32"/>
      <c r="AC143" s="32"/>
      <c r="AD143" s="32"/>
      <c r="AE143" s="32"/>
      <c r="AF143" s="32"/>
      <c r="AG143" s="33"/>
      <c r="AH143" s="32"/>
      <c r="AI143" s="32"/>
    </row>
    <row r="144" spans="1:35" s="26" customFormat="1" ht="13.5" customHeight="1">
      <c r="A144" s="187">
        <v>35</v>
      </c>
      <c r="B144" s="50">
        <v>44228</v>
      </c>
      <c r="C144" s="61">
        <f>VLOOKUP(B144,'base(indices)'!$A$4:$C$183,3,FALSE)*1.25</f>
        <v>1375</v>
      </c>
      <c r="D144" s="343">
        <f>'base(indices)'!G137</f>
        <v>1.0872098800000001</v>
      </c>
      <c r="E144" s="52">
        <f t="shared" si="83"/>
        <v>1494.913585</v>
      </c>
      <c r="F144" s="307">
        <f>'base(indices)'!$I$147</f>
        <v>0.29920000000000002</v>
      </c>
      <c r="G144" s="54">
        <f t="shared" si="84"/>
        <v>447.27814463200002</v>
      </c>
      <c r="H144" s="267">
        <f t="shared" si="85"/>
        <v>1942.191729632</v>
      </c>
      <c r="I144" s="384">
        <f t="shared" si="107"/>
        <v>70508.141949745041</v>
      </c>
      <c r="J144" s="58">
        <f>IF((I144-H$153+(H$153/12*11))+K144-(H144/2)&gt;$I$197,$I$197-K144,(I144-H$153+(H$153/12*11)-(H144/2)))</f>
        <v>69386.437681239709</v>
      </c>
      <c r="K144" s="91">
        <f t="shared" si="106"/>
        <v>10899.051282018971</v>
      </c>
      <c r="L144" s="92">
        <f t="shared" si="86"/>
        <v>80285.488963258686</v>
      </c>
      <c r="M144" s="91">
        <f t="shared" si="87"/>
        <v>65917.115797177714</v>
      </c>
      <c r="N144" s="91">
        <f t="shared" si="88"/>
        <v>10354.098717918021</v>
      </c>
      <c r="O144" s="91">
        <f t="shared" si="89"/>
        <v>76271.214515095737</v>
      </c>
      <c r="P144" s="91">
        <f t="shared" si="104"/>
        <v>62447.79391311574</v>
      </c>
      <c r="Q144" s="91">
        <f t="shared" si="91"/>
        <v>9809.1461538170734</v>
      </c>
      <c r="R144" s="91">
        <f t="shared" si="105"/>
        <v>72256.940066932817</v>
      </c>
      <c r="S144" s="91">
        <f t="shared" si="108"/>
        <v>55509.150144991771</v>
      </c>
      <c r="T144" s="91">
        <f t="shared" si="94"/>
        <v>8719.2410256151761</v>
      </c>
      <c r="U144" s="91">
        <f t="shared" si="109"/>
        <v>64228.391170606948</v>
      </c>
      <c r="V144" s="91">
        <f t="shared" si="96"/>
        <v>48570.506376867794</v>
      </c>
      <c r="W144" s="91">
        <f t="shared" si="97"/>
        <v>7629.3358974132789</v>
      </c>
      <c r="X144" s="91">
        <f t="shared" si="98"/>
        <v>56199.842274281073</v>
      </c>
      <c r="Y144" s="91">
        <f t="shared" si="99"/>
        <v>41631.862608743824</v>
      </c>
      <c r="Z144" s="91">
        <f t="shared" si="100"/>
        <v>6539.4307692113825</v>
      </c>
      <c r="AA144" s="59">
        <f t="shared" si="101"/>
        <v>48171.293377955204</v>
      </c>
      <c r="AB144" s="32"/>
      <c r="AC144" s="32"/>
      <c r="AD144" s="32"/>
      <c r="AE144" s="32"/>
      <c r="AF144" s="32"/>
      <c r="AG144" s="33"/>
      <c r="AH144" s="32"/>
      <c r="AI144" s="32"/>
    </row>
    <row r="145" spans="1:35" s="26" customFormat="1" ht="13.5" customHeight="1">
      <c r="A145" s="187">
        <v>34</v>
      </c>
      <c r="B145" s="50">
        <v>44256</v>
      </c>
      <c r="C145" s="61">
        <f>VLOOKUP(B145,'base(indices)'!$A$4:$C$183,3,FALSE)*1.25</f>
        <v>1375</v>
      </c>
      <c r="D145" s="343">
        <f>'base(indices)'!G138</f>
        <v>1.0820162099999999</v>
      </c>
      <c r="E145" s="52">
        <f t="shared" si="83"/>
        <v>1487.7722887499999</v>
      </c>
      <c r="F145" s="307">
        <f>'base(indices)'!$I$147</f>
        <v>0.29920000000000002</v>
      </c>
      <c r="G145" s="54">
        <f t="shared" si="84"/>
        <v>445.14146879399999</v>
      </c>
      <c r="H145" s="267">
        <f t="shared" si="85"/>
        <v>1932.913757544</v>
      </c>
      <c r="I145" s="360">
        <f t="shared" si="107"/>
        <v>68565.950220113038</v>
      </c>
      <c r="J145" s="45">
        <f>IF((I145-H$153+(H$153/12*10))+K145-(H145/2)&gt;$I$197,$I$197-K145,(I145-H$153+(H$153/12*10)-(H145/2)))</f>
        <v>67298.276533962358</v>
      </c>
      <c r="K145" s="108">
        <f t="shared" si="106"/>
        <v>10899.051282018971</v>
      </c>
      <c r="L145" s="108">
        <f t="shared" si="86"/>
        <v>78197.327815981334</v>
      </c>
      <c r="M145" s="108">
        <f t="shared" si="87"/>
        <v>63933.362707264234</v>
      </c>
      <c r="N145" s="108">
        <f t="shared" si="88"/>
        <v>10354.098717918021</v>
      </c>
      <c r="O145" s="108">
        <f t="shared" si="89"/>
        <v>74287.46142518225</v>
      </c>
      <c r="P145" s="93">
        <f t="shared" si="104"/>
        <v>60568.448880566124</v>
      </c>
      <c r="Q145" s="108">
        <f t="shared" si="91"/>
        <v>9809.1461538170734</v>
      </c>
      <c r="R145" s="108">
        <f t="shared" si="105"/>
        <v>70377.595034383194</v>
      </c>
      <c r="S145" s="108">
        <f t="shared" si="108"/>
        <v>53838.62122716989</v>
      </c>
      <c r="T145" s="108">
        <f t="shared" si="94"/>
        <v>8719.2410256151761</v>
      </c>
      <c r="U145" s="108">
        <f t="shared" si="109"/>
        <v>62557.862252785068</v>
      </c>
      <c r="V145" s="108">
        <f t="shared" si="96"/>
        <v>47108.793573773648</v>
      </c>
      <c r="W145" s="108">
        <f t="shared" si="97"/>
        <v>7629.3358974132789</v>
      </c>
      <c r="X145" s="108">
        <f t="shared" si="98"/>
        <v>54738.129471186927</v>
      </c>
      <c r="Y145" s="108">
        <f t="shared" si="99"/>
        <v>40378.965920377414</v>
      </c>
      <c r="Z145" s="108">
        <f t="shared" si="100"/>
        <v>6539.4307692113825</v>
      </c>
      <c r="AA145" s="46">
        <f t="shared" si="101"/>
        <v>46918.396689588793</v>
      </c>
      <c r="AB145" s="32"/>
      <c r="AC145" s="32"/>
      <c r="AD145" s="32"/>
      <c r="AE145" s="32"/>
      <c r="AF145" s="32"/>
      <c r="AG145" s="33"/>
      <c r="AH145" s="32"/>
      <c r="AI145" s="32"/>
    </row>
    <row r="146" spans="1:35" s="26" customFormat="1" ht="13.5" customHeight="1">
      <c r="A146" s="187">
        <v>33</v>
      </c>
      <c r="B146" s="50">
        <v>44287</v>
      </c>
      <c r="C146" s="61">
        <f>VLOOKUP(B146,'base(indices)'!$A$4:$C$183,3,FALSE)*1.25</f>
        <v>1375</v>
      </c>
      <c r="D146" s="343">
        <f>'base(indices)'!G139</f>
        <v>1.0720461800000001</v>
      </c>
      <c r="E146" s="52">
        <f t="shared" si="83"/>
        <v>1474.0634975</v>
      </c>
      <c r="F146" s="307">
        <f>'base(indices)'!$I$147</f>
        <v>0.29920000000000002</v>
      </c>
      <c r="G146" s="54">
        <f t="shared" si="84"/>
        <v>441.03979845200007</v>
      </c>
      <c r="H146" s="267">
        <f t="shared" si="85"/>
        <v>1915.1032959520001</v>
      </c>
      <c r="I146" s="384">
        <f t="shared" si="107"/>
        <v>66633.036462569042</v>
      </c>
      <c r="J146" s="58">
        <f>IF((I146-H$153+(H$153/12*9))+K146-(H146/2)&gt;$I$197,$I$197-K146,(I146-H$153+(H$153/12*9)-(H146/2)))</f>
        <v>65223.65960352504</v>
      </c>
      <c r="K146" s="91">
        <f t="shared" si="106"/>
        <v>10899.051282018971</v>
      </c>
      <c r="L146" s="92">
        <f t="shared" si="86"/>
        <v>76122.710885544016</v>
      </c>
      <c r="M146" s="91">
        <f t="shared" si="87"/>
        <v>61962.476623348783</v>
      </c>
      <c r="N146" s="91">
        <f t="shared" si="88"/>
        <v>10354.098717918021</v>
      </c>
      <c r="O146" s="91">
        <f t="shared" si="89"/>
        <v>72316.575341266798</v>
      </c>
      <c r="P146" s="91">
        <f t="shared" si="104"/>
        <v>58701.293643172539</v>
      </c>
      <c r="Q146" s="91">
        <f t="shared" si="91"/>
        <v>9809.1461538170734</v>
      </c>
      <c r="R146" s="91">
        <f t="shared" si="105"/>
        <v>68510.439796989609</v>
      </c>
      <c r="S146" s="91">
        <f t="shared" si="108"/>
        <v>52178.927682820038</v>
      </c>
      <c r="T146" s="91">
        <f t="shared" si="94"/>
        <v>8719.2410256151761</v>
      </c>
      <c r="U146" s="91">
        <f t="shared" si="109"/>
        <v>60898.168708435216</v>
      </c>
      <c r="V146" s="91">
        <f t="shared" si="96"/>
        <v>45656.561722467522</v>
      </c>
      <c r="W146" s="91">
        <f t="shared" si="97"/>
        <v>7629.3358974132789</v>
      </c>
      <c r="X146" s="91">
        <f t="shared" si="98"/>
        <v>53285.897619880801</v>
      </c>
      <c r="Y146" s="91">
        <f t="shared" si="99"/>
        <v>39134.195762115021</v>
      </c>
      <c r="Z146" s="91">
        <f t="shared" si="100"/>
        <v>6539.4307692113825</v>
      </c>
      <c r="AA146" s="59">
        <f t="shared" si="101"/>
        <v>45673.626531326401</v>
      </c>
      <c r="AB146" s="32"/>
      <c r="AC146" s="32"/>
      <c r="AD146" s="32"/>
      <c r="AE146" s="32"/>
      <c r="AF146" s="32"/>
      <c r="AG146" s="33"/>
      <c r="AH146" s="32"/>
      <c r="AI146" s="32"/>
    </row>
    <row r="147" spans="1:35" s="26" customFormat="1" ht="13.5" customHeight="1">
      <c r="A147" s="187">
        <v>32</v>
      </c>
      <c r="B147" s="50">
        <v>44317</v>
      </c>
      <c r="C147" s="61">
        <f>VLOOKUP(B147,'base(indices)'!$A$4:$C$183,3,FALSE)*1.25</f>
        <v>1375</v>
      </c>
      <c r="D147" s="343">
        <f>'base(indices)'!G140</f>
        <v>1.06565226</v>
      </c>
      <c r="E147" s="52">
        <f t="shared" si="83"/>
        <v>1465.2718575000001</v>
      </c>
      <c r="F147" s="307">
        <f>'base(indices)'!$I$147</f>
        <v>0.29920000000000002</v>
      </c>
      <c r="G147" s="54">
        <f t="shared" si="84"/>
        <v>438.40933976400009</v>
      </c>
      <c r="H147" s="267">
        <f t="shared" si="85"/>
        <v>1903.6811972640003</v>
      </c>
      <c r="I147" s="360">
        <f t="shared" si="107"/>
        <v>64717.93316661704</v>
      </c>
      <c r="J147" s="45">
        <f>IF((I147-H$153+(H$153/12*8))+K147-(H147/2)&gt;$I$197,$I$197-K147,(I147-H$153+(H$153/12*8)-(H147/2)))</f>
        <v>63163.658953227707</v>
      </c>
      <c r="K147" s="108">
        <f t="shared" si="106"/>
        <v>10899.051282018971</v>
      </c>
      <c r="L147" s="108">
        <f t="shared" si="86"/>
        <v>74062.710235246675</v>
      </c>
      <c r="M147" s="108">
        <f t="shared" si="87"/>
        <v>60005.476005566321</v>
      </c>
      <c r="N147" s="108">
        <f t="shared" si="88"/>
        <v>10354.098717918021</v>
      </c>
      <c r="O147" s="108">
        <f t="shared" si="89"/>
        <v>70359.574723484344</v>
      </c>
      <c r="P147" s="93">
        <f t="shared" si="104"/>
        <v>56847.293057904935</v>
      </c>
      <c r="Q147" s="108">
        <f t="shared" si="91"/>
        <v>9809.1461538170734</v>
      </c>
      <c r="R147" s="108">
        <f t="shared" si="105"/>
        <v>66656.439211722012</v>
      </c>
      <c r="S147" s="108">
        <f t="shared" si="108"/>
        <v>50530.927162582171</v>
      </c>
      <c r="T147" s="108">
        <f t="shared" si="94"/>
        <v>8719.2410256151761</v>
      </c>
      <c r="U147" s="108">
        <f t="shared" si="109"/>
        <v>59250.168188197349</v>
      </c>
      <c r="V147" s="108">
        <f t="shared" si="96"/>
        <v>44214.561267259392</v>
      </c>
      <c r="W147" s="108">
        <f t="shared" si="97"/>
        <v>7629.3358974132789</v>
      </c>
      <c r="X147" s="108">
        <f t="shared" si="98"/>
        <v>51843.897164672671</v>
      </c>
      <c r="Y147" s="108">
        <f t="shared" si="99"/>
        <v>37898.195371936621</v>
      </c>
      <c r="Z147" s="108">
        <f t="shared" si="100"/>
        <v>6539.4307692113825</v>
      </c>
      <c r="AA147" s="46">
        <f t="shared" si="101"/>
        <v>44437.626141148001</v>
      </c>
      <c r="AB147" s="32"/>
      <c r="AC147" s="32"/>
      <c r="AD147" s="32"/>
      <c r="AE147" s="32"/>
      <c r="AF147" s="32"/>
      <c r="AG147" s="33"/>
      <c r="AH147" s="32"/>
      <c r="AI147" s="32"/>
    </row>
    <row r="148" spans="1:35" s="26" customFormat="1" ht="13.5" customHeight="1">
      <c r="A148" s="187">
        <v>31</v>
      </c>
      <c r="B148" s="50">
        <v>44348</v>
      </c>
      <c r="C148" s="61">
        <f>VLOOKUP(B148,'base(indices)'!$A$4:$C$183,3,FALSE)*1.25</f>
        <v>1375</v>
      </c>
      <c r="D148" s="343">
        <f>'base(indices)'!G141</f>
        <v>1.0609839299999999</v>
      </c>
      <c r="E148" s="52">
        <f t="shared" si="83"/>
        <v>1458.8529037499998</v>
      </c>
      <c r="F148" s="307">
        <f>'base(indices)'!$I$147</f>
        <v>0.29920000000000002</v>
      </c>
      <c r="G148" s="54">
        <f t="shared" si="84"/>
        <v>436.48878880199999</v>
      </c>
      <c r="H148" s="267">
        <f t="shared" si="85"/>
        <v>1895.3416925519998</v>
      </c>
      <c r="I148" s="384">
        <f t="shared" si="107"/>
        <v>62814.251969353041</v>
      </c>
      <c r="J148" s="58">
        <f>IF((I148-H$153+(H$153/12*7))+K148-(H148/2)&gt;$I$197,$I$197-K148,(I148-H$153+(H$153/12*7)-(H148/2)))</f>
        <v>61113.53910463037</v>
      </c>
      <c r="K148" s="91">
        <f t="shared" si="106"/>
        <v>10899.051282018971</v>
      </c>
      <c r="L148" s="92">
        <f t="shared" si="86"/>
        <v>72012.590386649346</v>
      </c>
      <c r="M148" s="91">
        <f t="shared" si="87"/>
        <v>58057.862149398847</v>
      </c>
      <c r="N148" s="91">
        <f t="shared" si="88"/>
        <v>10354.098717918021</v>
      </c>
      <c r="O148" s="91">
        <f t="shared" si="89"/>
        <v>68411.96086731687</v>
      </c>
      <c r="P148" s="91">
        <f t="shared" si="104"/>
        <v>55002.185194167338</v>
      </c>
      <c r="Q148" s="91">
        <f t="shared" si="91"/>
        <v>9809.1461538170734</v>
      </c>
      <c r="R148" s="91">
        <f t="shared" si="105"/>
        <v>64811.331347984407</v>
      </c>
      <c r="S148" s="91">
        <f t="shared" si="108"/>
        <v>48890.831283704298</v>
      </c>
      <c r="T148" s="91">
        <f t="shared" si="94"/>
        <v>8719.2410256151761</v>
      </c>
      <c r="U148" s="91">
        <f t="shared" si="109"/>
        <v>57610.072309319476</v>
      </c>
      <c r="V148" s="91">
        <f t="shared" si="96"/>
        <v>42779.477373241258</v>
      </c>
      <c r="W148" s="91">
        <f t="shared" si="97"/>
        <v>7629.3358974132789</v>
      </c>
      <c r="X148" s="91">
        <f t="shared" si="98"/>
        <v>50408.813270654537</v>
      </c>
      <c r="Y148" s="91">
        <f t="shared" si="99"/>
        <v>36668.123462778218</v>
      </c>
      <c r="Z148" s="91">
        <f t="shared" si="100"/>
        <v>6539.4307692113825</v>
      </c>
      <c r="AA148" s="59">
        <f t="shared" si="101"/>
        <v>43207.554231989598</v>
      </c>
      <c r="AB148" s="32"/>
      <c r="AC148" s="32"/>
      <c r="AD148" s="32"/>
      <c r="AE148" s="32"/>
      <c r="AF148" s="32"/>
      <c r="AG148" s="33"/>
      <c r="AH148" s="32"/>
      <c r="AI148" s="32"/>
    </row>
    <row r="149" spans="1:35" s="26" customFormat="1" ht="13.5" customHeight="1">
      <c r="A149" s="187">
        <v>30</v>
      </c>
      <c r="B149" s="50">
        <v>44378</v>
      </c>
      <c r="C149" s="61">
        <f>VLOOKUP(B149,'base(indices)'!$A$4:$C$183,3,FALSE)*1.25</f>
        <v>1375</v>
      </c>
      <c r="D149" s="343">
        <f>'base(indices)'!G142</f>
        <v>1.0522502600000001</v>
      </c>
      <c r="E149" s="52">
        <f t="shared" si="83"/>
        <v>1446.8441075000001</v>
      </c>
      <c r="F149" s="307">
        <f>'base(indices)'!$I$147</f>
        <v>0.29920000000000002</v>
      </c>
      <c r="G149" s="54">
        <f t="shared" si="84"/>
        <v>432.89575696400004</v>
      </c>
      <c r="H149" s="267">
        <f t="shared" si="85"/>
        <v>1879.7398644640002</v>
      </c>
      <c r="I149" s="360">
        <f t="shared" si="107"/>
        <v>60918.910276801042</v>
      </c>
      <c r="J149" s="45">
        <f>IF((I149-H$153+(H$153/12*6))+K149-(H149/2)&gt;$I$197,$I$197-K149,(I149-H$153+(H$153/12*6)-(H149/2)))</f>
        <v>59075.389922433038</v>
      </c>
      <c r="K149" s="108">
        <f t="shared" si="106"/>
        <v>10899.051282018971</v>
      </c>
      <c r="L149" s="108">
        <f t="shared" si="86"/>
        <v>69974.441204452014</v>
      </c>
      <c r="M149" s="108">
        <f t="shared" si="87"/>
        <v>56121.620426311383</v>
      </c>
      <c r="N149" s="108">
        <f t="shared" si="88"/>
        <v>10354.098717918021</v>
      </c>
      <c r="O149" s="108">
        <f t="shared" si="89"/>
        <v>66475.719144229399</v>
      </c>
      <c r="P149" s="93">
        <f t="shared" si="104"/>
        <v>53167.850930189736</v>
      </c>
      <c r="Q149" s="108">
        <f t="shared" si="91"/>
        <v>9809.1461538170734</v>
      </c>
      <c r="R149" s="108">
        <f t="shared" si="105"/>
        <v>62976.997084006813</v>
      </c>
      <c r="S149" s="108">
        <f t="shared" si="108"/>
        <v>47260.311937946433</v>
      </c>
      <c r="T149" s="108">
        <f t="shared" si="94"/>
        <v>8719.2410256151761</v>
      </c>
      <c r="U149" s="108">
        <f t="shared" si="109"/>
        <v>55979.552963561611</v>
      </c>
      <c r="V149" s="108">
        <f t="shared" si="96"/>
        <v>41352.772945703124</v>
      </c>
      <c r="W149" s="108">
        <f t="shared" si="97"/>
        <v>7629.3358974132789</v>
      </c>
      <c r="X149" s="108">
        <f t="shared" si="98"/>
        <v>48982.108843116403</v>
      </c>
      <c r="Y149" s="108">
        <f t="shared" si="99"/>
        <v>35445.233953459821</v>
      </c>
      <c r="Z149" s="108">
        <f t="shared" si="100"/>
        <v>6539.4307692113825</v>
      </c>
      <c r="AA149" s="46">
        <f t="shared" si="101"/>
        <v>41984.664722671201</v>
      </c>
      <c r="AB149" s="32"/>
      <c r="AC149" s="32"/>
      <c r="AD149" s="32"/>
      <c r="AE149" s="32"/>
      <c r="AF149" s="32"/>
      <c r="AG149" s="33"/>
      <c r="AH149" s="32"/>
      <c r="AI149" s="32"/>
    </row>
    <row r="150" spans="1:35" s="26" customFormat="1" ht="13.5" customHeight="1">
      <c r="A150" s="187">
        <v>29</v>
      </c>
      <c r="B150" s="50">
        <v>44409</v>
      </c>
      <c r="C150" s="61">
        <f>VLOOKUP(B150,'base(indices)'!$A$4:$C$183,3,FALSE)*1.25</f>
        <v>1375</v>
      </c>
      <c r="D150" s="343">
        <f>'base(indices)'!G143</f>
        <v>1.0447282099999999</v>
      </c>
      <c r="E150" s="52">
        <f t="shared" si="83"/>
        <v>1436.50128875</v>
      </c>
      <c r="F150" s="307">
        <f>'base(indices)'!$I$147</f>
        <v>0.29920000000000002</v>
      </c>
      <c r="G150" s="54">
        <f t="shared" si="84"/>
        <v>429.801185594</v>
      </c>
      <c r="H150" s="267">
        <f t="shared" si="85"/>
        <v>1866.3024743440001</v>
      </c>
      <c r="I150" s="384">
        <f t="shared" si="107"/>
        <v>59039.170412337044</v>
      </c>
      <c r="J150" s="58">
        <f>IF((I150-H$153+(H$153/12*5))+K150-(H150/2)&gt;$I$197,$I$197-K150,(I150-H$153+(H$153/12*5)-(H150/2)))</f>
        <v>57051.760349339704</v>
      </c>
      <c r="K150" s="91">
        <f t="shared" si="106"/>
        <v>10899.051282018971</v>
      </c>
      <c r="L150" s="92">
        <f t="shared" si="86"/>
        <v>67950.81163135868</v>
      </c>
      <c r="M150" s="91">
        <f t="shared" si="87"/>
        <v>54199.172331872716</v>
      </c>
      <c r="N150" s="91">
        <f t="shared" si="88"/>
        <v>10354.098717918021</v>
      </c>
      <c r="O150" s="91">
        <f t="shared" si="89"/>
        <v>64553.271049790739</v>
      </c>
      <c r="P150" s="91">
        <f t="shared" si="104"/>
        <v>51346.584314405736</v>
      </c>
      <c r="Q150" s="91">
        <f t="shared" si="91"/>
        <v>9809.1461538170734</v>
      </c>
      <c r="R150" s="91">
        <f t="shared" si="105"/>
        <v>61155.730468222813</v>
      </c>
      <c r="S150" s="91">
        <f t="shared" si="108"/>
        <v>45641.408279471769</v>
      </c>
      <c r="T150" s="91">
        <f t="shared" si="94"/>
        <v>8719.2410256151761</v>
      </c>
      <c r="U150" s="91">
        <f t="shared" si="109"/>
        <v>54360.649305086947</v>
      </c>
      <c r="V150" s="91">
        <f t="shared" si="96"/>
        <v>39936.232244537787</v>
      </c>
      <c r="W150" s="91">
        <f t="shared" si="97"/>
        <v>7629.3358974132789</v>
      </c>
      <c r="X150" s="91">
        <f t="shared" si="98"/>
        <v>47565.568141951066</v>
      </c>
      <c r="Y150" s="91">
        <f t="shared" si="99"/>
        <v>34231.056209603819</v>
      </c>
      <c r="Z150" s="91">
        <f t="shared" si="100"/>
        <v>6539.4307692113825</v>
      </c>
      <c r="AA150" s="59">
        <f t="shared" si="101"/>
        <v>40770.486978815199</v>
      </c>
      <c r="AB150" s="32"/>
      <c r="AC150" s="32"/>
      <c r="AD150" s="32"/>
      <c r="AE150" s="32"/>
      <c r="AF150" s="32"/>
      <c r="AG150" s="33"/>
      <c r="AH150" s="32"/>
      <c r="AI150" s="32"/>
    </row>
    <row r="151" spans="1:35" s="26" customFormat="1" ht="13.5" customHeight="1">
      <c r="A151" s="187">
        <v>28</v>
      </c>
      <c r="B151" s="50">
        <v>44440</v>
      </c>
      <c r="C151" s="61">
        <f>VLOOKUP(B151,'base(indices)'!$A$4:$C$183,3,FALSE)*1.25</f>
        <v>1375</v>
      </c>
      <c r="D151" s="343">
        <f>'base(indices)'!G144</f>
        <v>1.0355121599999999</v>
      </c>
      <c r="E151" s="52">
        <f t="shared" si="83"/>
        <v>1423.8292199999999</v>
      </c>
      <c r="F151" s="307">
        <f>'base(indices)'!$I$147</f>
        <v>0.29920000000000002</v>
      </c>
      <c r="G151" s="54">
        <f t="shared" si="84"/>
        <v>426.009702624</v>
      </c>
      <c r="H151" s="267">
        <f t="shared" si="85"/>
        <v>1849.8389226239999</v>
      </c>
      <c r="I151" s="360">
        <f t="shared" si="107"/>
        <v>57172.86793799304</v>
      </c>
      <c r="J151" s="45">
        <f>IF((I151-H$153+(H$153/12*4))+K151-(H151/2)&gt;$I$197,$I$197-K151,(I151-H$153+(H$153/12*4)-(H151/2)))</f>
        <v>55043.081247166374</v>
      </c>
      <c r="K151" s="108">
        <f t="shared" si="106"/>
        <v>10899.051282018971</v>
      </c>
      <c r="L151" s="108">
        <f t="shared" si="86"/>
        <v>65942.132529185343</v>
      </c>
      <c r="M151" s="108">
        <f t="shared" si="87"/>
        <v>52290.927184808053</v>
      </c>
      <c r="N151" s="108">
        <f t="shared" si="88"/>
        <v>10354.098717918021</v>
      </c>
      <c r="O151" s="108">
        <f t="shared" si="89"/>
        <v>62645.025902726076</v>
      </c>
      <c r="P151" s="93">
        <f t="shared" si="104"/>
        <v>49538.77312244974</v>
      </c>
      <c r="Q151" s="108">
        <f t="shared" si="91"/>
        <v>9809.1461538170734</v>
      </c>
      <c r="R151" s="108">
        <f t="shared" si="105"/>
        <v>59347.91927626681</v>
      </c>
      <c r="S151" s="108">
        <f t="shared" si="108"/>
        <v>44034.464997733099</v>
      </c>
      <c r="T151" s="108">
        <f t="shared" si="94"/>
        <v>8719.2410256151761</v>
      </c>
      <c r="U151" s="108">
        <f t="shared" si="109"/>
        <v>52753.706023348277</v>
      </c>
      <c r="V151" s="108">
        <f t="shared" si="96"/>
        <v>38530.156873016458</v>
      </c>
      <c r="W151" s="108">
        <f t="shared" si="97"/>
        <v>7629.3358974132789</v>
      </c>
      <c r="X151" s="108">
        <f t="shared" si="98"/>
        <v>46159.492770429737</v>
      </c>
      <c r="Y151" s="108">
        <f t="shared" si="99"/>
        <v>33025.848748299824</v>
      </c>
      <c r="Z151" s="108">
        <f t="shared" si="100"/>
        <v>6539.4307692113825</v>
      </c>
      <c r="AA151" s="46">
        <f t="shared" si="101"/>
        <v>39565.279517511204</v>
      </c>
      <c r="AB151" s="32"/>
      <c r="AC151" s="32"/>
      <c r="AD151" s="32"/>
      <c r="AE151" s="32"/>
      <c r="AF151" s="32"/>
      <c r="AG151" s="33"/>
      <c r="AH151" s="32"/>
      <c r="AI151" s="32"/>
    </row>
    <row r="152" spans="1:35" s="26" customFormat="1" ht="13.5" customHeight="1">
      <c r="A152" s="187">
        <v>27</v>
      </c>
      <c r="B152" s="50">
        <v>44470</v>
      </c>
      <c r="C152" s="61">
        <f>VLOOKUP(B152,'base(indices)'!$A$4:$C$183,3,FALSE)*1.25</f>
        <v>1375</v>
      </c>
      <c r="D152" s="343">
        <f>'base(indices)'!G145</f>
        <v>1.02384038</v>
      </c>
      <c r="E152" s="52">
        <f t="shared" si="83"/>
        <v>1407.7805225</v>
      </c>
      <c r="F152" s="307">
        <f>'base(indices)'!$I$147</f>
        <v>0.29920000000000002</v>
      </c>
      <c r="G152" s="54">
        <f t="shared" si="84"/>
        <v>421.20793233200004</v>
      </c>
      <c r="H152" s="267">
        <f t="shared" si="85"/>
        <v>1828.9884548320001</v>
      </c>
      <c r="I152" s="384">
        <f t="shared" si="107"/>
        <v>55323.029015369037</v>
      </c>
      <c r="J152" s="58">
        <f>IF((I152-H$153+(H$153/12*3))+K152-(H152/2)&gt;$I$197,$I$197-K152,(I152-H$153+(H$153/12*3)-(H152/2)))</f>
        <v>53053.059154749033</v>
      </c>
      <c r="K152" s="91">
        <f t="shared" si="106"/>
        <v>10899.051282018971</v>
      </c>
      <c r="L152" s="92">
        <f t="shared" si="86"/>
        <v>63952.110436768002</v>
      </c>
      <c r="M152" s="91">
        <f t="shared" si="87"/>
        <v>50400.40619701158</v>
      </c>
      <c r="N152" s="91">
        <f t="shared" si="88"/>
        <v>10354.098717918021</v>
      </c>
      <c r="O152" s="91">
        <f t="shared" si="89"/>
        <v>60754.504914929603</v>
      </c>
      <c r="P152" s="91">
        <f t="shared" si="104"/>
        <v>47747.753239274134</v>
      </c>
      <c r="Q152" s="91">
        <f t="shared" si="91"/>
        <v>9809.1461538170734</v>
      </c>
      <c r="R152" s="91">
        <f t="shared" si="105"/>
        <v>57556.899393091211</v>
      </c>
      <c r="S152" s="91">
        <f t="shared" si="108"/>
        <v>42442.447323799228</v>
      </c>
      <c r="T152" s="91">
        <f t="shared" si="94"/>
        <v>8719.2410256151761</v>
      </c>
      <c r="U152" s="91">
        <f t="shared" si="109"/>
        <v>51161.688349414406</v>
      </c>
      <c r="V152" s="91">
        <f t="shared" si="96"/>
        <v>37137.141408324322</v>
      </c>
      <c r="W152" s="91">
        <f t="shared" si="97"/>
        <v>7629.3358974132789</v>
      </c>
      <c r="X152" s="91">
        <f t="shared" si="98"/>
        <v>44766.477305737601</v>
      </c>
      <c r="Y152" s="91">
        <f t="shared" si="99"/>
        <v>31831.835492849419</v>
      </c>
      <c r="Z152" s="91">
        <f t="shared" si="100"/>
        <v>6539.4307692113825</v>
      </c>
      <c r="AA152" s="59">
        <f t="shared" si="101"/>
        <v>38371.266262060803</v>
      </c>
      <c r="AB152" s="32"/>
      <c r="AC152" s="32"/>
      <c r="AD152" s="32"/>
      <c r="AE152" s="32"/>
      <c r="AF152" s="32"/>
      <c r="AG152" s="33"/>
      <c r="AH152" s="32"/>
      <c r="AI152" s="32"/>
    </row>
    <row r="153" spans="1:35" s="26" customFormat="1" ht="13.5" customHeight="1">
      <c r="A153" s="187">
        <v>26</v>
      </c>
      <c r="B153" s="50">
        <v>44501</v>
      </c>
      <c r="C153" s="61">
        <f>VLOOKUP(B153,'base(indices)'!$A$4:$C$183,3,FALSE)*1.25</f>
        <v>1375</v>
      </c>
      <c r="D153" s="343">
        <f>'base(indices)'!G146</f>
        <v>1.0116999799999999</v>
      </c>
      <c r="E153" s="52">
        <f t="shared" si="83"/>
        <v>1391.0874724999999</v>
      </c>
      <c r="F153" s="307">
        <f>'base(indices)'!$I$147</f>
        <v>0.29920000000000002</v>
      </c>
      <c r="G153" s="54">
        <f t="shared" si="84"/>
        <v>416.21337177200002</v>
      </c>
      <c r="H153" s="267">
        <f t="shared" si="85"/>
        <v>1807.3008442719999</v>
      </c>
      <c r="I153" s="360">
        <f t="shared" si="107"/>
        <v>53494.04056053704</v>
      </c>
      <c r="J153" s="45">
        <f>IF((I153-H$153+(H$153/12*2))+K153-(H153/2)&gt;$I$197,$I$197-K153,(I153-H$153+(H$153/12*2)-(H153/2)))</f>
        <v>51084.306101507704</v>
      </c>
      <c r="K153" s="108">
        <f t="shared" si="106"/>
        <v>10899.051282018971</v>
      </c>
      <c r="L153" s="108">
        <f t="shared" si="86"/>
        <v>61983.357383526672</v>
      </c>
      <c r="M153" s="108">
        <f t="shared" si="87"/>
        <v>48530.09079643232</v>
      </c>
      <c r="N153" s="108">
        <f t="shared" si="88"/>
        <v>10354.098717918021</v>
      </c>
      <c r="O153" s="108">
        <f t="shared" si="89"/>
        <v>58884.189514350343</v>
      </c>
      <c r="P153" s="93">
        <f t="shared" si="104"/>
        <v>45975.875491356936</v>
      </c>
      <c r="Q153" s="108">
        <f t="shared" si="91"/>
        <v>9809.1461538170734</v>
      </c>
      <c r="R153" s="108">
        <f t="shared" si="105"/>
        <v>55785.021645174013</v>
      </c>
      <c r="S153" s="108">
        <f t="shared" si="108"/>
        <v>40867.444881206167</v>
      </c>
      <c r="T153" s="108">
        <f t="shared" si="94"/>
        <v>8719.2410256151761</v>
      </c>
      <c r="U153" s="108">
        <f t="shared" si="109"/>
        <v>49586.685906821345</v>
      </c>
      <c r="V153" s="108">
        <f t="shared" si="96"/>
        <v>35759.014271055392</v>
      </c>
      <c r="W153" s="108">
        <f t="shared" si="97"/>
        <v>7629.3358974132789</v>
      </c>
      <c r="X153" s="108">
        <f t="shared" si="98"/>
        <v>43388.350168468671</v>
      </c>
      <c r="Y153" s="108">
        <f t="shared" si="99"/>
        <v>30650.58366090462</v>
      </c>
      <c r="Z153" s="108">
        <f t="shared" si="100"/>
        <v>6539.4307692113825</v>
      </c>
      <c r="AA153" s="46">
        <f t="shared" si="101"/>
        <v>37190.014430116003</v>
      </c>
      <c r="AB153" s="32"/>
      <c r="AC153" s="32"/>
      <c r="AD153" s="32"/>
      <c r="AE153" s="32"/>
      <c r="AF153" s="32"/>
      <c r="AG153" s="33"/>
      <c r="AH153" s="32"/>
      <c r="AI153" s="32"/>
    </row>
    <row r="154" spans="1:35" s="26" customFormat="1" ht="13.5" customHeight="1" thickBot="1">
      <c r="A154" s="305">
        <v>25</v>
      </c>
      <c r="B154" s="247">
        <v>44531</v>
      </c>
      <c r="C154" s="142">
        <f>C153*2</f>
        <v>2750</v>
      </c>
      <c r="D154" s="343">
        <f>'base(indices)'!G147</f>
        <v>0.99999998000000001</v>
      </c>
      <c r="E154" s="248">
        <f t="shared" si="83"/>
        <v>2749.999945</v>
      </c>
      <c r="F154" s="307">
        <f>'base(indices)'!$I$147</f>
        <v>0.29920000000000002</v>
      </c>
      <c r="G154" s="170">
        <f t="shared" si="84"/>
        <v>822.79998354400004</v>
      </c>
      <c r="H154" s="368">
        <f t="shared" si="85"/>
        <v>3572.7999285440001</v>
      </c>
      <c r="I154" s="384">
        <f t="shared" si="107"/>
        <v>51686.739716265038</v>
      </c>
      <c r="J154" s="285">
        <f>IF((I154-H$153+(H$153/12*1))+K154-(H154/4)&gt;$I$197,$I$197-K154,(I154-H$153+(H$153/12*1)-(H154/4)))</f>
        <v>49136.847293546365</v>
      </c>
      <c r="K154" s="202">
        <f t="shared" si="106"/>
        <v>10899.051282018971</v>
      </c>
      <c r="L154" s="250">
        <f t="shared" si="86"/>
        <v>60035.898575565334</v>
      </c>
      <c r="M154" s="202">
        <f t="shared" si="87"/>
        <v>46680.004928869042</v>
      </c>
      <c r="N154" s="202">
        <f t="shared" si="88"/>
        <v>10354.098717918021</v>
      </c>
      <c r="O154" s="202">
        <f t="shared" si="89"/>
        <v>57034.103646787065</v>
      </c>
      <c r="P154" s="202">
        <f t="shared" si="104"/>
        <v>44223.162564191727</v>
      </c>
      <c r="Q154" s="202">
        <f t="shared" si="91"/>
        <v>9809.1461538170734</v>
      </c>
      <c r="R154" s="202">
        <f t="shared" si="105"/>
        <v>54032.308718008804</v>
      </c>
      <c r="S154" s="202">
        <f>J154*S$9</f>
        <v>39309.477834837096</v>
      </c>
      <c r="T154" s="202">
        <f t="shared" si="94"/>
        <v>8719.2410256151761</v>
      </c>
      <c r="U154" s="202">
        <f>S154+T154</f>
        <v>48028.718860452274</v>
      </c>
      <c r="V154" s="202">
        <f t="shared" si="96"/>
        <v>34395.793105482451</v>
      </c>
      <c r="W154" s="202">
        <f t="shared" si="97"/>
        <v>7629.3358974132789</v>
      </c>
      <c r="X154" s="202">
        <f t="shared" si="98"/>
        <v>42025.12900289573</v>
      </c>
      <c r="Y154" s="202">
        <f t="shared" si="99"/>
        <v>29482.108376127817</v>
      </c>
      <c r="Z154" s="202">
        <f t="shared" si="100"/>
        <v>6539.4307692113825</v>
      </c>
      <c r="AA154" s="203">
        <f t="shared" si="101"/>
        <v>36021.5391453392</v>
      </c>
      <c r="AB154" s="32"/>
      <c r="AC154" s="32"/>
      <c r="AD154" s="32"/>
      <c r="AE154" s="32"/>
      <c r="AF154" s="32"/>
      <c r="AG154" s="33"/>
      <c r="AH154" s="32"/>
      <c r="AI154" s="32"/>
    </row>
    <row r="155" spans="1:35" ht="13.5" customHeight="1">
      <c r="A155" s="190">
        <v>24</v>
      </c>
      <c r="B155" s="309">
        <v>44562</v>
      </c>
      <c r="C155" s="120">
        <f>VLOOKUP(B155,'base(indices)'!$A$4:$C$183,3,FALSE)*1.25</f>
        <v>1515</v>
      </c>
      <c r="D155" s="386">
        <f>'base(indices)'!G148</f>
        <v>0.99999998000000001</v>
      </c>
      <c r="E155" s="137">
        <f t="shared" si="83"/>
        <v>1514.9999697000001</v>
      </c>
      <c r="F155" s="371">
        <f>'base(indices)'!I148</f>
        <v>0.29149999999999998</v>
      </c>
      <c r="G155" s="78">
        <f t="shared" si="84"/>
        <v>441.62249116754998</v>
      </c>
      <c r="H155" s="266">
        <f t="shared" si="85"/>
        <v>1956.62246086755</v>
      </c>
      <c r="I155" s="358">
        <f t="shared" si="107"/>
        <v>48113.939787721036</v>
      </c>
      <c r="J155" s="48">
        <f>IF((I155-H$165+(H$165))+K155-(H155/2)&gt;$I$197,$I$197-K155,(I155-H$165+(H$165)-(H155/2)))</f>
        <v>47135.628557287258</v>
      </c>
      <c r="K155" s="109">
        <f t="shared" si="106"/>
        <v>10899.051282018971</v>
      </c>
      <c r="L155" s="109">
        <f t="shared" si="86"/>
        <v>58034.679839306227</v>
      </c>
      <c r="M155" s="109">
        <f t="shared" si="87"/>
        <v>44778.847129422895</v>
      </c>
      <c r="N155" s="109">
        <f t="shared" si="88"/>
        <v>10354.098717918021</v>
      </c>
      <c r="O155" s="109">
        <f t="shared" si="89"/>
        <v>55132.945847340918</v>
      </c>
      <c r="P155" s="90">
        <f t="shared" si="104"/>
        <v>42422.065701558531</v>
      </c>
      <c r="Q155" s="109">
        <f t="shared" si="91"/>
        <v>9809.1461538170734</v>
      </c>
      <c r="R155" s="109">
        <f t="shared" si="105"/>
        <v>52231.211855375601</v>
      </c>
      <c r="S155" s="109">
        <f>J155*S$9</f>
        <v>37708.502845829811</v>
      </c>
      <c r="T155" s="109">
        <f t="shared" si="94"/>
        <v>8719.2410256151761</v>
      </c>
      <c r="U155" s="109">
        <f>S155+T155</f>
        <v>46427.743871444989</v>
      </c>
      <c r="V155" s="109">
        <f t="shared" si="96"/>
        <v>32994.939990101077</v>
      </c>
      <c r="W155" s="109">
        <f t="shared" si="97"/>
        <v>7629.3358974132789</v>
      </c>
      <c r="X155" s="109">
        <f t="shared" si="98"/>
        <v>40624.275887514355</v>
      </c>
      <c r="Y155" s="109">
        <f t="shared" si="99"/>
        <v>28281.377134372353</v>
      </c>
      <c r="Z155" s="109">
        <f t="shared" si="100"/>
        <v>6539.4307692113825</v>
      </c>
      <c r="AA155" s="49">
        <f t="shared" si="101"/>
        <v>34820.807903583736</v>
      </c>
    </row>
    <row r="156" spans="1:35" ht="13.5" customHeight="1">
      <c r="A156" s="187">
        <v>23</v>
      </c>
      <c r="B156" s="50">
        <v>44593</v>
      </c>
      <c r="C156" s="61">
        <f>VLOOKUP(B156,'base(indices)'!$A$4:$C$183,3,FALSE)*1.25</f>
        <v>1515</v>
      </c>
      <c r="D156" s="343">
        <f>'base(indices)'!G149</f>
        <v>0.99999998000000001</v>
      </c>
      <c r="E156" s="52">
        <f t="shared" si="83"/>
        <v>1514.9999697000001</v>
      </c>
      <c r="F156" s="307">
        <f>'base(indices)'!I149</f>
        <v>0.28420000000000001</v>
      </c>
      <c r="G156" s="54">
        <f t="shared" si="84"/>
        <v>430.56299138874004</v>
      </c>
      <c r="H156" s="267">
        <f t="shared" si="85"/>
        <v>1945.5629610887402</v>
      </c>
      <c r="I156" s="384">
        <f t="shared" si="107"/>
        <v>46157.317326853488</v>
      </c>
      <c r="J156" s="58">
        <f>IF((I156-H$165+(H$165/12*11))+K156-(H156/2)&gt;$I$197,$I$197-K156,(I156-H$165+(H$165/12*11)-(H156/2)))</f>
        <v>45033.591349328002</v>
      </c>
      <c r="K156" s="91">
        <f t="shared" si="106"/>
        <v>10899.051282018971</v>
      </c>
      <c r="L156" s="92">
        <f t="shared" si="86"/>
        <v>55932.642631346971</v>
      </c>
      <c r="M156" s="91">
        <f t="shared" si="87"/>
        <v>42781.9117818616</v>
      </c>
      <c r="N156" s="91">
        <f t="shared" si="88"/>
        <v>10354.098717918021</v>
      </c>
      <c r="O156" s="91">
        <f t="shared" si="89"/>
        <v>53136.010499779622</v>
      </c>
      <c r="P156" s="91">
        <f t="shared" si="104"/>
        <v>40530.232214395204</v>
      </c>
      <c r="Q156" s="91">
        <f t="shared" si="91"/>
        <v>9809.1461538170734</v>
      </c>
      <c r="R156" s="91">
        <f t="shared" si="105"/>
        <v>50339.378368212274</v>
      </c>
      <c r="S156" s="91">
        <f t="shared" ref="S156:S178" si="110">J156*S$9</f>
        <v>36026.873079462406</v>
      </c>
      <c r="T156" s="91">
        <f t="shared" si="94"/>
        <v>8719.2410256151761</v>
      </c>
      <c r="U156" s="91">
        <f t="shared" ref="U156:U178" si="111">S156+T156</f>
        <v>44746.114105077584</v>
      </c>
      <c r="V156" s="91">
        <f t="shared" si="96"/>
        <v>31523.513944529601</v>
      </c>
      <c r="W156" s="91">
        <f t="shared" si="97"/>
        <v>7629.3358974132789</v>
      </c>
      <c r="X156" s="91">
        <f t="shared" si="98"/>
        <v>39152.84984194288</v>
      </c>
      <c r="Y156" s="91">
        <f t="shared" si="99"/>
        <v>27020.154809596799</v>
      </c>
      <c r="Z156" s="91">
        <f t="shared" si="100"/>
        <v>6539.4307692113825</v>
      </c>
      <c r="AA156" s="59">
        <f t="shared" si="101"/>
        <v>33559.585578808183</v>
      </c>
    </row>
    <row r="157" spans="1:35" ht="13.5" customHeight="1">
      <c r="A157" s="187">
        <v>22</v>
      </c>
      <c r="B157" s="50">
        <v>44621</v>
      </c>
      <c r="C157" s="61">
        <f>VLOOKUP(B157,'base(indices)'!$A$4:$C$183,3,FALSE)*1.25</f>
        <v>1515</v>
      </c>
      <c r="D157" s="343">
        <f>'base(indices)'!G150</f>
        <v>0.99999998000000001</v>
      </c>
      <c r="E157" s="62">
        <f t="shared" si="83"/>
        <v>1514.9999697000001</v>
      </c>
      <c r="F157" s="307">
        <f>'base(indices)'!I150</f>
        <v>0.27660000000000001</v>
      </c>
      <c r="G157" s="63">
        <f t="shared" si="84"/>
        <v>419.04899161902006</v>
      </c>
      <c r="H157" s="268">
        <f t="shared" si="85"/>
        <v>1934.0489613190202</v>
      </c>
      <c r="I157" s="360">
        <f t="shared" si="107"/>
        <v>44211.754365764747</v>
      </c>
      <c r="J157" s="45">
        <f>IF((I157-H$165+(H$165/12*10))+K157-(H157/2)&gt;$I$197,$I$197-K157,(I157-H$165+(H$165/12*10)-(H157/2)))</f>
        <v>42942.840891143016</v>
      </c>
      <c r="K157" s="108">
        <f t="shared" si="106"/>
        <v>10899.051282018971</v>
      </c>
      <c r="L157" s="108">
        <f t="shared" si="86"/>
        <v>53841.892173161985</v>
      </c>
      <c r="M157" s="108">
        <f t="shared" si="87"/>
        <v>40795.698846585867</v>
      </c>
      <c r="N157" s="108">
        <f t="shared" si="88"/>
        <v>10354.098717918021</v>
      </c>
      <c r="O157" s="108">
        <f t="shared" si="89"/>
        <v>51149.79756450389</v>
      </c>
      <c r="P157" s="93">
        <f t="shared" si="104"/>
        <v>38648.556802028717</v>
      </c>
      <c r="Q157" s="108">
        <f t="shared" si="91"/>
        <v>9809.1461538170734</v>
      </c>
      <c r="R157" s="108">
        <f t="shared" si="105"/>
        <v>48457.702955845787</v>
      </c>
      <c r="S157" s="108">
        <f t="shared" si="110"/>
        <v>34354.272712914411</v>
      </c>
      <c r="T157" s="108">
        <f t="shared" si="94"/>
        <v>8719.2410256151761</v>
      </c>
      <c r="U157" s="108">
        <f t="shared" si="111"/>
        <v>43073.513738529589</v>
      </c>
      <c r="V157" s="108">
        <f t="shared" si="96"/>
        <v>30059.988623800109</v>
      </c>
      <c r="W157" s="108">
        <f t="shared" si="97"/>
        <v>7629.3358974132789</v>
      </c>
      <c r="X157" s="108">
        <f t="shared" si="98"/>
        <v>37689.324521213392</v>
      </c>
      <c r="Y157" s="108">
        <f t="shared" si="99"/>
        <v>25765.70453468581</v>
      </c>
      <c r="Z157" s="108">
        <f t="shared" si="100"/>
        <v>6539.4307692113825</v>
      </c>
      <c r="AA157" s="46">
        <f t="shared" si="101"/>
        <v>32305.135303897194</v>
      </c>
    </row>
    <row r="158" spans="1:35" ht="13.5" customHeight="1">
      <c r="A158" s="187">
        <v>21</v>
      </c>
      <c r="B158" s="50">
        <v>44652</v>
      </c>
      <c r="C158" s="61">
        <f>VLOOKUP(B158,'base(indices)'!$A$4:$C$183,3,FALSE)*1.25</f>
        <v>1515</v>
      </c>
      <c r="D158" s="343">
        <f>'base(indices)'!G151</f>
        <v>0.99999998000000001</v>
      </c>
      <c r="E158" s="52">
        <f t="shared" si="83"/>
        <v>1514.9999697000001</v>
      </c>
      <c r="F158" s="307">
        <f>'base(indices)'!I151</f>
        <v>0.26729999999999998</v>
      </c>
      <c r="G158" s="54">
        <f t="shared" si="84"/>
        <v>404.95949190081001</v>
      </c>
      <c r="H158" s="267">
        <f t="shared" si="85"/>
        <v>1919.9594616008101</v>
      </c>
      <c r="I158" s="384">
        <f t="shared" si="107"/>
        <v>42277.705404445725</v>
      </c>
      <c r="J158" s="58">
        <f>IF((I158-H$165+(H$165/12*9))+K158-(H158/2)&gt;$I$197,$I$197-K158,(I158-H$165+(H$165/12*9)-(H158/2)))</f>
        <v>40864.892182701988</v>
      </c>
      <c r="K158" s="91">
        <f t="shared" si="106"/>
        <v>10899.051282018971</v>
      </c>
      <c r="L158" s="92">
        <f t="shared" si="86"/>
        <v>51763.943464720956</v>
      </c>
      <c r="M158" s="91">
        <f t="shared" si="87"/>
        <v>38821.647573566886</v>
      </c>
      <c r="N158" s="91">
        <f t="shared" si="88"/>
        <v>10354.098717918021</v>
      </c>
      <c r="O158" s="91">
        <f t="shared" si="89"/>
        <v>49175.746291484909</v>
      </c>
      <c r="P158" s="91">
        <f t="shared" si="104"/>
        <v>36778.402964431792</v>
      </c>
      <c r="Q158" s="91">
        <f t="shared" si="91"/>
        <v>9809.1461538170734</v>
      </c>
      <c r="R158" s="91">
        <f t="shared" si="105"/>
        <v>46587.549118248862</v>
      </c>
      <c r="S158" s="91">
        <f t="shared" si="110"/>
        <v>32691.91374616159</v>
      </c>
      <c r="T158" s="91">
        <f t="shared" si="94"/>
        <v>8719.2410256151761</v>
      </c>
      <c r="U158" s="91">
        <f t="shared" si="111"/>
        <v>41411.154771776768</v>
      </c>
      <c r="V158" s="91">
        <f t="shared" si="96"/>
        <v>28605.424527891391</v>
      </c>
      <c r="W158" s="91">
        <f t="shared" si="97"/>
        <v>7629.3358974132789</v>
      </c>
      <c r="X158" s="91">
        <f t="shared" si="98"/>
        <v>36234.760425304674</v>
      </c>
      <c r="Y158" s="91">
        <f t="shared" si="99"/>
        <v>24518.935309621193</v>
      </c>
      <c r="Z158" s="91">
        <f t="shared" si="100"/>
        <v>6539.4307692113825</v>
      </c>
      <c r="AA158" s="59">
        <f t="shared" si="101"/>
        <v>31058.366078832576</v>
      </c>
    </row>
    <row r="159" spans="1:35" ht="13.5" customHeight="1">
      <c r="A159" s="187">
        <v>20</v>
      </c>
      <c r="B159" s="50">
        <v>44682</v>
      </c>
      <c r="C159" s="61">
        <f>VLOOKUP(B159,'base(indices)'!$A$4:$C$183,3,FALSE)*1.25</f>
        <v>1515</v>
      </c>
      <c r="D159" s="343">
        <f>'base(indices)'!G152</f>
        <v>0.99999998000000001</v>
      </c>
      <c r="E159" s="62">
        <f t="shared" ref="E159:E178" si="112">C159*D159</f>
        <v>1514.9999697000001</v>
      </c>
      <c r="F159" s="307">
        <f>'base(indices)'!I152</f>
        <v>0.25900000000000001</v>
      </c>
      <c r="G159" s="63">
        <f t="shared" ref="G159:G178" si="113">E159*F159</f>
        <v>392.38499215230001</v>
      </c>
      <c r="H159" s="268">
        <f t="shared" ref="H159:H178" si="114">E159+G159</f>
        <v>1907.3849618523</v>
      </c>
      <c r="I159" s="360">
        <f t="shared" si="107"/>
        <v>40357.745942844915</v>
      </c>
      <c r="J159" s="45">
        <f>IF((I159-H$165+(H$165/12*8))+K159-(H159/2)&gt;$I$197,$I$197-K159,(I159-H$165+(H$165/12*8)-(H159/2)))</f>
        <v>38800.275473994327</v>
      </c>
      <c r="K159" s="108">
        <f t="shared" ref="K159:K178" si="115">I$196</f>
        <v>10899.051282018971</v>
      </c>
      <c r="L159" s="108">
        <f t="shared" ref="L159:L178" si="116">J159+K159</f>
        <v>49699.326756013295</v>
      </c>
      <c r="M159" s="108">
        <f t="shared" ref="M159:M178" si="117">J159*M$9</f>
        <v>36860.261700294606</v>
      </c>
      <c r="N159" s="108">
        <f t="shared" ref="N159:N178" si="118">K159*M$9</f>
        <v>10354.098717918021</v>
      </c>
      <c r="O159" s="108">
        <f t="shared" ref="O159:O178" si="119">M159+N159</f>
        <v>47214.360418212629</v>
      </c>
      <c r="P159" s="93">
        <f t="shared" si="104"/>
        <v>34920.247926594893</v>
      </c>
      <c r="Q159" s="108">
        <f t="shared" ref="Q159:Q178" si="120">K159*P$9</f>
        <v>9809.1461538170734</v>
      </c>
      <c r="R159" s="108">
        <f t="shared" si="105"/>
        <v>44729.394080411963</v>
      </c>
      <c r="S159" s="108">
        <f t="shared" si="110"/>
        <v>31040.220379195463</v>
      </c>
      <c r="T159" s="108">
        <f t="shared" ref="T159:T178" si="121">K159*S$9</f>
        <v>8719.2410256151761</v>
      </c>
      <c r="U159" s="108">
        <f t="shared" si="111"/>
        <v>39759.461404810638</v>
      </c>
      <c r="V159" s="108">
        <f t="shared" ref="V159:V178" si="122">J159*V$9</f>
        <v>27160.192831796026</v>
      </c>
      <c r="W159" s="108">
        <f t="shared" ref="W159:W178" si="123">K159*V$9</f>
        <v>7629.3358974132789</v>
      </c>
      <c r="X159" s="108">
        <f t="shared" ref="X159:X178" si="124">V159+W159</f>
        <v>34789.528729209305</v>
      </c>
      <c r="Y159" s="108">
        <f t="shared" ref="Y159:Y178" si="125">J159*Y$9</f>
        <v>23280.165284396597</v>
      </c>
      <c r="Z159" s="108">
        <f t="shared" ref="Z159:Z178" si="126">K159*Y$9</f>
        <v>6539.4307692113825</v>
      </c>
      <c r="AA159" s="46">
        <f t="shared" ref="AA159:AA178" si="127">Y159+Z159</f>
        <v>29819.59605360798</v>
      </c>
    </row>
    <row r="160" spans="1:35" ht="13.5" customHeight="1">
      <c r="A160" s="187">
        <v>19</v>
      </c>
      <c r="B160" s="50">
        <v>44713</v>
      </c>
      <c r="C160" s="61">
        <f>VLOOKUP(B160,'base(indices)'!$A$4:$C$183,3,FALSE)*1.25</f>
        <v>1515</v>
      </c>
      <c r="D160" s="343">
        <f>'base(indices)'!G153</f>
        <v>0.99999998000000001</v>
      </c>
      <c r="E160" s="52">
        <f t="shared" si="112"/>
        <v>1514.9999697000001</v>
      </c>
      <c r="F160" s="307">
        <f>'base(indices)'!I153</f>
        <v>0.2487</v>
      </c>
      <c r="G160" s="54">
        <f t="shared" si="113"/>
        <v>376.78049246439002</v>
      </c>
      <c r="H160" s="267">
        <f t="shared" si="114"/>
        <v>1891.78046216439</v>
      </c>
      <c r="I160" s="384">
        <f t="shared" si="107"/>
        <v>38450.360980992613</v>
      </c>
      <c r="J160" s="58">
        <f>IF((I160-H$165+(H$165/12*7))+K160-(H160/2)&gt;$I$197,$I$197-K160,(I160-H$165+(H$165/12*7)-(H160/2)))</f>
        <v>36749.74826500487</v>
      </c>
      <c r="K160" s="91">
        <f t="shared" si="115"/>
        <v>10899.051282018971</v>
      </c>
      <c r="L160" s="92">
        <f t="shared" si="116"/>
        <v>47648.799547023838</v>
      </c>
      <c r="M160" s="91">
        <f t="shared" si="117"/>
        <v>34912.260851754625</v>
      </c>
      <c r="N160" s="91">
        <f t="shared" si="118"/>
        <v>10354.098717918021</v>
      </c>
      <c r="O160" s="91">
        <f t="shared" si="119"/>
        <v>45266.359569672648</v>
      </c>
      <c r="P160" s="91">
        <f t="shared" si="104"/>
        <v>33074.77343850438</v>
      </c>
      <c r="Q160" s="91">
        <f t="shared" si="120"/>
        <v>9809.1461538170734</v>
      </c>
      <c r="R160" s="91">
        <f t="shared" si="105"/>
        <v>42883.919592321457</v>
      </c>
      <c r="S160" s="91">
        <f t="shared" si="110"/>
        <v>29399.798612003899</v>
      </c>
      <c r="T160" s="91">
        <f t="shared" si="121"/>
        <v>8719.2410256151761</v>
      </c>
      <c r="U160" s="91">
        <f t="shared" si="111"/>
        <v>38119.039637619077</v>
      </c>
      <c r="V160" s="91">
        <f t="shared" si="122"/>
        <v>25724.823785503406</v>
      </c>
      <c r="W160" s="91">
        <f t="shared" si="123"/>
        <v>7629.3358974132789</v>
      </c>
      <c r="X160" s="91">
        <f t="shared" si="124"/>
        <v>33354.159682916681</v>
      </c>
      <c r="Y160" s="91">
        <f t="shared" si="125"/>
        <v>22049.84895900292</v>
      </c>
      <c r="Z160" s="91">
        <f t="shared" si="126"/>
        <v>6539.4307692113825</v>
      </c>
      <c r="AA160" s="59">
        <f t="shared" si="127"/>
        <v>28589.279728214304</v>
      </c>
    </row>
    <row r="161" spans="1:27" ht="13.5" customHeight="1">
      <c r="A161" s="187">
        <v>18</v>
      </c>
      <c r="B161" s="50">
        <v>44743</v>
      </c>
      <c r="C161" s="61">
        <f>VLOOKUP(B161,'base(indices)'!$A$4:$C$183,3,FALSE)*1.25</f>
        <v>1515</v>
      </c>
      <c r="D161" s="343">
        <f>'base(indices)'!G154</f>
        <v>0.99999998000000001</v>
      </c>
      <c r="E161" s="62">
        <f t="shared" si="112"/>
        <v>1514.9999697000001</v>
      </c>
      <c r="F161" s="307">
        <f>'base(indices)'!I154</f>
        <v>0.23849999999999999</v>
      </c>
      <c r="G161" s="63">
        <f t="shared" si="113"/>
        <v>361.32749277344999</v>
      </c>
      <c r="H161" s="268">
        <f t="shared" si="114"/>
        <v>1876.3274624734499</v>
      </c>
      <c r="I161" s="360">
        <f t="shared" si="107"/>
        <v>36558.580518828225</v>
      </c>
      <c r="J161" s="45">
        <f>IF((I161-H$165+(H$165/12*6))+K161-(H161/2)&gt;$I$197,$I$197-K161,(I161-H$165+(H$165/12*6)-(H161/2)))</f>
        <v>34714.749805704836</v>
      </c>
      <c r="K161" s="108">
        <f t="shared" si="115"/>
        <v>10899.051282018971</v>
      </c>
      <c r="L161" s="108">
        <f t="shared" si="116"/>
        <v>45613.801087723805</v>
      </c>
      <c r="M161" s="108">
        <f t="shared" si="117"/>
        <v>32979.01231541959</v>
      </c>
      <c r="N161" s="108">
        <f t="shared" si="118"/>
        <v>10354.098717918021</v>
      </c>
      <c r="O161" s="108">
        <f t="shared" si="119"/>
        <v>43333.111033337613</v>
      </c>
      <c r="P161" s="93">
        <f t="shared" si="104"/>
        <v>31243.274825134355</v>
      </c>
      <c r="Q161" s="108">
        <f t="shared" si="120"/>
        <v>9809.1461538170734</v>
      </c>
      <c r="R161" s="108">
        <f t="shared" si="105"/>
        <v>41052.420978951428</v>
      </c>
      <c r="S161" s="108">
        <f t="shared" si="110"/>
        <v>27771.79984456387</v>
      </c>
      <c r="T161" s="108">
        <f t="shared" si="121"/>
        <v>8719.2410256151761</v>
      </c>
      <c r="U161" s="108">
        <f t="shared" si="111"/>
        <v>36491.040870179044</v>
      </c>
      <c r="V161" s="108">
        <f t="shared" si="122"/>
        <v>24300.324863993384</v>
      </c>
      <c r="W161" s="108">
        <f t="shared" si="123"/>
        <v>7629.3358974132789</v>
      </c>
      <c r="X161" s="108">
        <f t="shared" si="124"/>
        <v>31929.660761406663</v>
      </c>
      <c r="Y161" s="108">
        <f t="shared" si="125"/>
        <v>20828.849883422899</v>
      </c>
      <c r="Z161" s="108">
        <f t="shared" si="126"/>
        <v>6539.4307692113825</v>
      </c>
      <c r="AA161" s="46">
        <f t="shared" si="127"/>
        <v>27368.280652634283</v>
      </c>
    </row>
    <row r="162" spans="1:27" ht="13.5" customHeight="1">
      <c r="A162" s="187">
        <v>17</v>
      </c>
      <c r="B162" s="50">
        <v>44774</v>
      </c>
      <c r="C162" s="61">
        <f>VLOOKUP(B162,'base(indices)'!$A$4:$C$183,3,FALSE)*1.25</f>
        <v>1515</v>
      </c>
      <c r="D162" s="343">
        <f>'base(indices)'!G155</f>
        <v>0.99999998000000001</v>
      </c>
      <c r="E162" s="52">
        <f t="shared" si="112"/>
        <v>1514.9999697000001</v>
      </c>
      <c r="F162" s="307">
        <f>'base(indices)'!I155</f>
        <v>0.22819999999999999</v>
      </c>
      <c r="G162" s="54">
        <f t="shared" si="113"/>
        <v>345.72299308554</v>
      </c>
      <c r="H162" s="267">
        <f t="shared" si="114"/>
        <v>1860.7229627855399</v>
      </c>
      <c r="I162" s="384">
        <f t="shared" si="107"/>
        <v>34682.253056354777</v>
      </c>
      <c r="J162" s="58">
        <f>IF((I162-H$165+(H$165/12*5))+K162-(H162/2)&gt;$I$197,$I$197-K162,(I162-H$165+(H$165/12*5)-(H162/2)))</f>
        <v>32695.280096094233</v>
      </c>
      <c r="K162" s="91">
        <f t="shared" si="115"/>
        <v>10899.051282018971</v>
      </c>
      <c r="L162" s="92">
        <f t="shared" si="116"/>
        <v>43594.331378113202</v>
      </c>
      <c r="M162" s="91">
        <f t="shared" si="117"/>
        <v>31060.516091289519</v>
      </c>
      <c r="N162" s="91">
        <f t="shared" si="118"/>
        <v>10354.098717918021</v>
      </c>
      <c r="O162" s="91">
        <f t="shared" si="119"/>
        <v>41414.614809207538</v>
      </c>
      <c r="P162" s="91">
        <f t="shared" si="104"/>
        <v>29425.752086484812</v>
      </c>
      <c r="Q162" s="91">
        <f t="shared" si="120"/>
        <v>9809.1461538170734</v>
      </c>
      <c r="R162" s="91">
        <f t="shared" si="105"/>
        <v>39234.898240301889</v>
      </c>
      <c r="S162" s="91">
        <f t="shared" si="110"/>
        <v>26156.224076875387</v>
      </c>
      <c r="T162" s="91">
        <f t="shared" si="121"/>
        <v>8719.2410256151761</v>
      </c>
      <c r="U162" s="91">
        <f t="shared" si="111"/>
        <v>34875.465102490562</v>
      </c>
      <c r="V162" s="91">
        <f t="shared" si="122"/>
        <v>22886.696067265962</v>
      </c>
      <c r="W162" s="91">
        <f t="shared" si="123"/>
        <v>7629.3358974132789</v>
      </c>
      <c r="X162" s="91">
        <f t="shared" si="124"/>
        <v>30516.031964679241</v>
      </c>
      <c r="Y162" s="91">
        <f t="shared" si="125"/>
        <v>19617.168057656538</v>
      </c>
      <c r="Z162" s="91">
        <f t="shared" si="126"/>
        <v>6539.4307692113825</v>
      </c>
      <c r="AA162" s="59">
        <f t="shared" si="127"/>
        <v>26156.598826867921</v>
      </c>
    </row>
    <row r="163" spans="1:27" ht="13.5" customHeight="1">
      <c r="A163" s="187">
        <v>16</v>
      </c>
      <c r="B163" s="50">
        <v>44805</v>
      </c>
      <c r="C163" s="61">
        <f>VLOOKUP(B163,'base(indices)'!$A$4:$C$183,3,FALSE)*1.25</f>
        <v>1515</v>
      </c>
      <c r="D163" s="343">
        <f>'base(indices)'!G156</f>
        <v>0.99999998000000001</v>
      </c>
      <c r="E163" s="62">
        <f t="shared" si="112"/>
        <v>1514.9999697000001</v>
      </c>
      <c r="F163" s="307">
        <f>'base(indices)'!I156</f>
        <v>0.2165</v>
      </c>
      <c r="G163" s="63">
        <f t="shared" si="113"/>
        <v>327.99749344004999</v>
      </c>
      <c r="H163" s="268">
        <f t="shared" si="114"/>
        <v>1842.9974631400501</v>
      </c>
      <c r="I163" s="360">
        <f t="shared" si="107"/>
        <v>32821.530093569236</v>
      </c>
      <c r="J163" s="45">
        <f>IF((I163-H$165+(H$165/12*4))+K163-(H163/2)&gt;$I$197,$I$197-K163,(I163-H$165+(H$165/12*4)-(H163/2)))</f>
        <v>30692.475386150334</v>
      </c>
      <c r="K163" s="108">
        <f t="shared" si="115"/>
        <v>10899.051282018971</v>
      </c>
      <c r="L163" s="108">
        <f t="shared" si="116"/>
        <v>41591.526668169303</v>
      </c>
      <c r="M163" s="108">
        <f t="shared" si="117"/>
        <v>29157.851616842818</v>
      </c>
      <c r="N163" s="108">
        <f t="shared" si="118"/>
        <v>10354.098717918021</v>
      </c>
      <c r="O163" s="108">
        <f t="shared" si="119"/>
        <v>39511.950334760841</v>
      </c>
      <c r="P163" s="93">
        <f t="shared" si="104"/>
        <v>27623.227847535301</v>
      </c>
      <c r="Q163" s="108">
        <f t="shared" si="120"/>
        <v>9809.1461538170734</v>
      </c>
      <c r="R163" s="108">
        <f t="shared" si="105"/>
        <v>37432.374001352378</v>
      </c>
      <c r="S163" s="108">
        <f t="shared" si="110"/>
        <v>24553.980308920269</v>
      </c>
      <c r="T163" s="108">
        <f t="shared" si="121"/>
        <v>8719.2410256151761</v>
      </c>
      <c r="U163" s="108">
        <f t="shared" si="111"/>
        <v>33273.221334535447</v>
      </c>
      <c r="V163" s="108">
        <f t="shared" si="122"/>
        <v>21484.732770305232</v>
      </c>
      <c r="W163" s="108">
        <f t="shared" si="123"/>
        <v>7629.3358974132789</v>
      </c>
      <c r="X163" s="108">
        <f t="shared" si="124"/>
        <v>29114.068667718511</v>
      </c>
      <c r="Y163" s="108">
        <f t="shared" si="125"/>
        <v>18415.4852316902</v>
      </c>
      <c r="Z163" s="108">
        <f t="shared" si="126"/>
        <v>6539.4307692113825</v>
      </c>
      <c r="AA163" s="46">
        <f t="shared" si="127"/>
        <v>24954.916000901583</v>
      </c>
    </row>
    <row r="164" spans="1:27" ht="13.5" customHeight="1">
      <c r="A164" s="187">
        <v>15</v>
      </c>
      <c r="B164" s="50">
        <v>44835</v>
      </c>
      <c r="C164" s="61">
        <f>VLOOKUP(B164,'base(indices)'!$A$4:$C$183,3,FALSE)*1.25</f>
        <v>1515</v>
      </c>
      <c r="D164" s="343">
        <f>'base(indices)'!G157</f>
        <v>0.99999998000000001</v>
      </c>
      <c r="E164" s="52">
        <f t="shared" si="112"/>
        <v>1514.9999697000001</v>
      </c>
      <c r="F164" s="307">
        <f>'base(indices)'!I157</f>
        <v>0.20580000000000001</v>
      </c>
      <c r="G164" s="54">
        <f t="shared" si="113"/>
        <v>311.78699376426005</v>
      </c>
      <c r="H164" s="267">
        <f t="shared" si="114"/>
        <v>1826.7869634642602</v>
      </c>
      <c r="I164" s="384">
        <f t="shared" si="107"/>
        <v>30978.532630429185</v>
      </c>
      <c r="J164" s="58">
        <f>IF((I164-H$165+(H$165/12*3))+K164-(H164/2)&gt;$I$197,$I$197-K164,(I164-H$165+(H$165/12*3)-(H164/2)))</f>
        <v>28706.638675867063</v>
      </c>
      <c r="K164" s="91">
        <f t="shared" si="115"/>
        <v>10899.051282018971</v>
      </c>
      <c r="L164" s="92">
        <f t="shared" si="116"/>
        <v>39605.689957886032</v>
      </c>
      <c r="M164" s="91">
        <f t="shared" si="117"/>
        <v>27271.30674207371</v>
      </c>
      <c r="N164" s="91">
        <f t="shared" si="118"/>
        <v>10354.098717918021</v>
      </c>
      <c r="O164" s="91">
        <f t="shared" si="119"/>
        <v>37625.405459991729</v>
      </c>
      <c r="P164" s="91">
        <f t="shared" si="104"/>
        <v>25835.974808280356</v>
      </c>
      <c r="Q164" s="91">
        <f t="shared" si="120"/>
        <v>9809.1461538170734</v>
      </c>
      <c r="R164" s="91">
        <f t="shared" si="105"/>
        <v>35645.120962097426</v>
      </c>
      <c r="S164" s="91">
        <f t="shared" si="110"/>
        <v>22965.310940693653</v>
      </c>
      <c r="T164" s="91">
        <f t="shared" si="121"/>
        <v>8719.2410256151761</v>
      </c>
      <c r="U164" s="91">
        <f t="shared" si="111"/>
        <v>31684.551966308827</v>
      </c>
      <c r="V164" s="91">
        <f t="shared" si="122"/>
        <v>20094.647073106942</v>
      </c>
      <c r="W164" s="91">
        <f t="shared" si="123"/>
        <v>7629.3358974132789</v>
      </c>
      <c r="X164" s="91">
        <f t="shared" si="124"/>
        <v>27723.982970520221</v>
      </c>
      <c r="Y164" s="91">
        <f t="shared" si="125"/>
        <v>17223.983205520239</v>
      </c>
      <c r="Z164" s="91">
        <f t="shared" si="126"/>
        <v>6539.4307692113825</v>
      </c>
      <c r="AA164" s="59">
        <f t="shared" si="127"/>
        <v>23763.413974731622</v>
      </c>
    </row>
    <row r="165" spans="1:27" ht="13.5" customHeight="1">
      <c r="A165" s="187">
        <v>14</v>
      </c>
      <c r="B165" s="50">
        <v>44866</v>
      </c>
      <c r="C165" s="61">
        <f>VLOOKUP(B165,'base(indices)'!$A$4:$C$183,3,FALSE)*1.25</f>
        <v>1515</v>
      </c>
      <c r="D165" s="343">
        <f>'base(indices)'!G158</f>
        <v>0.99999998000000001</v>
      </c>
      <c r="E165" s="62">
        <f t="shared" si="112"/>
        <v>1514.9999697000001</v>
      </c>
      <c r="F165" s="307">
        <f>'base(indices)'!I158</f>
        <v>0.1956</v>
      </c>
      <c r="G165" s="63">
        <f t="shared" si="113"/>
        <v>296.33399407332001</v>
      </c>
      <c r="H165" s="268">
        <f t="shared" si="114"/>
        <v>1811.3339637733202</v>
      </c>
      <c r="I165" s="360">
        <f t="shared" si="107"/>
        <v>29151.745666964925</v>
      </c>
      <c r="J165" s="45">
        <f>IF((I165-H$165+(H$165/12*2))+K165-(H165/2)&gt;$I$197,$I$197-K165,(I165-H$165+(H$165/12*2)-(H165/2)))</f>
        <v>26736.633715267166</v>
      </c>
      <c r="K165" s="108">
        <f t="shared" si="115"/>
        <v>10899.051282018971</v>
      </c>
      <c r="L165" s="108">
        <f t="shared" si="116"/>
        <v>37635.684997286138</v>
      </c>
      <c r="M165" s="108">
        <f t="shared" si="117"/>
        <v>25399.802029503808</v>
      </c>
      <c r="N165" s="108">
        <f t="shared" si="118"/>
        <v>10354.098717918021</v>
      </c>
      <c r="O165" s="108">
        <f t="shared" si="119"/>
        <v>35753.900747421831</v>
      </c>
      <c r="P165" s="93">
        <f t="shared" si="104"/>
        <v>24062.97034374045</v>
      </c>
      <c r="Q165" s="108">
        <f t="shared" si="120"/>
        <v>9809.1461538170734</v>
      </c>
      <c r="R165" s="108">
        <f t="shared" si="105"/>
        <v>33872.116497557523</v>
      </c>
      <c r="S165" s="108">
        <f t="shared" si="110"/>
        <v>21389.306972213733</v>
      </c>
      <c r="T165" s="108">
        <f t="shared" si="121"/>
        <v>8719.2410256151761</v>
      </c>
      <c r="U165" s="108">
        <f t="shared" si="111"/>
        <v>30108.547997828908</v>
      </c>
      <c r="V165" s="108">
        <f t="shared" si="122"/>
        <v>18715.643600687014</v>
      </c>
      <c r="W165" s="108">
        <f t="shared" si="123"/>
        <v>7629.3358974132789</v>
      </c>
      <c r="X165" s="108">
        <f t="shared" si="124"/>
        <v>26344.979498100292</v>
      </c>
      <c r="Y165" s="108">
        <f t="shared" si="125"/>
        <v>16041.980229160299</v>
      </c>
      <c r="Z165" s="108">
        <f t="shared" si="126"/>
        <v>6539.4307692113825</v>
      </c>
      <c r="AA165" s="46">
        <f t="shared" si="127"/>
        <v>22581.410998371681</v>
      </c>
    </row>
    <row r="166" spans="1:27" ht="13.5" customHeight="1" thickBot="1">
      <c r="A166" s="188">
        <v>13</v>
      </c>
      <c r="B166" s="300">
        <v>44896</v>
      </c>
      <c r="C166" s="69">
        <f>C165*2</f>
        <v>3030</v>
      </c>
      <c r="D166" s="335">
        <f>'base(indices)'!G159</f>
        <v>0.99999998000000001</v>
      </c>
      <c r="E166" s="220">
        <f t="shared" si="112"/>
        <v>3029.9999394000001</v>
      </c>
      <c r="F166" s="304">
        <f>'base(indices)'!I159</f>
        <v>0.18540000000000001</v>
      </c>
      <c r="G166" s="163">
        <f t="shared" si="113"/>
        <v>561.76198876476008</v>
      </c>
      <c r="H166" s="355">
        <f t="shared" si="114"/>
        <v>3591.7619281647603</v>
      </c>
      <c r="I166" s="361">
        <f t="shared" si="107"/>
        <v>27340.411703191607</v>
      </c>
      <c r="J166" s="175">
        <f>IF((I166-H$165+(H$165/12*1))+K166-(H166/4)&gt;$I$197,$I$197-K166,(I166-H$165+(H$165/12*1)-(H166/4)))</f>
        <v>24782.081754358205</v>
      </c>
      <c r="K166" s="202">
        <f t="shared" si="115"/>
        <v>10899.051282018971</v>
      </c>
      <c r="L166" s="250">
        <f t="shared" si="116"/>
        <v>35681.133036377178</v>
      </c>
      <c r="M166" s="202">
        <f t="shared" si="117"/>
        <v>23542.977666640294</v>
      </c>
      <c r="N166" s="202">
        <f t="shared" si="118"/>
        <v>10354.098717918021</v>
      </c>
      <c r="O166" s="202">
        <f t="shared" si="119"/>
        <v>33897.076384558313</v>
      </c>
      <c r="P166" s="202">
        <f t="shared" si="104"/>
        <v>22303.873578922387</v>
      </c>
      <c r="Q166" s="202">
        <f t="shared" si="120"/>
        <v>9809.1461538170734</v>
      </c>
      <c r="R166" s="202">
        <f t="shared" si="105"/>
        <v>32113.01973273946</v>
      </c>
      <c r="S166" s="202">
        <f t="shared" si="110"/>
        <v>19825.665403486564</v>
      </c>
      <c r="T166" s="202">
        <f t="shared" si="121"/>
        <v>8719.2410256151761</v>
      </c>
      <c r="U166" s="202">
        <f t="shared" si="111"/>
        <v>28544.906429101742</v>
      </c>
      <c r="V166" s="202">
        <f t="shared" si="122"/>
        <v>17347.457228050742</v>
      </c>
      <c r="W166" s="202">
        <f t="shared" si="123"/>
        <v>7629.3358974132789</v>
      </c>
      <c r="X166" s="202">
        <f t="shared" si="124"/>
        <v>24976.793125464021</v>
      </c>
      <c r="Y166" s="202">
        <f t="shared" si="125"/>
        <v>14869.249052614923</v>
      </c>
      <c r="Z166" s="202">
        <f t="shared" si="126"/>
        <v>6539.4307692113825</v>
      </c>
      <c r="AA166" s="203">
        <f t="shared" si="127"/>
        <v>21408.679821826307</v>
      </c>
    </row>
    <row r="167" spans="1:27" ht="13.5" customHeight="1">
      <c r="A167" s="190">
        <v>12</v>
      </c>
      <c r="B167" s="136">
        <v>44927</v>
      </c>
      <c r="C167" s="120">
        <f>VLOOKUP(B167,'base(indices)'!$A$4:$C$183,3,FALSE)*1.25</f>
        <v>1627.5</v>
      </c>
      <c r="D167" s="386">
        <f>'base(indices)'!G160</f>
        <v>0.99999998000000001</v>
      </c>
      <c r="E167" s="78">
        <f t="shared" si="112"/>
        <v>1627.49996745</v>
      </c>
      <c r="F167" s="371">
        <f>'base(indices)'!I160</f>
        <v>0.17419999999999999</v>
      </c>
      <c r="G167" s="78">
        <f t="shared" si="113"/>
        <v>283.51049432978999</v>
      </c>
      <c r="H167" s="266">
        <f t="shared" si="114"/>
        <v>1911.0104617797899</v>
      </c>
      <c r="I167" s="358">
        <f t="shared" si="107"/>
        <v>23748.649775026846</v>
      </c>
      <c r="J167" s="288">
        <f>IF((I167-H$177+(H$177))+K167-(H167/2)&gt;$I$197,$I$197-K167,(I167-H$177+(H$177)-(H167/2)))</f>
        <v>22793.144544136951</v>
      </c>
      <c r="K167" s="109">
        <f t="shared" si="115"/>
        <v>10899.051282018971</v>
      </c>
      <c r="L167" s="109">
        <f t="shared" si="116"/>
        <v>33692.195826155919</v>
      </c>
      <c r="M167" s="109">
        <f t="shared" si="117"/>
        <v>21653.487316930103</v>
      </c>
      <c r="N167" s="109">
        <f t="shared" si="118"/>
        <v>10354.098717918021</v>
      </c>
      <c r="O167" s="109">
        <f t="shared" si="119"/>
        <v>32007.586034848122</v>
      </c>
      <c r="P167" s="90">
        <f t="shared" si="104"/>
        <v>20513.830089723255</v>
      </c>
      <c r="Q167" s="109">
        <f t="shared" si="120"/>
        <v>9809.1461538170734</v>
      </c>
      <c r="R167" s="109">
        <f t="shared" si="105"/>
        <v>30322.976243540328</v>
      </c>
      <c r="S167" s="109">
        <f t="shared" si="110"/>
        <v>18234.515635309563</v>
      </c>
      <c r="T167" s="109">
        <f t="shared" si="121"/>
        <v>8719.2410256151761</v>
      </c>
      <c r="U167" s="109">
        <f t="shared" si="111"/>
        <v>26953.756660924737</v>
      </c>
      <c r="V167" s="109">
        <f t="shared" si="122"/>
        <v>15955.201180895865</v>
      </c>
      <c r="W167" s="109">
        <f t="shared" si="123"/>
        <v>7629.3358974132789</v>
      </c>
      <c r="X167" s="109">
        <f t="shared" si="124"/>
        <v>23584.537078309142</v>
      </c>
      <c r="Y167" s="109">
        <f t="shared" si="125"/>
        <v>13675.886726482169</v>
      </c>
      <c r="Z167" s="109">
        <f t="shared" si="126"/>
        <v>6539.4307692113825</v>
      </c>
      <c r="AA167" s="49">
        <f t="shared" si="127"/>
        <v>20215.317495693551</v>
      </c>
    </row>
    <row r="168" spans="1:27" ht="13.5" customHeight="1">
      <c r="A168" s="187">
        <v>11</v>
      </c>
      <c r="B168" s="50">
        <v>44958</v>
      </c>
      <c r="C168" s="61">
        <f>VLOOKUP(B168,'base(indices)'!$A$4:$C$183,3,FALSE)*1.25</f>
        <v>1627.5</v>
      </c>
      <c r="D168" s="343">
        <f>'base(indices)'!G161</f>
        <v>0.99999998000000001</v>
      </c>
      <c r="E168" s="54">
        <f t="shared" si="112"/>
        <v>1627.49996745</v>
      </c>
      <c r="F168" s="307">
        <f>'base(indices)'!I161</f>
        <v>0.16300000000000001</v>
      </c>
      <c r="G168" s="54">
        <f t="shared" si="113"/>
        <v>265.28249469435002</v>
      </c>
      <c r="H168" s="267">
        <f t="shared" si="114"/>
        <v>1892.7824621443501</v>
      </c>
      <c r="I168" s="384">
        <f t="shared" si="107"/>
        <v>21837.639313247055</v>
      </c>
      <c r="J168" s="58">
        <f>IF((I168-H$177+(H$177/12*11))+K168-(H168/2)&gt;$I$197,$I$197-K168,(I168-H$177+(H$177/12*11)-(H168/2)))</f>
        <v>20744.233085115178</v>
      </c>
      <c r="K168" s="91">
        <f t="shared" si="115"/>
        <v>10899.051282018971</v>
      </c>
      <c r="L168" s="92">
        <f t="shared" si="116"/>
        <v>31643.284367134147</v>
      </c>
      <c r="M168" s="91">
        <f t="shared" si="117"/>
        <v>19707.021430859419</v>
      </c>
      <c r="N168" s="91">
        <f t="shared" si="118"/>
        <v>10354.098717918021</v>
      </c>
      <c r="O168" s="91">
        <f t="shared" si="119"/>
        <v>30061.120148777438</v>
      </c>
      <c r="P168" s="91">
        <f t="shared" si="104"/>
        <v>18669.809776603663</v>
      </c>
      <c r="Q168" s="91">
        <f t="shared" si="120"/>
        <v>9809.1461538170734</v>
      </c>
      <c r="R168" s="91">
        <f t="shared" si="105"/>
        <v>28478.955930420736</v>
      </c>
      <c r="S168" s="91">
        <f t="shared" si="110"/>
        <v>16595.386468092143</v>
      </c>
      <c r="T168" s="91">
        <f t="shared" si="121"/>
        <v>8719.2410256151761</v>
      </c>
      <c r="U168" s="91">
        <f t="shared" si="111"/>
        <v>25314.627493707318</v>
      </c>
      <c r="V168" s="91">
        <f t="shared" si="122"/>
        <v>14520.963159580624</v>
      </c>
      <c r="W168" s="91">
        <f t="shared" si="123"/>
        <v>7629.3358974132789</v>
      </c>
      <c r="X168" s="91">
        <f t="shared" si="124"/>
        <v>22150.299056993903</v>
      </c>
      <c r="Y168" s="91">
        <f t="shared" si="125"/>
        <v>12446.539851069107</v>
      </c>
      <c r="Z168" s="91">
        <f t="shared" si="126"/>
        <v>6539.4307692113825</v>
      </c>
      <c r="AA168" s="59">
        <f t="shared" si="127"/>
        <v>18985.970620280488</v>
      </c>
    </row>
    <row r="169" spans="1:27" ht="13.5" customHeight="1">
      <c r="A169" s="187">
        <v>10</v>
      </c>
      <c r="B169" s="40">
        <v>44986</v>
      </c>
      <c r="C169" s="61">
        <f>VLOOKUP(B169,'base(indices)'!$A$4:$C$183,3,FALSE)*1.25</f>
        <v>1627.5</v>
      </c>
      <c r="D169" s="343">
        <f>'base(indices)'!G162</f>
        <v>0.99999998000000001</v>
      </c>
      <c r="E169" s="63">
        <f t="shared" si="112"/>
        <v>1627.49996745</v>
      </c>
      <c r="F169" s="307">
        <f>'base(indices)'!I162</f>
        <v>0.15379999999999999</v>
      </c>
      <c r="G169" s="63">
        <f t="shared" si="113"/>
        <v>250.30949499380998</v>
      </c>
      <c r="H169" s="268">
        <f t="shared" si="114"/>
        <v>1877.8094624438099</v>
      </c>
      <c r="I169" s="360">
        <f t="shared" si="107"/>
        <v>19944.856851102704</v>
      </c>
      <c r="J169" s="45">
        <f>IF((I169-H$177+(H$177/12*10))+K169-(H169/2)&gt;$I$197,$I$197-K169,(I169-H$177+(H$177/12*10)-(H169/2)))</f>
        <v>18711.922125761397</v>
      </c>
      <c r="K169" s="108">
        <f t="shared" si="115"/>
        <v>10899.051282018971</v>
      </c>
      <c r="L169" s="108">
        <f t="shared" si="116"/>
        <v>29610.973407780366</v>
      </c>
      <c r="M169" s="108">
        <f t="shared" si="117"/>
        <v>17776.326019473327</v>
      </c>
      <c r="N169" s="108">
        <f t="shared" si="118"/>
        <v>10354.098717918021</v>
      </c>
      <c r="O169" s="108">
        <f t="shared" si="119"/>
        <v>28130.424737391346</v>
      </c>
      <c r="P169" s="93">
        <f t="shared" si="104"/>
        <v>16840.72991318526</v>
      </c>
      <c r="Q169" s="108">
        <f t="shared" si="120"/>
        <v>9809.1461538170734</v>
      </c>
      <c r="R169" s="108">
        <f t="shared" si="105"/>
        <v>26649.876067002333</v>
      </c>
      <c r="S169" s="108">
        <f t="shared" si="110"/>
        <v>14969.537700609118</v>
      </c>
      <c r="T169" s="108">
        <f t="shared" si="121"/>
        <v>8719.2410256151761</v>
      </c>
      <c r="U169" s="108">
        <f t="shared" si="111"/>
        <v>23688.778726224293</v>
      </c>
      <c r="V169" s="108">
        <f t="shared" si="122"/>
        <v>13098.345488032977</v>
      </c>
      <c r="W169" s="108">
        <f t="shared" si="123"/>
        <v>7629.3358974132789</v>
      </c>
      <c r="X169" s="108">
        <f t="shared" si="124"/>
        <v>20727.681385446256</v>
      </c>
      <c r="Y169" s="108">
        <f t="shared" si="125"/>
        <v>11227.153275456838</v>
      </c>
      <c r="Z169" s="108">
        <f t="shared" si="126"/>
        <v>6539.4307692113825</v>
      </c>
      <c r="AA169" s="46">
        <f t="shared" si="127"/>
        <v>17766.58404466822</v>
      </c>
    </row>
    <row r="170" spans="1:27" ht="13.5" customHeight="1">
      <c r="A170" s="187">
        <v>9</v>
      </c>
      <c r="B170" s="50">
        <v>45017</v>
      </c>
      <c r="C170" s="61">
        <f>VLOOKUP(B170,'base(indices)'!$A$4:$C$183,3,FALSE)*1.25</f>
        <v>1627.5</v>
      </c>
      <c r="D170" s="343">
        <f>'base(indices)'!G163</f>
        <v>0.99999998000000001</v>
      </c>
      <c r="E170" s="54">
        <f t="shared" si="112"/>
        <v>1627.49996745</v>
      </c>
      <c r="F170" s="307">
        <f>'base(indices)'!I163</f>
        <v>0.1421</v>
      </c>
      <c r="G170" s="54">
        <f t="shared" si="113"/>
        <v>231.26774537464502</v>
      </c>
      <c r="H170" s="267">
        <f t="shared" si="114"/>
        <v>1858.7677128246451</v>
      </c>
      <c r="I170" s="384">
        <f t="shared" si="107"/>
        <v>18067.047388658895</v>
      </c>
      <c r="J170" s="58">
        <f>IF((I170-H$177+(H$177/12*9))+K170-(H170/2)&gt;$I$197,$I$197-K170,(I170-H$177+(H$177/12*9)-(H170/2)))</f>
        <v>16696.618541067473</v>
      </c>
      <c r="K170" s="91">
        <f t="shared" si="115"/>
        <v>10899.051282018971</v>
      </c>
      <c r="L170" s="92">
        <f t="shared" si="116"/>
        <v>27595.669823086442</v>
      </c>
      <c r="M170" s="91">
        <f t="shared" si="117"/>
        <v>15861.7876140141</v>
      </c>
      <c r="N170" s="91">
        <f t="shared" si="118"/>
        <v>10354.098717918021</v>
      </c>
      <c r="O170" s="91">
        <f t="shared" si="119"/>
        <v>26215.886331932121</v>
      </c>
      <c r="P170" s="91">
        <f t="shared" si="104"/>
        <v>15026.956686960726</v>
      </c>
      <c r="Q170" s="91">
        <f t="shared" si="120"/>
        <v>9809.1461538170734</v>
      </c>
      <c r="R170" s="91">
        <f t="shared" si="105"/>
        <v>24836.102840777799</v>
      </c>
      <c r="S170" s="91">
        <f t="shared" si="110"/>
        <v>13357.294832853979</v>
      </c>
      <c r="T170" s="91">
        <f t="shared" si="121"/>
        <v>8719.2410256151761</v>
      </c>
      <c r="U170" s="91">
        <f t="shared" si="111"/>
        <v>22076.535858469157</v>
      </c>
      <c r="V170" s="91">
        <f t="shared" si="122"/>
        <v>11687.632978747231</v>
      </c>
      <c r="W170" s="91">
        <f t="shared" si="123"/>
        <v>7629.3358974132789</v>
      </c>
      <c r="X170" s="91">
        <f t="shared" si="124"/>
        <v>19316.96887616051</v>
      </c>
      <c r="Y170" s="91">
        <f t="shared" si="125"/>
        <v>10017.971124640484</v>
      </c>
      <c r="Z170" s="91">
        <f t="shared" si="126"/>
        <v>6539.4307692113825</v>
      </c>
      <c r="AA170" s="59">
        <f t="shared" si="127"/>
        <v>16557.401893851867</v>
      </c>
    </row>
    <row r="171" spans="1:27" ht="13.5" customHeight="1">
      <c r="A171" s="187">
        <v>8</v>
      </c>
      <c r="B171" s="40">
        <v>45047</v>
      </c>
      <c r="C171" s="61">
        <f>VLOOKUP(B171,'base(indices)'!$A$4:$C$183,3,FALSE)*1.25</f>
        <v>1650</v>
      </c>
      <c r="D171" s="343">
        <f>'base(indices)'!G164</f>
        <v>0.99999998000000001</v>
      </c>
      <c r="E171" s="63">
        <f t="shared" si="112"/>
        <v>1649.999967</v>
      </c>
      <c r="F171" s="307">
        <f>'base(indices)'!I164</f>
        <v>0.13289999999999999</v>
      </c>
      <c r="G171" s="63">
        <f t="shared" si="113"/>
        <v>219.28499561429999</v>
      </c>
      <c r="H171" s="268">
        <f t="shared" si="114"/>
        <v>1869.2849626143</v>
      </c>
      <c r="I171" s="360">
        <f t="shared" si="107"/>
        <v>16208.27967583425</v>
      </c>
      <c r="J171" s="45">
        <f>IF((I171-H$177+(H$177/12*8))+K171-(H171/2)&gt;$I$197,$I$197-K171,(I171-H$177+(H$177/12*8)-(H171/2)))</f>
        <v>14685.577206288299</v>
      </c>
      <c r="K171" s="108">
        <f t="shared" si="115"/>
        <v>10899.051282018971</v>
      </c>
      <c r="L171" s="108">
        <f t="shared" si="116"/>
        <v>25584.628488307269</v>
      </c>
      <c r="M171" s="108">
        <f t="shared" si="117"/>
        <v>13951.298345973883</v>
      </c>
      <c r="N171" s="108">
        <f t="shared" si="118"/>
        <v>10354.098717918021</v>
      </c>
      <c r="O171" s="108">
        <f t="shared" si="119"/>
        <v>24305.397063891905</v>
      </c>
      <c r="P171" s="93">
        <f t="shared" si="104"/>
        <v>13217.01948565947</v>
      </c>
      <c r="Q171" s="108">
        <f t="shared" si="120"/>
        <v>9809.1461538170734</v>
      </c>
      <c r="R171" s="108">
        <f t="shared" si="105"/>
        <v>23026.165639476545</v>
      </c>
      <c r="S171" s="108">
        <f t="shared" si="110"/>
        <v>11748.461765030639</v>
      </c>
      <c r="T171" s="108">
        <f t="shared" si="121"/>
        <v>8719.2410256151761</v>
      </c>
      <c r="U171" s="108">
        <f t="shared" si="111"/>
        <v>20467.702790645817</v>
      </c>
      <c r="V171" s="108">
        <f t="shared" si="122"/>
        <v>10279.904044401808</v>
      </c>
      <c r="W171" s="108">
        <f t="shared" si="123"/>
        <v>7629.3358974132789</v>
      </c>
      <c r="X171" s="108">
        <f t="shared" si="124"/>
        <v>17909.239941815089</v>
      </c>
      <c r="Y171" s="108">
        <f t="shared" si="125"/>
        <v>8811.3463237729793</v>
      </c>
      <c r="Z171" s="108">
        <f t="shared" si="126"/>
        <v>6539.4307692113825</v>
      </c>
      <c r="AA171" s="46">
        <f t="shared" si="127"/>
        <v>15350.777092984361</v>
      </c>
    </row>
    <row r="172" spans="1:27" ht="13.5" customHeight="1">
      <c r="A172" s="187">
        <v>7</v>
      </c>
      <c r="B172" s="50">
        <v>45078</v>
      </c>
      <c r="C172" s="61">
        <f>VLOOKUP(B172,'base(indices)'!$A$4:$C$183,3,FALSE)*1.25</f>
        <v>1650</v>
      </c>
      <c r="D172" s="343">
        <f>'base(indices)'!G165</f>
        <v>0.99999998000000001</v>
      </c>
      <c r="E172" s="54">
        <f t="shared" si="112"/>
        <v>1649.999967</v>
      </c>
      <c r="F172" s="307">
        <f>'base(indices)'!I165</f>
        <v>0.1217</v>
      </c>
      <c r="G172" s="54">
        <f t="shared" si="113"/>
        <v>200.8049959839</v>
      </c>
      <c r="H172" s="267">
        <f t="shared" si="114"/>
        <v>1850.8049629838999</v>
      </c>
      <c r="I172" s="384">
        <f t="shared" si="107"/>
        <v>14338.99471321995</v>
      </c>
      <c r="J172" s="58">
        <f>IF((I172-H$177+(H$177/12*7))+K172-(H172/2)&gt;$I$197,$I$197-K172,(I172-H$177+(H$177/12*7)-(H172/2)))</f>
        <v>12678.517246429499</v>
      </c>
      <c r="K172" s="91">
        <f t="shared" si="115"/>
        <v>10899.051282018971</v>
      </c>
      <c r="L172" s="92">
        <f t="shared" si="116"/>
        <v>23577.568528448472</v>
      </c>
      <c r="M172" s="91">
        <f t="shared" si="117"/>
        <v>12044.591384108024</v>
      </c>
      <c r="N172" s="91">
        <f t="shared" si="118"/>
        <v>10354.098717918021</v>
      </c>
      <c r="O172" s="91">
        <f t="shared" si="119"/>
        <v>22398.690102026045</v>
      </c>
      <c r="P172" s="91">
        <f t="shared" si="104"/>
        <v>11410.66552178655</v>
      </c>
      <c r="Q172" s="91">
        <f t="shared" si="120"/>
        <v>9809.1461538170734</v>
      </c>
      <c r="R172" s="91">
        <f t="shared" si="105"/>
        <v>21219.811675603625</v>
      </c>
      <c r="S172" s="91">
        <f t="shared" si="110"/>
        <v>10142.813797143601</v>
      </c>
      <c r="T172" s="91">
        <f t="shared" si="121"/>
        <v>8719.2410256151761</v>
      </c>
      <c r="U172" s="91">
        <f t="shared" si="111"/>
        <v>18862.054822758779</v>
      </c>
      <c r="V172" s="91">
        <f t="shared" si="122"/>
        <v>8874.962072500648</v>
      </c>
      <c r="W172" s="91">
        <f t="shared" si="123"/>
        <v>7629.3358974132789</v>
      </c>
      <c r="X172" s="91">
        <f t="shared" si="124"/>
        <v>16504.297969913925</v>
      </c>
      <c r="Y172" s="91">
        <f t="shared" si="125"/>
        <v>7607.1103478576988</v>
      </c>
      <c r="Z172" s="91">
        <f t="shared" si="126"/>
        <v>6539.4307692113825</v>
      </c>
      <c r="AA172" s="59">
        <f t="shared" si="127"/>
        <v>14146.541117069082</v>
      </c>
    </row>
    <row r="173" spans="1:27" ht="13.5" customHeight="1">
      <c r="A173" s="187">
        <v>6</v>
      </c>
      <c r="B173" s="40">
        <v>45108</v>
      </c>
      <c r="C173" s="61">
        <f>VLOOKUP(B173,'base(indices)'!$A$4:$C$183,3,FALSE)*1.25</f>
        <v>1650</v>
      </c>
      <c r="D173" s="343">
        <f>'base(indices)'!G166</f>
        <v>0.99999998000000001</v>
      </c>
      <c r="E173" s="63">
        <f t="shared" si="112"/>
        <v>1649.999967</v>
      </c>
      <c r="F173" s="307">
        <f>'base(indices)'!I166</f>
        <v>0.111</v>
      </c>
      <c r="G173" s="63">
        <f t="shared" si="113"/>
        <v>183.149996337</v>
      </c>
      <c r="H173" s="268">
        <f t="shared" si="114"/>
        <v>1833.1499633369999</v>
      </c>
      <c r="I173" s="360">
        <f t="shared" si="107"/>
        <v>12488.18975023605</v>
      </c>
      <c r="J173" s="45">
        <f>IF((I173-H$177+(H$177/12*6))+K173-(H173/2)&gt;$I$197,$I$197-K173,(I173-H$177+(H$177/12*6)-(H173/2)))</f>
        <v>10689.524786209349</v>
      </c>
      <c r="K173" s="108">
        <f t="shared" si="115"/>
        <v>10899.051282018971</v>
      </c>
      <c r="L173" s="108">
        <f t="shared" si="116"/>
        <v>21588.576068228322</v>
      </c>
      <c r="M173" s="108">
        <f t="shared" si="117"/>
        <v>10155.048546898881</v>
      </c>
      <c r="N173" s="108">
        <f t="shared" si="118"/>
        <v>10354.098717918021</v>
      </c>
      <c r="O173" s="108">
        <f t="shared" si="119"/>
        <v>20509.1472648169</v>
      </c>
      <c r="P173" s="93">
        <f t="shared" si="104"/>
        <v>9620.5723075884143</v>
      </c>
      <c r="Q173" s="108">
        <f t="shared" si="120"/>
        <v>9809.1461538170734</v>
      </c>
      <c r="R173" s="108">
        <f t="shared" si="105"/>
        <v>19429.718461405486</v>
      </c>
      <c r="S173" s="108">
        <f t="shared" si="110"/>
        <v>8551.6198289674794</v>
      </c>
      <c r="T173" s="108">
        <f t="shared" si="121"/>
        <v>8719.2410256151761</v>
      </c>
      <c r="U173" s="108">
        <f t="shared" si="111"/>
        <v>17270.860854582657</v>
      </c>
      <c r="V173" s="108">
        <f t="shared" si="122"/>
        <v>7482.6673503465436</v>
      </c>
      <c r="W173" s="108">
        <f t="shared" si="123"/>
        <v>7629.3358974132789</v>
      </c>
      <c r="X173" s="108">
        <f t="shared" si="124"/>
        <v>15112.003247759822</v>
      </c>
      <c r="Y173" s="108">
        <f t="shared" si="125"/>
        <v>6413.7148717256096</v>
      </c>
      <c r="Z173" s="108">
        <f t="shared" si="126"/>
        <v>6539.4307692113825</v>
      </c>
      <c r="AA173" s="46">
        <f t="shared" si="127"/>
        <v>12953.145640936993</v>
      </c>
    </row>
    <row r="174" spans="1:27" ht="13.5" customHeight="1">
      <c r="A174" s="187">
        <v>5</v>
      </c>
      <c r="B174" s="50">
        <v>45139</v>
      </c>
      <c r="C174" s="61">
        <f>VLOOKUP(B174,'base(indices)'!$A$4:$C$183,3,FALSE)*1.25</f>
        <v>1650</v>
      </c>
      <c r="D174" s="343">
        <f>'base(indices)'!G167</f>
        <v>0.99999998000000001</v>
      </c>
      <c r="E174" s="54">
        <f t="shared" si="112"/>
        <v>1649.999967</v>
      </c>
      <c r="F174" s="307">
        <f>'base(indices)'!I167</f>
        <v>0.1003</v>
      </c>
      <c r="G174" s="54">
        <f t="shared" si="113"/>
        <v>165.49499669010001</v>
      </c>
      <c r="H174" s="267">
        <f t="shared" si="114"/>
        <v>1815.4949636900999</v>
      </c>
      <c r="I174" s="384">
        <f t="shared" si="107"/>
        <v>10655.039786899049</v>
      </c>
      <c r="J174" s="58">
        <f>IF((I174-H$177+(H$177/12*5))+K174-(H174/2)&gt;$I$197,$I$197-K174,(I174-H$177+(H$177/12*5)-(H174/2)))</f>
        <v>8718.1873256360996</v>
      </c>
      <c r="K174" s="91">
        <f t="shared" si="115"/>
        <v>10899.051282018971</v>
      </c>
      <c r="L174" s="92">
        <f t="shared" si="116"/>
        <v>19617.238607655068</v>
      </c>
      <c r="M174" s="91">
        <f t="shared" si="117"/>
        <v>8282.2779593542946</v>
      </c>
      <c r="N174" s="91">
        <f t="shared" si="118"/>
        <v>10354.098717918021</v>
      </c>
      <c r="O174" s="91">
        <f t="shared" si="119"/>
        <v>18636.376677272317</v>
      </c>
      <c r="P174" s="91">
        <f t="shared" si="104"/>
        <v>7846.3685930724896</v>
      </c>
      <c r="Q174" s="91">
        <f t="shared" si="120"/>
        <v>9809.1461538170734</v>
      </c>
      <c r="R174" s="91">
        <f t="shared" si="105"/>
        <v>17655.514746889563</v>
      </c>
      <c r="S174" s="91">
        <f t="shared" si="110"/>
        <v>6974.5498605088796</v>
      </c>
      <c r="T174" s="91">
        <f t="shared" si="121"/>
        <v>8719.2410256151761</v>
      </c>
      <c r="U174" s="91">
        <f t="shared" si="111"/>
        <v>15693.790886124056</v>
      </c>
      <c r="V174" s="91">
        <f t="shared" si="122"/>
        <v>6102.7311279452697</v>
      </c>
      <c r="W174" s="91">
        <f t="shared" si="123"/>
        <v>7629.3358974132789</v>
      </c>
      <c r="X174" s="91">
        <f t="shared" si="124"/>
        <v>13732.067025358549</v>
      </c>
      <c r="Y174" s="91">
        <f t="shared" si="125"/>
        <v>5230.9123953816597</v>
      </c>
      <c r="Z174" s="91">
        <f t="shared" si="126"/>
        <v>6539.4307692113825</v>
      </c>
      <c r="AA174" s="59">
        <f t="shared" si="127"/>
        <v>11770.343164593043</v>
      </c>
    </row>
    <row r="175" spans="1:27" ht="13.5" customHeight="1">
      <c r="A175" s="187">
        <v>4</v>
      </c>
      <c r="B175" s="40">
        <v>45170</v>
      </c>
      <c r="C175" s="61">
        <f>VLOOKUP(B175,'base(indices)'!$A$4:$C$183,3,FALSE)*1.25</f>
        <v>1650</v>
      </c>
      <c r="D175" s="343">
        <f>'base(indices)'!G168</f>
        <v>0.99999998000000001</v>
      </c>
      <c r="E175" s="63">
        <f t="shared" si="112"/>
        <v>1649.999967</v>
      </c>
      <c r="F175" s="307">
        <f>'base(indices)'!I168</f>
        <v>8.8900000000000007E-2</v>
      </c>
      <c r="G175" s="63">
        <f t="shared" si="113"/>
        <v>146.68499706630001</v>
      </c>
      <c r="H175" s="268">
        <f t="shared" si="114"/>
        <v>1796.6849640662999</v>
      </c>
      <c r="I175" s="360">
        <f t="shared" si="107"/>
        <v>8839.5448232089493</v>
      </c>
      <c r="J175" s="45">
        <f>IF((I175-H$177+(H$177/12*4))+K175-(H175/2)&gt;$I$197,$I$197-K175,(I175-H$177+(H$177/12*4)-(H175/2)))</f>
        <v>6765.0823646981989</v>
      </c>
      <c r="K175" s="108">
        <f t="shared" si="115"/>
        <v>10899.051282018971</v>
      </c>
      <c r="L175" s="108">
        <f t="shared" si="116"/>
        <v>17664.133646717171</v>
      </c>
      <c r="M175" s="108">
        <f t="shared" si="117"/>
        <v>6426.8282464632885</v>
      </c>
      <c r="N175" s="108">
        <f t="shared" si="118"/>
        <v>10354.098717918021</v>
      </c>
      <c r="O175" s="108">
        <f t="shared" si="119"/>
        <v>16780.92696438131</v>
      </c>
      <c r="P175" s="93">
        <f t="shared" si="104"/>
        <v>6088.5741282283789</v>
      </c>
      <c r="Q175" s="108">
        <f t="shared" si="120"/>
        <v>9809.1461538170734</v>
      </c>
      <c r="R175" s="108">
        <f t="shared" si="105"/>
        <v>15897.720282045451</v>
      </c>
      <c r="S175" s="108">
        <f t="shared" si="110"/>
        <v>5412.0658917585597</v>
      </c>
      <c r="T175" s="108">
        <f t="shared" si="121"/>
        <v>8719.2410256151761</v>
      </c>
      <c r="U175" s="108">
        <f t="shared" si="111"/>
        <v>14131.306917373735</v>
      </c>
      <c r="V175" s="108">
        <f t="shared" si="122"/>
        <v>4735.5576552887387</v>
      </c>
      <c r="W175" s="108">
        <f t="shared" si="123"/>
        <v>7629.3358974132789</v>
      </c>
      <c r="X175" s="108">
        <f t="shared" si="124"/>
        <v>12364.893552702018</v>
      </c>
      <c r="Y175" s="108">
        <f t="shared" si="125"/>
        <v>4059.0494188189191</v>
      </c>
      <c r="Z175" s="108">
        <f t="shared" si="126"/>
        <v>6539.4307692113825</v>
      </c>
      <c r="AA175" s="46">
        <f t="shared" si="127"/>
        <v>10598.480188030302</v>
      </c>
    </row>
    <row r="176" spans="1:27" ht="13.5" customHeight="1">
      <c r="A176" s="187">
        <v>3</v>
      </c>
      <c r="B176" s="50">
        <v>45200</v>
      </c>
      <c r="C176" s="61">
        <f>VLOOKUP(B176,'base(indices)'!$A$4:$C$183,3,FALSE)*1.25</f>
        <v>1650</v>
      </c>
      <c r="D176" s="343">
        <f>'base(indices)'!G169</f>
        <v>0.99999998000000001</v>
      </c>
      <c r="E176" s="54">
        <f t="shared" si="112"/>
        <v>1649.999967</v>
      </c>
      <c r="F176" s="307">
        <f>'base(indices)'!I169</f>
        <v>7.9200000000000007E-2</v>
      </c>
      <c r="G176" s="54">
        <f t="shared" si="113"/>
        <v>130.6799973864</v>
      </c>
      <c r="H176" s="267">
        <f t="shared" si="114"/>
        <v>1780.6799643863999</v>
      </c>
      <c r="I176" s="384">
        <f t="shared" si="107"/>
        <v>7042.8598591426489</v>
      </c>
      <c r="J176" s="58">
        <f>IF((I176-H$177+(H$177/12*3))+K176-(H176/2)&gt;$I$197,$I$197-K176,(I176-H$177+(H$177/12*3)-(H176/2)))</f>
        <v>4829.3849034121495</v>
      </c>
      <c r="K176" s="91">
        <f t="shared" si="115"/>
        <v>10899.051282018971</v>
      </c>
      <c r="L176" s="92">
        <f t="shared" si="116"/>
        <v>15728.436185431121</v>
      </c>
      <c r="M176" s="91">
        <f t="shared" si="117"/>
        <v>4587.9156582415417</v>
      </c>
      <c r="N176" s="91">
        <f t="shared" si="118"/>
        <v>10354.098717918021</v>
      </c>
      <c r="O176" s="91">
        <f t="shared" si="119"/>
        <v>14942.014376159563</v>
      </c>
      <c r="P176" s="91">
        <f t="shared" si="104"/>
        <v>4346.4464130709348</v>
      </c>
      <c r="Q176" s="91">
        <f t="shared" si="120"/>
        <v>9809.1461538170734</v>
      </c>
      <c r="R176" s="91">
        <f t="shared" si="105"/>
        <v>14155.592566888008</v>
      </c>
      <c r="S176" s="91">
        <f t="shared" si="110"/>
        <v>3863.5079227297197</v>
      </c>
      <c r="T176" s="91">
        <f t="shared" si="121"/>
        <v>8719.2410256151761</v>
      </c>
      <c r="U176" s="91">
        <f t="shared" si="111"/>
        <v>12582.748948344895</v>
      </c>
      <c r="V176" s="91">
        <f t="shared" si="122"/>
        <v>3380.5694323885045</v>
      </c>
      <c r="W176" s="91">
        <f t="shared" si="123"/>
        <v>7629.3358974132789</v>
      </c>
      <c r="X176" s="91">
        <f t="shared" si="124"/>
        <v>11009.905329801782</v>
      </c>
      <c r="Y176" s="91">
        <f t="shared" si="125"/>
        <v>2897.6309420472894</v>
      </c>
      <c r="Z176" s="91">
        <f t="shared" si="126"/>
        <v>6539.4307692113825</v>
      </c>
      <c r="AA176" s="59">
        <f t="shared" si="127"/>
        <v>9437.0617112586715</v>
      </c>
    </row>
    <row r="177" spans="1:35" ht="13.5" customHeight="1">
      <c r="A177" s="187">
        <v>2</v>
      </c>
      <c r="B177" s="40">
        <v>45231</v>
      </c>
      <c r="C177" s="61">
        <f>VLOOKUP(B177,'base(indices)'!$A$4:$C$183,3,FALSE)*1.25</f>
        <v>1650</v>
      </c>
      <c r="D177" s="343">
        <f>'base(indices)'!G170</f>
        <v>0.99999998000000001</v>
      </c>
      <c r="E177" s="63">
        <f t="shared" si="112"/>
        <v>1649.999967</v>
      </c>
      <c r="F177" s="307">
        <f>'base(indices)'!I170</f>
        <v>6.9199999999999998E-2</v>
      </c>
      <c r="G177" s="63">
        <f t="shared" si="113"/>
        <v>114.1799977164</v>
      </c>
      <c r="H177" s="268">
        <f t="shared" si="114"/>
        <v>1764.1799647164</v>
      </c>
      <c r="I177" s="360">
        <f t="shared" si="107"/>
        <v>5262.1798947562493</v>
      </c>
      <c r="J177" s="45">
        <f>IF((I177-H$177+(H$177/12*2))+K177-(H177/2)&gt;$I$197,$I$197-K177,(I177-H$177+(H$177/12*2)-(H177/2)))</f>
        <v>2909.9399418010494</v>
      </c>
      <c r="K177" s="108">
        <f t="shared" si="115"/>
        <v>10899.051282018971</v>
      </c>
      <c r="L177" s="108">
        <f t="shared" si="116"/>
        <v>13808.99122382002</v>
      </c>
      <c r="M177" s="108">
        <f t="shared" si="117"/>
        <v>2764.4429447109969</v>
      </c>
      <c r="N177" s="108">
        <f t="shared" si="118"/>
        <v>10354.098717918021</v>
      </c>
      <c r="O177" s="108">
        <f t="shared" si="119"/>
        <v>13118.541662629017</v>
      </c>
      <c r="P177" s="93">
        <f t="shared" si="104"/>
        <v>2618.9459476209445</v>
      </c>
      <c r="Q177" s="108">
        <f t="shared" si="120"/>
        <v>9809.1461538170734</v>
      </c>
      <c r="R177" s="108">
        <f t="shared" si="105"/>
        <v>12428.092101438018</v>
      </c>
      <c r="S177" s="108">
        <f t="shared" si="110"/>
        <v>2327.9519534408396</v>
      </c>
      <c r="T177" s="108">
        <f t="shared" si="121"/>
        <v>8719.2410256151761</v>
      </c>
      <c r="U177" s="108">
        <f t="shared" si="111"/>
        <v>11047.192979056015</v>
      </c>
      <c r="V177" s="108">
        <f t="shared" si="122"/>
        <v>2036.9579592607345</v>
      </c>
      <c r="W177" s="108">
        <f t="shared" si="123"/>
        <v>7629.3358974132789</v>
      </c>
      <c r="X177" s="108">
        <f t="shared" si="124"/>
        <v>9666.293856674014</v>
      </c>
      <c r="Y177" s="108">
        <f t="shared" si="125"/>
        <v>1745.9639650806296</v>
      </c>
      <c r="Z177" s="108">
        <f t="shared" si="126"/>
        <v>6539.4307692113825</v>
      </c>
      <c r="AA177" s="46">
        <f t="shared" si="127"/>
        <v>8285.3947342920128</v>
      </c>
    </row>
    <row r="178" spans="1:35" ht="13.5" customHeight="1" thickBot="1">
      <c r="A178" s="188">
        <v>1</v>
      </c>
      <c r="B178" s="300">
        <v>45261</v>
      </c>
      <c r="C178" s="69">
        <f>C177*2</f>
        <v>3300</v>
      </c>
      <c r="D178" s="335">
        <f>'base(indices)'!G171</f>
        <v>0.99999998000000001</v>
      </c>
      <c r="E178" s="163">
        <f t="shared" si="112"/>
        <v>3299.9999339999999</v>
      </c>
      <c r="F178" s="304">
        <f>'base(indices)'!I171</f>
        <v>0.06</v>
      </c>
      <c r="G178" s="163">
        <f t="shared" si="113"/>
        <v>197.99999603999998</v>
      </c>
      <c r="H178" s="355">
        <f t="shared" si="114"/>
        <v>3497.99993004</v>
      </c>
      <c r="I178" s="361">
        <f t="shared" si="107"/>
        <v>3497.9999300398495</v>
      </c>
      <c r="J178" s="85">
        <f>IF(((I178/2)+(H$177/12*1-(H178/4)))+K178&gt;I$197,I$197-K178,((I178/2)+(H$177/12*1-(H178/4))))</f>
        <v>1021.5149795696248</v>
      </c>
      <c r="K178" s="86">
        <f t="shared" si="115"/>
        <v>10899.051282018971</v>
      </c>
      <c r="L178" s="164">
        <f t="shared" si="116"/>
        <v>11920.566261588596</v>
      </c>
      <c r="M178" s="86">
        <f t="shared" si="117"/>
        <v>970.43923059114343</v>
      </c>
      <c r="N178" s="86">
        <f t="shared" si="118"/>
        <v>10354.098717918021</v>
      </c>
      <c r="O178" s="86">
        <f t="shared" si="119"/>
        <v>11324.537948509165</v>
      </c>
      <c r="P178" s="86">
        <f t="shared" si="104"/>
        <v>919.36348161266233</v>
      </c>
      <c r="Q178" s="86">
        <f t="shared" si="120"/>
        <v>9809.1461538170734</v>
      </c>
      <c r="R178" s="86">
        <f t="shared" si="105"/>
        <v>10728.509635429735</v>
      </c>
      <c r="S178" s="86">
        <f t="shared" si="110"/>
        <v>817.2119836556999</v>
      </c>
      <c r="T178" s="86">
        <f t="shared" si="121"/>
        <v>8719.2410256151761</v>
      </c>
      <c r="U178" s="86">
        <f t="shared" si="111"/>
        <v>9536.4530092708756</v>
      </c>
      <c r="V178" s="86">
        <f t="shared" si="122"/>
        <v>715.06048569873724</v>
      </c>
      <c r="W178" s="86">
        <f t="shared" si="123"/>
        <v>7629.3358974132789</v>
      </c>
      <c r="X178" s="86">
        <f t="shared" si="124"/>
        <v>8344.3963831120163</v>
      </c>
      <c r="Y178" s="86">
        <f t="shared" si="125"/>
        <v>612.90898774177481</v>
      </c>
      <c r="Z178" s="86">
        <f t="shared" si="126"/>
        <v>6539.4307692113825</v>
      </c>
      <c r="AA178" s="165">
        <f t="shared" si="127"/>
        <v>7152.3397569531571</v>
      </c>
    </row>
    <row r="179" spans="1:35" ht="12.75" customHeight="1" thickBot="1">
      <c r="A179" s="171"/>
      <c r="B179" s="172" t="s">
        <v>24</v>
      </c>
      <c r="C179" s="172"/>
      <c r="D179" s="376"/>
      <c r="E179" s="174"/>
      <c r="F179" s="437">
        <f>W7</f>
        <v>45474</v>
      </c>
      <c r="G179" s="437"/>
      <c r="H179" s="377"/>
      <c r="I179" s="451">
        <f>SUM(H11:H178)</f>
        <v>330666.34241047199</v>
      </c>
      <c r="J179" s="452"/>
      <c r="K179" s="35"/>
      <c r="L179" s="35"/>
      <c r="M179" s="36"/>
      <c r="N179" s="34"/>
      <c r="O179" s="34"/>
      <c r="P179" s="34"/>
      <c r="Q179" s="34"/>
      <c r="R179" s="34"/>
      <c r="S179" s="34"/>
      <c r="T179" s="34"/>
      <c r="U179" s="34"/>
      <c r="V179" s="34"/>
      <c r="W179" s="34"/>
      <c r="Y179" s="34"/>
      <c r="Z179" s="34"/>
    </row>
    <row r="180" spans="1:35" ht="12" customHeight="1">
      <c r="A180" s="169"/>
      <c r="B180" s="405" t="s">
        <v>238</v>
      </c>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9.7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4.25" customHeight="1">
      <c r="A182" s="166">
        <v>1</v>
      </c>
      <c r="B182" s="136">
        <v>45292</v>
      </c>
      <c r="C182" s="120">
        <f>VLOOKUP(B182,'base(indices)'!$A$4:$C$183,3,FALSE)*1.25</f>
        <v>1765</v>
      </c>
      <c r="D182" s="386">
        <f>'base(indices)'!G172</f>
        <v>0.99999998000000001</v>
      </c>
      <c r="E182" s="125">
        <f>C182*D182</f>
        <v>1764.9999647</v>
      </c>
      <c r="F182" s="371">
        <f>'base(indices)'!I172</f>
        <v>5.11E-2</v>
      </c>
      <c r="G182" s="78">
        <f t="shared" ref="G182:G193" si="128">E182*F182</f>
        <v>90.191498196170002</v>
      </c>
      <c r="H182" s="266">
        <f>E182+G182</f>
        <v>1855.1914628961699</v>
      </c>
      <c r="I182" s="81">
        <f>I196</f>
        <v>10899.051282018971</v>
      </c>
      <c r="J182" s="114">
        <v>0</v>
      </c>
      <c r="K182" s="90">
        <f t="shared" ref="K182:K193" si="129">I182-(H182/2)</f>
        <v>9971.455550570885</v>
      </c>
      <c r="L182" s="112">
        <f t="shared" ref="L182:L192" si="130">J182+K182</f>
        <v>9971.455550570885</v>
      </c>
      <c r="M182" s="48">
        <f>$J182*M$9</f>
        <v>0</v>
      </c>
      <c r="N182" s="109">
        <f>$K182*M$9</f>
        <v>9472.88277304234</v>
      </c>
      <c r="O182" s="49">
        <f>M182+N182</f>
        <v>9472.88277304234</v>
      </c>
      <c r="P182" s="138">
        <f>$J182*P$9</f>
        <v>0</v>
      </c>
      <c r="Q182" s="138">
        <f>$K182*P$9</f>
        <v>8974.3099955137968</v>
      </c>
      <c r="R182" s="139">
        <f>P182+Q182</f>
        <v>8974.3099955137968</v>
      </c>
      <c r="S182" s="48">
        <f>$J182*S$9</f>
        <v>0</v>
      </c>
      <c r="T182" s="109">
        <f>$K182*S$9</f>
        <v>7977.1644404567087</v>
      </c>
      <c r="U182" s="49">
        <f>S182+T182</f>
        <v>7977.1644404567087</v>
      </c>
      <c r="V182" s="48">
        <f>$J182*V$9</f>
        <v>0</v>
      </c>
      <c r="W182" s="138">
        <f>$K182*V$9</f>
        <v>6980.0188853996187</v>
      </c>
      <c r="X182" s="49">
        <f>V182+W182</f>
        <v>6980.0188853996187</v>
      </c>
      <c r="Y182" s="48">
        <f>$J182*Y$9</f>
        <v>0</v>
      </c>
      <c r="Z182" s="138">
        <f>$K182*Y$9</f>
        <v>5982.8733303425306</v>
      </c>
      <c r="AA182" s="49">
        <f>Y182+Z182</f>
        <v>5982.8733303425306</v>
      </c>
      <c r="AB182" s="16"/>
      <c r="AC182" s="16"/>
      <c r="AD182" s="16"/>
      <c r="AE182" s="16"/>
      <c r="AF182" s="16"/>
      <c r="AG182" s="17"/>
      <c r="AH182" s="16"/>
      <c r="AI182" s="16"/>
    </row>
    <row r="183" spans="1:35" s="26" customFormat="1" ht="14.25" customHeight="1">
      <c r="A183" s="105">
        <v>2</v>
      </c>
      <c r="B183" s="50">
        <v>45323</v>
      </c>
      <c r="C183" s="61">
        <f>VLOOKUP(B183,'base(indices)'!$A$4:$C$183,3,FALSE)*1.25</f>
        <v>1765</v>
      </c>
      <c r="D183" s="343">
        <f>'base(indices)'!G173</f>
        <v>0.99999998000000001</v>
      </c>
      <c r="E183" s="63">
        <f>C183*D183</f>
        <v>1764.9999647</v>
      </c>
      <c r="F183" s="307">
        <f>'base(indices)'!I173</f>
        <v>4.1399999999999999E-2</v>
      </c>
      <c r="G183" s="54">
        <f t="shared" si="128"/>
        <v>73.07099853858</v>
      </c>
      <c r="H183" s="267">
        <f>E183+G183</f>
        <v>1838.0709632385799</v>
      </c>
      <c r="I183" s="56">
        <f t="shared" ref="I183:I193" si="131">I182-H182</f>
        <v>9043.8598191228011</v>
      </c>
      <c r="J183" s="57">
        <v>0</v>
      </c>
      <c r="K183" s="91">
        <f t="shared" si="129"/>
        <v>8124.8243375035108</v>
      </c>
      <c r="L183" s="113">
        <f t="shared" si="130"/>
        <v>8124.8243375035108</v>
      </c>
      <c r="M183" s="58">
        <f t="shared" ref="M183:M193" si="132">$J183*M$9</f>
        <v>0</v>
      </c>
      <c r="N183" s="91">
        <f t="shared" ref="N183:N188" si="133">$K183*M$9</f>
        <v>7718.5831206283347</v>
      </c>
      <c r="O183" s="59">
        <f t="shared" ref="O183:O188" si="134">M183+N183</f>
        <v>7718.5831206283347</v>
      </c>
      <c r="P183" s="57">
        <f t="shared" ref="P183:P193" si="135">$J183*P$9</f>
        <v>0</v>
      </c>
      <c r="Q183" s="57">
        <f t="shared" ref="Q183:Q188" si="136">$K183*P$9</f>
        <v>7312.3419037531603</v>
      </c>
      <c r="R183" s="60">
        <f t="shared" ref="R183:R188" si="137">P183+Q183</f>
        <v>7312.3419037531603</v>
      </c>
      <c r="S183" s="58">
        <f t="shared" ref="S183:S193" si="138">$J183*S$9</f>
        <v>0</v>
      </c>
      <c r="T183" s="91">
        <f t="shared" ref="T183:T188" si="139">$K183*S$9</f>
        <v>6499.8594700028088</v>
      </c>
      <c r="U183" s="59">
        <f t="shared" ref="U183:U188" si="140">S183+T183</f>
        <v>6499.8594700028088</v>
      </c>
      <c r="V183" s="58">
        <f t="shared" ref="V183:V193" si="141">$J183*V$9</f>
        <v>0</v>
      </c>
      <c r="W183" s="57">
        <f t="shared" ref="W183:W188" si="142">$K183*V$9</f>
        <v>5687.3770362524574</v>
      </c>
      <c r="X183" s="59">
        <f t="shared" ref="X183:X188" si="143">V183+W183</f>
        <v>5687.3770362524574</v>
      </c>
      <c r="Y183" s="58">
        <f t="shared" ref="Y183:Y193" si="144">$J183*Y$9</f>
        <v>0</v>
      </c>
      <c r="Z183" s="57">
        <f t="shared" ref="Z183:Z192" si="145">$K183*Y$9</f>
        <v>4874.894602502106</v>
      </c>
      <c r="AA183" s="59">
        <f t="shared" ref="AA183:AA192" si="146">Y183+Z183</f>
        <v>4874.894602502106</v>
      </c>
      <c r="AB183" s="32"/>
      <c r="AC183" s="32"/>
      <c r="AD183" s="32"/>
      <c r="AE183" s="32"/>
      <c r="AF183" s="32"/>
      <c r="AG183" s="33"/>
      <c r="AH183" s="32"/>
      <c r="AI183" s="32"/>
    </row>
    <row r="184" spans="1:35" ht="14.25" customHeight="1">
      <c r="A184" s="104">
        <v>3</v>
      </c>
      <c r="B184" s="40">
        <v>45352</v>
      </c>
      <c r="C184" s="61">
        <f>VLOOKUP(B184,'base(indices)'!$A$4:$C$183,3,FALSE)*1.25</f>
        <v>1765</v>
      </c>
      <c r="D184" s="343">
        <f>'base(indices)'!G174</f>
        <v>0.99999998000000001</v>
      </c>
      <c r="E184" s="63">
        <f>C184*D184</f>
        <v>1764.9999647</v>
      </c>
      <c r="F184" s="307">
        <f>'base(indices)'!I174</f>
        <v>3.3399999999999999E-2</v>
      </c>
      <c r="G184" s="63">
        <f t="shared" si="128"/>
        <v>58.950998820979997</v>
      </c>
      <c r="H184" s="268">
        <f>E184+G184</f>
        <v>1823.9509635209799</v>
      </c>
      <c r="I184" s="65">
        <f t="shared" si="131"/>
        <v>7205.7888558842214</v>
      </c>
      <c r="J184" s="66">
        <v>0</v>
      </c>
      <c r="K184" s="93">
        <f t="shared" si="129"/>
        <v>6293.8133741237316</v>
      </c>
      <c r="L184" s="115">
        <f>J184+K184</f>
        <v>6293.8133741237316</v>
      </c>
      <c r="M184" s="45">
        <f t="shared" si="132"/>
        <v>0</v>
      </c>
      <c r="N184" s="108">
        <f t="shared" si="133"/>
        <v>5979.1227054175451</v>
      </c>
      <c r="O184" s="46">
        <f t="shared" si="134"/>
        <v>5979.1227054175451</v>
      </c>
      <c r="P184" s="43">
        <f t="shared" si="135"/>
        <v>0</v>
      </c>
      <c r="Q184" s="43">
        <f t="shared" si="136"/>
        <v>5664.4320367113587</v>
      </c>
      <c r="R184" s="47">
        <f t="shared" si="137"/>
        <v>5664.4320367113587</v>
      </c>
      <c r="S184" s="45">
        <f t="shared" si="138"/>
        <v>0</v>
      </c>
      <c r="T184" s="108">
        <f t="shared" si="139"/>
        <v>5035.0506992989858</v>
      </c>
      <c r="U184" s="46">
        <f t="shared" si="140"/>
        <v>5035.0506992989858</v>
      </c>
      <c r="V184" s="45">
        <f t="shared" si="141"/>
        <v>0</v>
      </c>
      <c r="W184" s="43">
        <f t="shared" si="142"/>
        <v>4405.669361886612</v>
      </c>
      <c r="X184" s="46">
        <f t="shared" si="143"/>
        <v>4405.669361886612</v>
      </c>
      <c r="Y184" s="45">
        <f t="shared" si="144"/>
        <v>0</v>
      </c>
      <c r="Z184" s="43">
        <f t="shared" si="145"/>
        <v>3776.2880244742387</v>
      </c>
      <c r="AA184" s="46">
        <f t="shared" si="146"/>
        <v>3776.2880244742387</v>
      </c>
      <c r="AB184" s="16"/>
      <c r="AC184" s="16"/>
      <c r="AD184" s="16"/>
      <c r="AE184" s="16"/>
      <c r="AF184" s="16"/>
      <c r="AG184" s="17"/>
      <c r="AH184" s="16"/>
      <c r="AI184" s="16"/>
    </row>
    <row r="185" spans="1:35" s="26" customFormat="1" ht="14.25" customHeight="1">
      <c r="A185" s="105">
        <v>4</v>
      </c>
      <c r="B185" s="50">
        <v>45383</v>
      </c>
      <c r="C185" s="61">
        <f>VLOOKUP(B185,'base(indices)'!$A$4:$C$183,3,FALSE)*1.25</f>
        <v>1765</v>
      </c>
      <c r="D185" s="343">
        <f>'base(indices)'!G175</f>
        <v>0.99999998000000001</v>
      </c>
      <c r="E185" s="63">
        <f>C185*D185</f>
        <v>1764.9999647</v>
      </c>
      <c r="F185" s="307">
        <f>'base(indices)'!I175</f>
        <v>2.5100000000000001E-2</v>
      </c>
      <c r="G185" s="54">
        <f t="shared" si="128"/>
        <v>44.301499113970003</v>
      </c>
      <c r="H185" s="267">
        <f t="shared" ref="H185:H193" si="147">E185+G185</f>
        <v>1809.30146381397</v>
      </c>
      <c r="I185" s="56">
        <f t="shared" si="131"/>
        <v>5381.8378923632417</v>
      </c>
      <c r="J185" s="57">
        <v>0</v>
      </c>
      <c r="K185" s="91">
        <f t="shared" si="129"/>
        <v>4477.1871604562566</v>
      </c>
      <c r="L185" s="113">
        <f t="shared" si="130"/>
        <v>4477.1871604562566</v>
      </c>
      <c r="M185" s="58">
        <f t="shared" si="132"/>
        <v>0</v>
      </c>
      <c r="N185" s="91">
        <f t="shared" si="133"/>
        <v>4253.3278024334431</v>
      </c>
      <c r="O185" s="59">
        <f t="shared" si="134"/>
        <v>4253.3278024334431</v>
      </c>
      <c r="P185" s="57">
        <f t="shared" si="135"/>
        <v>0</v>
      </c>
      <c r="Q185" s="57">
        <f t="shared" si="136"/>
        <v>4029.468444410631</v>
      </c>
      <c r="R185" s="60">
        <f t="shared" si="137"/>
        <v>4029.468444410631</v>
      </c>
      <c r="S185" s="58">
        <f t="shared" si="138"/>
        <v>0</v>
      </c>
      <c r="T185" s="91">
        <f t="shared" si="139"/>
        <v>3581.7497283650055</v>
      </c>
      <c r="U185" s="59">
        <f t="shared" si="140"/>
        <v>3581.7497283650055</v>
      </c>
      <c r="V185" s="58">
        <f t="shared" si="141"/>
        <v>0</v>
      </c>
      <c r="W185" s="57">
        <f t="shared" si="142"/>
        <v>3134.0310123193794</v>
      </c>
      <c r="X185" s="59">
        <f t="shared" si="143"/>
        <v>3134.0310123193794</v>
      </c>
      <c r="Y185" s="58">
        <f t="shared" si="144"/>
        <v>0</v>
      </c>
      <c r="Z185" s="57">
        <f t="shared" si="145"/>
        <v>2686.3122962737539</v>
      </c>
      <c r="AA185" s="59">
        <f t="shared" si="146"/>
        <v>2686.3122962737539</v>
      </c>
      <c r="AB185" s="32"/>
      <c r="AC185" s="32"/>
      <c r="AD185" s="32"/>
      <c r="AE185" s="32"/>
      <c r="AF185" s="32"/>
      <c r="AG185" s="33"/>
      <c r="AH185" s="32"/>
      <c r="AI185" s="32"/>
    </row>
    <row r="186" spans="1:35" ht="14.25" customHeight="1">
      <c r="A186" s="105">
        <v>5</v>
      </c>
      <c r="B186" s="40">
        <v>45413</v>
      </c>
      <c r="C186" s="61">
        <f>VLOOKUP(B186,'base(indices)'!$A$4:$C$183,3,FALSE)*1.25</f>
        <v>1765</v>
      </c>
      <c r="D186" s="343">
        <f>'base(indices)'!G176</f>
        <v>0.99999998000000001</v>
      </c>
      <c r="E186" s="63">
        <f>C186*D186</f>
        <v>1764.9999647</v>
      </c>
      <c r="F186" s="307">
        <f>'base(indices)'!I176</f>
        <v>1.6199999999999999E-2</v>
      </c>
      <c r="G186" s="63">
        <f t="shared" si="128"/>
        <v>28.592999428139997</v>
      </c>
      <c r="H186" s="268">
        <f t="shared" si="147"/>
        <v>1793.59296412814</v>
      </c>
      <c r="I186" s="83">
        <f t="shared" si="131"/>
        <v>3572.5364285492715</v>
      </c>
      <c r="J186" s="66">
        <v>0</v>
      </c>
      <c r="K186" s="93">
        <f t="shared" si="129"/>
        <v>2675.7399464852015</v>
      </c>
      <c r="L186" s="115">
        <f t="shared" si="130"/>
        <v>2675.7399464852015</v>
      </c>
      <c r="M186" s="45">
        <f t="shared" si="132"/>
        <v>0</v>
      </c>
      <c r="N186" s="108">
        <f t="shared" si="133"/>
        <v>2541.9529491609414</v>
      </c>
      <c r="O186" s="46">
        <f t="shared" si="134"/>
        <v>2541.9529491609414</v>
      </c>
      <c r="P186" s="43">
        <f t="shared" si="135"/>
        <v>0</v>
      </c>
      <c r="Q186" s="43">
        <f t="shared" si="136"/>
        <v>2408.1659518366814</v>
      </c>
      <c r="R186" s="47">
        <f t="shared" si="137"/>
        <v>2408.1659518366814</v>
      </c>
      <c r="S186" s="45">
        <f t="shared" si="138"/>
        <v>0</v>
      </c>
      <c r="T186" s="108">
        <f t="shared" si="139"/>
        <v>2140.5919571881614</v>
      </c>
      <c r="U186" s="46">
        <f t="shared" si="140"/>
        <v>2140.5919571881614</v>
      </c>
      <c r="V186" s="45">
        <f t="shared" si="141"/>
        <v>0</v>
      </c>
      <c r="W186" s="43">
        <f t="shared" si="142"/>
        <v>1873.0179625396408</v>
      </c>
      <c r="X186" s="46">
        <f t="shared" si="143"/>
        <v>1873.0179625396408</v>
      </c>
      <c r="Y186" s="45">
        <f t="shared" si="144"/>
        <v>0</v>
      </c>
      <c r="Z186" s="43">
        <f t="shared" si="145"/>
        <v>1605.4439678911208</v>
      </c>
      <c r="AA186" s="46">
        <f t="shared" si="146"/>
        <v>1605.4439678911208</v>
      </c>
      <c r="AB186" s="16"/>
      <c r="AC186" s="16"/>
      <c r="AD186" s="16"/>
      <c r="AE186" s="16"/>
      <c r="AF186" s="16"/>
      <c r="AG186" s="17"/>
      <c r="AH186" s="16"/>
      <c r="AI186" s="16"/>
    </row>
    <row r="187" spans="1:35" s="26" customFormat="1" ht="14.25" customHeight="1">
      <c r="A187" s="104">
        <v>6</v>
      </c>
      <c r="B187" s="50">
        <v>45444</v>
      </c>
      <c r="C187" s="61">
        <f>VLOOKUP(B187,'base(indices)'!$A$4:$C$183,3,FALSE)*1.25</f>
        <v>1765</v>
      </c>
      <c r="D187" s="343">
        <f>'base(indices)'!G177</f>
        <v>0.99999998000000001</v>
      </c>
      <c r="E187" s="63">
        <f t="shared" ref="E187:E193" si="148">C187*D187</f>
        <v>1764.9999647</v>
      </c>
      <c r="F187" s="307">
        <f>'base(indices)'!I177</f>
        <v>7.9000000000000008E-3</v>
      </c>
      <c r="G187" s="54">
        <f t="shared" si="128"/>
        <v>13.943499721130001</v>
      </c>
      <c r="H187" s="267">
        <f t="shared" si="147"/>
        <v>1778.9434644211299</v>
      </c>
      <c r="I187" s="56">
        <f t="shared" si="131"/>
        <v>1778.9434644211315</v>
      </c>
      <c r="J187" s="57">
        <v>0</v>
      </c>
      <c r="K187" s="91">
        <f t="shared" si="129"/>
        <v>889.47173221056653</v>
      </c>
      <c r="L187" s="113">
        <f t="shared" si="130"/>
        <v>889.47173221056653</v>
      </c>
      <c r="M187" s="58">
        <f t="shared" si="132"/>
        <v>0</v>
      </c>
      <c r="N187" s="91">
        <f t="shared" si="133"/>
        <v>844.99814560003813</v>
      </c>
      <c r="O187" s="59">
        <f t="shared" si="134"/>
        <v>844.99814560003813</v>
      </c>
      <c r="P187" s="57">
        <f t="shared" si="135"/>
        <v>0</v>
      </c>
      <c r="Q187" s="57">
        <f t="shared" si="136"/>
        <v>800.52455898950984</v>
      </c>
      <c r="R187" s="60">
        <f t="shared" si="137"/>
        <v>800.52455898950984</v>
      </c>
      <c r="S187" s="58">
        <f t="shared" si="138"/>
        <v>0</v>
      </c>
      <c r="T187" s="91">
        <f t="shared" si="139"/>
        <v>711.57738576845327</v>
      </c>
      <c r="U187" s="59">
        <f t="shared" si="140"/>
        <v>711.57738576845327</v>
      </c>
      <c r="V187" s="58">
        <f t="shared" si="141"/>
        <v>0</v>
      </c>
      <c r="W187" s="57">
        <f t="shared" si="142"/>
        <v>622.63021254739658</v>
      </c>
      <c r="X187" s="59">
        <f t="shared" si="143"/>
        <v>622.63021254739658</v>
      </c>
      <c r="Y187" s="58">
        <f t="shared" si="144"/>
        <v>0</v>
      </c>
      <c r="Z187" s="57">
        <f t="shared" si="145"/>
        <v>533.68303932633989</v>
      </c>
      <c r="AA187" s="59">
        <f t="shared" si="146"/>
        <v>533.68303932633989</v>
      </c>
      <c r="AB187" s="32"/>
      <c r="AC187" s="32"/>
      <c r="AD187" s="32"/>
      <c r="AE187" s="32"/>
      <c r="AF187" s="32"/>
      <c r="AG187" s="33"/>
      <c r="AH187" s="32"/>
      <c r="AI187" s="32"/>
    </row>
    <row r="188" spans="1:35" ht="14.25" customHeight="1">
      <c r="A188" s="105">
        <v>7</v>
      </c>
      <c r="B188" s="40">
        <v>45474</v>
      </c>
      <c r="C188" s="61">
        <f>VLOOKUP(B188,'base(indices)'!$A$4:$C$183,3,FALSE)*1.25</f>
        <v>1765</v>
      </c>
      <c r="D188" s="343">
        <f>'base(indices)'!G178</f>
        <v>0</v>
      </c>
      <c r="E188" s="63">
        <f t="shared" si="148"/>
        <v>0</v>
      </c>
      <c r="F188" s="307">
        <f>'base(indices)'!I178</f>
        <v>0</v>
      </c>
      <c r="G188" s="63">
        <f t="shared" si="128"/>
        <v>0</v>
      </c>
      <c r="H188" s="267">
        <f t="shared" si="147"/>
        <v>0</v>
      </c>
      <c r="I188" s="65">
        <f t="shared" si="131"/>
        <v>0</v>
      </c>
      <c r="J188" s="66">
        <v>0</v>
      </c>
      <c r="K188" s="93">
        <f t="shared" si="129"/>
        <v>0</v>
      </c>
      <c r="L188" s="115">
        <f t="shared" si="130"/>
        <v>0</v>
      </c>
      <c r="M188" s="45">
        <f t="shared" si="132"/>
        <v>0</v>
      </c>
      <c r="N188" s="108">
        <f t="shared" si="133"/>
        <v>0</v>
      </c>
      <c r="O188" s="46">
        <f t="shared" si="134"/>
        <v>0</v>
      </c>
      <c r="P188" s="43">
        <f t="shared" si="135"/>
        <v>0</v>
      </c>
      <c r="Q188" s="43">
        <f t="shared" si="136"/>
        <v>0</v>
      </c>
      <c r="R188" s="47">
        <f t="shared" si="137"/>
        <v>0</v>
      </c>
      <c r="S188" s="45">
        <f t="shared" si="138"/>
        <v>0</v>
      </c>
      <c r="T188" s="108">
        <f t="shared" si="139"/>
        <v>0</v>
      </c>
      <c r="U188" s="46">
        <f t="shared" si="140"/>
        <v>0</v>
      </c>
      <c r="V188" s="45">
        <f t="shared" si="141"/>
        <v>0</v>
      </c>
      <c r="W188" s="43">
        <f t="shared" si="142"/>
        <v>0</v>
      </c>
      <c r="X188" s="46">
        <f t="shared" si="143"/>
        <v>0</v>
      </c>
      <c r="Y188" s="45">
        <f t="shared" si="144"/>
        <v>0</v>
      </c>
      <c r="Z188" s="43">
        <f t="shared" si="145"/>
        <v>0</v>
      </c>
      <c r="AA188" s="46">
        <f t="shared" si="146"/>
        <v>0</v>
      </c>
      <c r="AB188" s="16"/>
      <c r="AC188" s="16"/>
      <c r="AD188" s="16"/>
      <c r="AE188" s="16"/>
      <c r="AF188" s="16"/>
      <c r="AG188" s="17"/>
      <c r="AH188" s="16"/>
      <c r="AI188" s="16"/>
    </row>
    <row r="189" spans="1:35" s="26" customFormat="1" ht="14.25" customHeight="1">
      <c r="A189" s="105">
        <v>8</v>
      </c>
      <c r="B189" s="50">
        <v>45505</v>
      </c>
      <c r="C189" s="61">
        <f>VLOOKUP(B189,'base(indices)'!$A$4:$C$183,3,FALSE)*1.25</f>
        <v>1765</v>
      </c>
      <c r="D189" s="343">
        <f>'base(indices)'!G179</f>
        <v>0</v>
      </c>
      <c r="E189" s="63">
        <f t="shared" si="148"/>
        <v>0</v>
      </c>
      <c r="F189" s="307">
        <f>'base(indices)'!I179</f>
        <v>0</v>
      </c>
      <c r="G189" s="63">
        <f t="shared" si="128"/>
        <v>0</v>
      </c>
      <c r="H189" s="267">
        <f t="shared" si="147"/>
        <v>0</v>
      </c>
      <c r="I189" s="56">
        <f t="shared" si="131"/>
        <v>0</v>
      </c>
      <c r="J189" s="57">
        <v>0</v>
      </c>
      <c r="K189" s="91">
        <f t="shared" si="129"/>
        <v>0</v>
      </c>
      <c r="L189" s="113">
        <f t="shared" si="130"/>
        <v>0</v>
      </c>
      <c r="M189" s="58">
        <f t="shared" si="132"/>
        <v>0</v>
      </c>
      <c r="N189" s="91">
        <f>$K189*M$9</f>
        <v>0</v>
      </c>
      <c r="O189" s="59">
        <f>M189+N189</f>
        <v>0</v>
      </c>
      <c r="P189" s="57">
        <f t="shared" si="135"/>
        <v>0</v>
      </c>
      <c r="Q189" s="57">
        <f>$K189*P$9</f>
        <v>0</v>
      </c>
      <c r="R189" s="60">
        <f>P189+Q189</f>
        <v>0</v>
      </c>
      <c r="S189" s="58">
        <f t="shared" si="138"/>
        <v>0</v>
      </c>
      <c r="T189" s="91">
        <f>$K189*S$9</f>
        <v>0</v>
      </c>
      <c r="U189" s="59">
        <f>S189+T189</f>
        <v>0</v>
      </c>
      <c r="V189" s="58">
        <f t="shared" si="141"/>
        <v>0</v>
      </c>
      <c r="W189" s="57">
        <f>$K189*V$9</f>
        <v>0</v>
      </c>
      <c r="X189" s="59">
        <f>V189+W189</f>
        <v>0</v>
      </c>
      <c r="Y189" s="58">
        <f t="shared" si="144"/>
        <v>0</v>
      </c>
      <c r="Z189" s="57">
        <f t="shared" si="145"/>
        <v>0</v>
      </c>
      <c r="AA189" s="59">
        <f t="shared" si="146"/>
        <v>0</v>
      </c>
      <c r="AB189" s="32"/>
      <c r="AC189" s="32"/>
      <c r="AD189" s="32"/>
      <c r="AE189" s="32"/>
      <c r="AF189" s="32"/>
      <c r="AG189" s="33"/>
      <c r="AH189" s="32"/>
      <c r="AI189" s="32"/>
    </row>
    <row r="190" spans="1:35" ht="14.25" customHeight="1">
      <c r="A190" s="104">
        <v>9</v>
      </c>
      <c r="B190" s="40">
        <v>45536</v>
      </c>
      <c r="C190" s="61">
        <f>VLOOKUP(B190,'base(indices)'!$A$4:$C$183,3,FALSE)*1.25</f>
        <v>1765</v>
      </c>
      <c r="D190" s="343">
        <f>'base(indices)'!G180</f>
        <v>0</v>
      </c>
      <c r="E190" s="63">
        <f t="shared" si="148"/>
        <v>0</v>
      </c>
      <c r="F190" s="307">
        <f>'base(indices)'!I180</f>
        <v>0</v>
      </c>
      <c r="G190" s="63">
        <f t="shared" si="128"/>
        <v>0</v>
      </c>
      <c r="H190" s="267">
        <f t="shared" si="147"/>
        <v>0</v>
      </c>
      <c r="I190" s="65">
        <f t="shared" si="131"/>
        <v>0</v>
      </c>
      <c r="J190" s="66">
        <v>0</v>
      </c>
      <c r="K190" s="93">
        <f t="shared" si="129"/>
        <v>0</v>
      </c>
      <c r="L190" s="115">
        <f t="shared" si="130"/>
        <v>0</v>
      </c>
      <c r="M190" s="45">
        <f t="shared" si="132"/>
        <v>0</v>
      </c>
      <c r="N190" s="108">
        <f>$K190*M$9</f>
        <v>0</v>
      </c>
      <c r="O190" s="46">
        <f>M190+N190</f>
        <v>0</v>
      </c>
      <c r="P190" s="43">
        <f t="shared" si="135"/>
        <v>0</v>
      </c>
      <c r="Q190" s="43">
        <f>$K190*P$9</f>
        <v>0</v>
      </c>
      <c r="R190" s="47">
        <f>P190+Q190</f>
        <v>0</v>
      </c>
      <c r="S190" s="45">
        <f t="shared" si="138"/>
        <v>0</v>
      </c>
      <c r="T190" s="108">
        <f>$K190*S$9</f>
        <v>0</v>
      </c>
      <c r="U190" s="46">
        <f>S190+T190</f>
        <v>0</v>
      </c>
      <c r="V190" s="45">
        <f t="shared" si="141"/>
        <v>0</v>
      </c>
      <c r="W190" s="43">
        <f>$K190*V$9</f>
        <v>0</v>
      </c>
      <c r="X190" s="46">
        <f>V190+W190</f>
        <v>0</v>
      </c>
      <c r="Y190" s="45">
        <f t="shared" si="144"/>
        <v>0</v>
      </c>
      <c r="Z190" s="43">
        <f t="shared" si="145"/>
        <v>0</v>
      </c>
      <c r="AA190" s="46">
        <f t="shared" si="146"/>
        <v>0</v>
      </c>
      <c r="AB190" s="16"/>
      <c r="AC190" s="16"/>
      <c r="AD190" s="16"/>
      <c r="AE190" s="16"/>
      <c r="AF190" s="16"/>
      <c r="AG190" s="17"/>
      <c r="AH190" s="16"/>
      <c r="AI190" s="16"/>
    </row>
    <row r="191" spans="1:35" s="26" customFormat="1" ht="14.25" customHeight="1">
      <c r="A191" s="105">
        <v>10</v>
      </c>
      <c r="B191" s="50">
        <v>45566</v>
      </c>
      <c r="C191" s="61">
        <f>VLOOKUP(B191,'base(indices)'!$A$4:$C$183,3,FALSE)*1.25</f>
        <v>1765</v>
      </c>
      <c r="D191" s="343">
        <f>'base(indices)'!G181</f>
        <v>0</v>
      </c>
      <c r="E191" s="63">
        <f t="shared" si="148"/>
        <v>0</v>
      </c>
      <c r="F191" s="307">
        <f>'base(indices)'!I181</f>
        <v>0</v>
      </c>
      <c r="G191" s="63">
        <f t="shared" si="128"/>
        <v>0</v>
      </c>
      <c r="H191" s="267">
        <f t="shared" si="147"/>
        <v>0</v>
      </c>
      <c r="I191" s="56">
        <f t="shared" si="131"/>
        <v>0</v>
      </c>
      <c r="J191" s="57">
        <v>0</v>
      </c>
      <c r="K191" s="91">
        <f t="shared" si="129"/>
        <v>0</v>
      </c>
      <c r="L191" s="113">
        <f t="shared" si="130"/>
        <v>0</v>
      </c>
      <c r="M191" s="58">
        <f t="shared" si="132"/>
        <v>0</v>
      </c>
      <c r="N191" s="91">
        <f>$K191*M$9</f>
        <v>0</v>
      </c>
      <c r="O191" s="59">
        <f>M191+N191</f>
        <v>0</v>
      </c>
      <c r="P191" s="57">
        <f t="shared" si="135"/>
        <v>0</v>
      </c>
      <c r="Q191" s="57">
        <f>$K191*P$9</f>
        <v>0</v>
      </c>
      <c r="R191" s="60">
        <f>P191+Q191</f>
        <v>0</v>
      </c>
      <c r="S191" s="58">
        <f t="shared" si="138"/>
        <v>0</v>
      </c>
      <c r="T191" s="91">
        <f>$K191*S$9</f>
        <v>0</v>
      </c>
      <c r="U191" s="59">
        <f>S191+T191</f>
        <v>0</v>
      </c>
      <c r="V191" s="58">
        <f t="shared" si="141"/>
        <v>0</v>
      </c>
      <c r="W191" s="57">
        <f>$K191*V$9</f>
        <v>0</v>
      </c>
      <c r="X191" s="59">
        <f>V191+W191</f>
        <v>0</v>
      </c>
      <c r="Y191" s="58">
        <f t="shared" si="144"/>
        <v>0</v>
      </c>
      <c r="Z191" s="57">
        <f t="shared" si="145"/>
        <v>0</v>
      </c>
      <c r="AA191" s="59">
        <f t="shared" si="146"/>
        <v>0</v>
      </c>
      <c r="AB191" s="32"/>
      <c r="AC191" s="32"/>
      <c r="AD191" s="32"/>
      <c r="AE191" s="32"/>
      <c r="AF191" s="32"/>
      <c r="AG191" s="33"/>
      <c r="AH191" s="32"/>
      <c r="AI191" s="32"/>
    </row>
    <row r="192" spans="1:35" ht="14.25" customHeight="1">
      <c r="A192" s="105">
        <v>11</v>
      </c>
      <c r="B192" s="40">
        <v>45597</v>
      </c>
      <c r="C192" s="61">
        <f>VLOOKUP(B192,'base(indices)'!$A$4:$C$183,3,FALSE)*1.25</f>
        <v>1765</v>
      </c>
      <c r="D192" s="343">
        <f>'base(indices)'!G182</f>
        <v>0</v>
      </c>
      <c r="E192" s="63">
        <f t="shared" si="148"/>
        <v>0</v>
      </c>
      <c r="F192" s="307">
        <f>'base(indices)'!I182</f>
        <v>0</v>
      </c>
      <c r="G192" s="63">
        <f t="shared" si="128"/>
        <v>0</v>
      </c>
      <c r="H192" s="267">
        <f t="shared" si="147"/>
        <v>0</v>
      </c>
      <c r="I192" s="65">
        <f t="shared" si="131"/>
        <v>0</v>
      </c>
      <c r="J192" s="66">
        <v>0</v>
      </c>
      <c r="K192" s="93">
        <f t="shared" si="129"/>
        <v>0</v>
      </c>
      <c r="L192" s="115">
        <f t="shared" si="130"/>
        <v>0</v>
      </c>
      <c r="M192" s="45">
        <f t="shared" si="132"/>
        <v>0</v>
      </c>
      <c r="N192" s="108">
        <f>$K192*M$9</f>
        <v>0</v>
      </c>
      <c r="O192" s="46">
        <f>M192+N192</f>
        <v>0</v>
      </c>
      <c r="P192" s="43">
        <f t="shared" si="135"/>
        <v>0</v>
      </c>
      <c r="Q192" s="43">
        <f>$K192*P$9</f>
        <v>0</v>
      </c>
      <c r="R192" s="47">
        <f>P192+Q192</f>
        <v>0</v>
      </c>
      <c r="S192" s="45">
        <f t="shared" si="138"/>
        <v>0</v>
      </c>
      <c r="T192" s="108">
        <f>$K192*S$9</f>
        <v>0</v>
      </c>
      <c r="U192" s="46">
        <f>S192+T192</f>
        <v>0</v>
      </c>
      <c r="V192" s="45">
        <f t="shared" si="141"/>
        <v>0</v>
      </c>
      <c r="W192" s="43">
        <f>$K192*V$9</f>
        <v>0</v>
      </c>
      <c r="X192" s="46">
        <f>V192+W192</f>
        <v>0</v>
      </c>
      <c r="Y192" s="45">
        <f t="shared" si="144"/>
        <v>0</v>
      </c>
      <c r="Z192" s="43">
        <f t="shared" si="145"/>
        <v>0</v>
      </c>
      <c r="AA192" s="46">
        <f t="shared" si="146"/>
        <v>0</v>
      </c>
      <c r="AB192" s="16"/>
      <c r="AC192" s="16"/>
      <c r="AD192" s="16"/>
      <c r="AE192" s="16"/>
      <c r="AF192" s="16"/>
      <c r="AG192" s="17"/>
      <c r="AH192" s="16"/>
      <c r="AI192" s="16"/>
    </row>
    <row r="193" spans="1:37" ht="14.25" customHeight="1" thickBot="1">
      <c r="A193" s="110">
        <v>12</v>
      </c>
      <c r="B193" s="50">
        <v>45627</v>
      </c>
      <c r="C193" s="69">
        <f>C192*2</f>
        <v>3530</v>
      </c>
      <c r="D193" s="343">
        <f>'base(indices)'!G183</f>
        <v>0</v>
      </c>
      <c r="E193" s="63">
        <f t="shared" si="148"/>
        <v>0</v>
      </c>
      <c r="F193" s="307">
        <f>'base(indices)'!I183</f>
        <v>0</v>
      </c>
      <c r="G193" s="63">
        <f t="shared" si="128"/>
        <v>0</v>
      </c>
      <c r="H193" s="267">
        <f t="shared" si="147"/>
        <v>0</v>
      </c>
      <c r="I193" s="56">
        <f t="shared" si="131"/>
        <v>0</v>
      </c>
      <c r="J193" s="57">
        <v>0</v>
      </c>
      <c r="K193" s="91">
        <f t="shared" si="129"/>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269"/>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A196" s="37" t="s">
        <v>241</v>
      </c>
      <c r="B196" s="37"/>
      <c r="C196" s="37"/>
      <c r="F196" s="440">
        <f>W7</f>
        <v>45474</v>
      </c>
      <c r="G196" s="440"/>
      <c r="H196" s="440"/>
      <c r="I196" s="441">
        <f>SUM(H182:H195)</f>
        <v>10899.051282018971</v>
      </c>
      <c r="J196" s="441"/>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'Benef com 13º'!C182*60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tr">
        <f>'Benef com 13º'!B199</f>
        <v>ORTN/OTN/BTN até 02/91 + INPC até 12/92 + IRSM até 02/94 + URV até 06/94 + IPCR até 06/95 + INPC até 04/96 + IGPDI até 09/2006 + IPCA-E + Selic após 12/021</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16">
    <mergeCell ref="W7:X7"/>
    <mergeCell ref="I8:J8"/>
    <mergeCell ref="A9:A10"/>
    <mergeCell ref="B9:B10"/>
    <mergeCell ref="C9:C10"/>
    <mergeCell ref="D9:D10"/>
    <mergeCell ref="E9:E10"/>
    <mergeCell ref="F9:F10"/>
    <mergeCell ref="G9:G10"/>
    <mergeCell ref="H9:H10"/>
    <mergeCell ref="F179:G179"/>
    <mergeCell ref="F196:H196"/>
    <mergeCell ref="I196:J196"/>
    <mergeCell ref="I9:I10"/>
    <mergeCell ref="J9:L9"/>
    <mergeCell ref="I179:J179"/>
  </mergeCells>
  <conditionalFormatting sqref="H195:X195 F179:F181 E23:E134 G23:H134">
    <cfRule type="cellIs" dxfId="1046" priority="253" stopIfTrue="1" operator="notEqual">
      <formula>""</formula>
    </cfRule>
  </conditionalFormatting>
  <conditionalFormatting sqref="G135:H137">
    <cfRule type="cellIs" dxfId="1045" priority="251" stopIfTrue="1" operator="notEqual">
      <formula>""</formula>
    </cfRule>
  </conditionalFormatting>
  <conditionalFormatting sqref="G135:H137">
    <cfRule type="cellIs" dxfId="1044" priority="250" stopIfTrue="1" operator="notEqual">
      <formula>""</formula>
    </cfRule>
  </conditionalFormatting>
  <conditionalFormatting sqref="E182">
    <cfRule type="cellIs" dxfId="1043" priority="241" stopIfTrue="1" operator="notEqual">
      <formula>""</formula>
    </cfRule>
  </conditionalFormatting>
  <conditionalFormatting sqref="G138:H138">
    <cfRule type="cellIs" dxfId="1042" priority="249" stopIfTrue="1" operator="notEqual">
      <formula>""</formula>
    </cfRule>
  </conditionalFormatting>
  <conditionalFormatting sqref="G138:H138">
    <cfRule type="cellIs" dxfId="1041" priority="248" stopIfTrue="1" operator="notEqual">
      <formula>""</formula>
    </cfRule>
  </conditionalFormatting>
  <conditionalFormatting sqref="G139:H154">
    <cfRule type="cellIs" dxfId="1040" priority="246" stopIfTrue="1" operator="notEqual">
      <formula>""</formula>
    </cfRule>
  </conditionalFormatting>
  <conditionalFormatting sqref="G142:H154">
    <cfRule type="cellIs" dxfId="1039" priority="245" stopIfTrue="1" operator="notEqual">
      <formula>""</formula>
    </cfRule>
  </conditionalFormatting>
  <conditionalFormatting sqref="G142:H154">
    <cfRule type="cellIs" dxfId="1038" priority="244" stopIfTrue="1" operator="notEqual">
      <formula>""</formula>
    </cfRule>
  </conditionalFormatting>
  <conditionalFormatting sqref="G139:H154">
    <cfRule type="cellIs" dxfId="1037" priority="247" stopIfTrue="1" operator="notEqual">
      <formula>""</formula>
    </cfRule>
  </conditionalFormatting>
  <conditionalFormatting sqref="E182">
    <cfRule type="cellIs" dxfId="1036" priority="239" stopIfTrue="1" operator="notEqual">
      <formula>""</formula>
    </cfRule>
  </conditionalFormatting>
  <conditionalFormatting sqref="E182">
    <cfRule type="cellIs" dxfId="1035" priority="240" stopIfTrue="1" operator="notEqual">
      <formula>""</formula>
    </cfRule>
  </conditionalFormatting>
  <conditionalFormatting sqref="F196">
    <cfRule type="cellIs" dxfId="1034" priority="243" stopIfTrue="1" operator="notEqual">
      <formula>""</formula>
    </cfRule>
  </conditionalFormatting>
  <conditionalFormatting sqref="F196 E194:H194">
    <cfRule type="cellIs" dxfId="1033" priority="242" stopIfTrue="1" operator="notEqual">
      <formula>""</formula>
    </cfRule>
  </conditionalFormatting>
  <conditionalFormatting sqref="E138">
    <cfRule type="cellIs" dxfId="1032" priority="233" stopIfTrue="1" operator="notEqual">
      <formula>""</formula>
    </cfRule>
  </conditionalFormatting>
  <conditionalFormatting sqref="E138">
    <cfRule type="cellIs" dxfId="1031" priority="234" stopIfTrue="1" operator="notEqual">
      <formula>""</formula>
    </cfRule>
  </conditionalFormatting>
  <conditionalFormatting sqref="E138">
    <cfRule type="cellIs" dxfId="1030" priority="235" stopIfTrue="1" operator="notEqual">
      <formula>""</formula>
    </cfRule>
  </conditionalFormatting>
  <conditionalFormatting sqref="E135:E137">
    <cfRule type="cellIs" dxfId="1029" priority="236" stopIfTrue="1" operator="notEqual">
      <formula>""</formula>
    </cfRule>
  </conditionalFormatting>
  <conditionalFormatting sqref="E139:E154">
    <cfRule type="cellIs" dxfId="1028" priority="232" stopIfTrue="1" operator="notEqual">
      <formula>""</formula>
    </cfRule>
  </conditionalFormatting>
  <conditionalFormatting sqref="E135:E137">
    <cfRule type="cellIs" dxfId="1027" priority="238" stopIfTrue="1" operator="notEqual">
      <formula>""</formula>
    </cfRule>
  </conditionalFormatting>
  <conditionalFormatting sqref="E139:E154">
    <cfRule type="cellIs" dxfId="1026" priority="230" stopIfTrue="1" operator="notEqual">
      <formula>""</formula>
    </cfRule>
  </conditionalFormatting>
  <conditionalFormatting sqref="E142:E154">
    <cfRule type="cellIs" dxfId="1025" priority="228" stopIfTrue="1" operator="notEqual">
      <formula>""</formula>
    </cfRule>
  </conditionalFormatting>
  <conditionalFormatting sqref="E135:E137">
    <cfRule type="cellIs" dxfId="1024" priority="237" stopIfTrue="1" operator="notEqual">
      <formula>""</formula>
    </cfRule>
  </conditionalFormatting>
  <conditionalFormatting sqref="E139:E154">
    <cfRule type="cellIs" dxfId="1023" priority="231" stopIfTrue="1" operator="notEqual">
      <formula>""</formula>
    </cfRule>
  </conditionalFormatting>
  <conditionalFormatting sqref="E142:E154">
    <cfRule type="cellIs" dxfId="1022" priority="229" stopIfTrue="1" operator="notEqual">
      <formula>""</formula>
    </cfRule>
  </conditionalFormatting>
  <conditionalFormatting sqref="E142:E154">
    <cfRule type="cellIs" dxfId="1021" priority="227" stopIfTrue="1" operator="notEqual">
      <formula>""</formula>
    </cfRule>
  </conditionalFormatting>
  <conditionalFormatting sqref="E155:E156">
    <cfRule type="cellIs" dxfId="1020" priority="223" stopIfTrue="1" operator="notEqual">
      <formula>""</formula>
    </cfRule>
  </conditionalFormatting>
  <conditionalFormatting sqref="E155:E156 G155:H156">
    <cfRule type="cellIs" dxfId="1019" priority="225" stopIfTrue="1" operator="notEqual">
      <formula>""</formula>
    </cfRule>
  </conditionalFormatting>
  <conditionalFormatting sqref="E156 G156:H156">
    <cfRule type="cellIs" dxfId="1018" priority="220" stopIfTrue="1" operator="notEqual">
      <formula>""</formula>
    </cfRule>
  </conditionalFormatting>
  <conditionalFormatting sqref="E157:E158 G157:H158">
    <cfRule type="cellIs" dxfId="1017" priority="214" stopIfTrue="1" operator="notEqual">
      <formula>""</formula>
    </cfRule>
  </conditionalFormatting>
  <conditionalFormatting sqref="E155:E156 G155:H156">
    <cfRule type="cellIs" dxfId="1016" priority="224" stopIfTrue="1" operator="notEqual">
      <formula>""</formula>
    </cfRule>
  </conditionalFormatting>
  <conditionalFormatting sqref="E156 G156:H156">
    <cfRule type="cellIs" dxfId="1015" priority="221" stopIfTrue="1" operator="notEqual">
      <formula>""</formula>
    </cfRule>
  </conditionalFormatting>
  <conditionalFormatting sqref="E156">
    <cfRule type="cellIs" dxfId="1014" priority="219" stopIfTrue="1" operator="notEqual">
      <formula>""</formula>
    </cfRule>
  </conditionalFormatting>
  <conditionalFormatting sqref="E158 G158:H158">
    <cfRule type="cellIs" dxfId="1013" priority="209" stopIfTrue="1" operator="notEqual">
      <formula>""</formula>
    </cfRule>
  </conditionalFormatting>
  <conditionalFormatting sqref="E159:E160 G159:H160">
    <cfRule type="cellIs" dxfId="1012" priority="203" stopIfTrue="1" operator="notEqual">
      <formula>""</formula>
    </cfRule>
  </conditionalFormatting>
  <conditionalFormatting sqref="E157:E158">
    <cfRule type="cellIs" dxfId="1011" priority="212" stopIfTrue="1" operator="notEqual">
      <formula>""</formula>
    </cfRule>
  </conditionalFormatting>
  <conditionalFormatting sqref="E157:E158 G157:H158">
    <cfRule type="cellIs" dxfId="1010" priority="213" stopIfTrue="1" operator="notEqual">
      <formula>""</formula>
    </cfRule>
  </conditionalFormatting>
  <conditionalFormatting sqref="E158 G158:H158">
    <cfRule type="cellIs" dxfId="1009" priority="210" stopIfTrue="1" operator="notEqual">
      <formula>""</formula>
    </cfRule>
  </conditionalFormatting>
  <conditionalFormatting sqref="E158">
    <cfRule type="cellIs" dxfId="1008" priority="208" stopIfTrue="1" operator="notEqual">
      <formula>""</formula>
    </cfRule>
  </conditionalFormatting>
  <conditionalFormatting sqref="E160 G160:H160">
    <cfRule type="cellIs" dxfId="1007" priority="198" stopIfTrue="1" operator="notEqual">
      <formula>""</formula>
    </cfRule>
  </conditionalFormatting>
  <conditionalFormatting sqref="E161:E162 G161:H162">
    <cfRule type="cellIs" dxfId="1006" priority="192" stopIfTrue="1" operator="notEqual">
      <formula>""</formula>
    </cfRule>
  </conditionalFormatting>
  <conditionalFormatting sqref="E159:E160">
    <cfRule type="cellIs" dxfId="1005" priority="201" stopIfTrue="1" operator="notEqual">
      <formula>""</formula>
    </cfRule>
  </conditionalFormatting>
  <conditionalFormatting sqref="E159:E160 G159:H160">
    <cfRule type="cellIs" dxfId="1004" priority="202" stopIfTrue="1" operator="notEqual">
      <formula>""</formula>
    </cfRule>
  </conditionalFormatting>
  <conditionalFormatting sqref="E160 G160:H160">
    <cfRule type="cellIs" dxfId="1003" priority="199" stopIfTrue="1" operator="notEqual">
      <formula>""</formula>
    </cfRule>
  </conditionalFormatting>
  <conditionalFormatting sqref="E160">
    <cfRule type="cellIs" dxfId="1002" priority="197" stopIfTrue="1" operator="notEqual">
      <formula>""</formula>
    </cfRule>
  </conditionalFormatting>
  <conditionalFormatting sqref="E162 G162:H162">
    <cfRule type="cellIs" dxfId="1001" priority="187" stopIfTrue="1" operator="notEqual">
      <formula>""</formula>
    </cfRule>
  </conditionalFormatting>
  <conditionalFormatting sqref="E163:E164 G163:H164">
    <cfRule type="cellIs" dxfId="1000" priority="181" stopIfTrue="1" operator="notEqual">
      <formula>""</formula>
    </cfRule>
  </conditionalFormatting>
  <conditionalFormatting sqref="E161:E162">
    <cfRule type="cellIs" dxfId="999" priority="190" stopIfTrue="1" operator="notEqual">
      <formula>""</formula>
    </cfRule>
  </conditionalFormatting>
  <conditionalFormatting sqref="E161:E162 G161:H162">
    <cfRule type="cellIs" dxfId="998" priority="191" stopIfTrue="1" operator="notEqual">
      <formula>""</formula>
    </cfRule>
  </conditionalFormatting>
  <conditionalFormatting sqref="E162 G162:H162">
    <cfRule type="cellIs" dxfId="997" priority="188" stopIfTrue="1" operator="notEqual">
      <formula>""</formula>
    </cfRule>
  </conditionalFormatting>
  <conditionalFormatting sqref="E162">
    <cfRule type="cellIs" dxfId="996" priority="186" stopIfTrue="1" operator="notEqual">
      <formula>""</formula>
    </cfRule>
  </conditionalFormatting>
  <conditionalFormatting sqref="E164 G164:H164">
    <cfRule type="cellIs" dxfId="995" priority="176" stopIfTrue="1" operator="notEqual">
      <formula>""</formula>
    </cfRule>
  </conditionalFormatting>
  <conditionalFormatting sqref="E165:E166 G165:H166">
    <cfRule type="cellIs" dxfId="994" priority="170" stopIfTrue="1" operator="notEqual">
      <formula>""</formula>
    </cfRule>
  </conditionalFormatting>
  <conditionalFormatting sqref="E163:E164">
    <cfRule type="cellIs" dxfId="993" priority="179" stopIfTrue="1" operator="notEqual">
      <formula>""</formula>
    </cfRule>
  </conditionalFormatting>
  <conditionalFormatting sqref="E163:E164 G163:H164">
    <cfRule type="cellIs" dxfId="992" priority="180" stopIfTrue="1" operator="notEqual">
      <formula>""</formula>
    </cfRule>
  </conditionalFormatting>
  <conditionalFormatting sqref="E164 G164:H164">
    <cfRule type="cellIs" dxfId="991" priority="177" stopIfTrue="1" operator="notEqual">
      <formula>""</formula>
    </cfRule>
  </conditionalFormatting>
  <conditionalFormatting sqref="E164">
    <cfRule type="cellIs" dxfId="990" priority="175" stopIfTrue="1" operator="notEqual">
      <formula>""</formula>
    </cfRule>
  </conditionalFormatting>
  <conditionalFormatting sqref="E166 G166:H166">
    <cfRule type="cellIs" dxfId="989" priority="165" stopIfTrue="1" operator="notEqual">
      <formula>""</formula>
    </cfRule>
  </conditionalFormatting>
  <conditionalFormatting sqref="E165:E166">
    <cfRule type="cellIs" dxfId="988" priority="168" stopIfTrue="1" operator="notEqual">
      <formula>""</formula>
    </cfRule>
  </conditionalFormatting>
  <conditionalFormatting sqref="E165:E166 G165:H166">
    <cfRule type="cellIs" dxfId="987" priority="169" stopIfTrue="1" operator="notEqual">
      <formula>""</formula>
    </cfRule>
  </conditionalFormatting>
  <conditionalFormatting sqref="E166 G166:H166">
    <cfRule type="cellIs" dxfId="986" priority="166" stopIfTrue="1" operator="notEqual">
      <formula>""</formula>
    </cfRule>
  </conditionalFormatting>
  <conditionalFormatting sqref="E166">
    <cfRule type="cellIs" dxfId="985" priority="164" stopIfTrue="1" operator="notEqual">
      <formula>""</formula>
    </cfRule>
  </conditionalFormatting>
  <conditionalFormatting sqref="Y195:AA195">
    <cfRule type="cellIs" dxfId="984" priority="160" stopIfTrue="1" operator="notEqual">
      <formula>""</formula>
    </cfRule>
  </conditionalFormatting>
  <conditionalFormatting sqref="C194">
    <cfRule type="cellIs" dxfId="983" priority="158" stopIfTrue="1" operator="notEqual">
      <formula>""</formula>
    </cfRule>
  </conditionalFormatting>
  <conditionalFormatting sqref="D194">
    <cfRule type="cellIs" dxfId="982" priority="157" stopIfTrue="1" operator="equal">
      <formula>"Total"</formula>
    </cfRule>
  </conditionalFormatting>
  <conditionalFormatting sqref="B194">
    <cfRule type="cellIs" dxfId="981" priority="156" stopIfTrue="1" operator="notEqual">
      <formula>""</formula>
    </cfRule>
  </conditionalFormatting>
  <conditionalFormatting sqref="D9">
    <cfRule type="cellIs" dxfId="980" priority="155" stopIfTrue="1" operator="equal">
      <formula>"Total"</formula>
    </cfRule>
  </conditionalFormatting>
  <conditionalFormatting sqref="D9">
    <cfRule type="cellIs" dxfId="979" priority="154" stopIfTrue="1" operator="equal">
      <formula>"Total"</formula>
    </cfRule>
  </conditionalFormatting>
  <conditionalFormatting sqref="G188:G193">
    <cfRule type="cellIs" dxfId="978" priority="145" stopIfTrue="1" operator="notEqual">
      <formula>""</formula>
    </cfRule>
  </conditionalFormatting>
  <conditionalFormatting sqref="G187:H187 H188:H193">
    <cfRule type="cellIs" dxfId="977" priority="146" stopIfTrue="1" operator="notEqual">
      <formula>""</formula>
    </cfRule>
  </conditionalFormatting>
  <conditionalFormatting sqref="G183:H183">
    <cfRule type="cellIs" dxfId="976" priority="150" stopIfTrue="1" operator="notEqual">
      <formula>""</formula>
    </cfRule>
  </conditionalFormatting>
  <conditionalFormatting sqref="G182:H182">
    <cfRule type="cellIs" dxfId="975" priority="152" stopIfTrue="1" operator="notEqual">
      <formula>""</formula>
    </cfRule>
  </conditionalFormatting>
  <conditionalFormatting sqref="G182:H182">
    <cfRule type="cellIs" dxfId="974" priority="153" stopIfTrue="1" operator="notEqual">
      <formula>""</formula>
    </cfRule>
  </conditionalFormatting>
  <conditionalFormatting sqref="G183:H183">
    <cfRule type="cellIs" dxfId="973" priority="151" stopIfTrue="1" operator="notEqual">
      <formula>""</formula>
    </cfRule>
  </conditionalFormatting>
  <conditionalFormatting sqref="G184:H186">
    <cfRule type="cellIs" dxfId="972" priority="148" stopIfTrue="1" operator="notEqual">
      <formula>""</formula>
    </cfRule>
  </conditionalFormatting>
  <conditionalFormatting sqref="G184:H186">
    <cfRule type="cellIs" dxfId="971" priority="149" stopIfTrue="1" operator="notEqual">
      <formula>""</formula>
    </cfRule>
  </conditionalFormatting>
  <conditionalFormatting sqref="G188:G193">
    <cfRule type="cellIs" dxfId="970" priority="144" stopIfTrue="1" operator="notEqual">
      <formula>""</formula>
    </cfRule>
  </conditionalFormatting>
  <conditionalFormatting sqref="G187:H187 H188:H193">
    <cfRule type="cellIs" dxfId="969" priority="147" stopIfTrue="1" operator="notEqual">
      <formula>""</formula>
    </cfRule>
  </conditionalFormatting>
  <conditionalFormatting sqref="E183">
    <cfRule type="cellIs" dxfId="968" priority="135" stopIfTrue="1" operator="notEqual">
      <formula>""</formula>
    </cfRule>
  </conditionalFormatting>
  <conditionalFormatting sqref="E183">
    <cfRule type="cellIs" dxfId="967" priority="137" stopIfTrue="1" operator="notEqual">
      <formula>""</formula>
    </cfRule>
  </conditionalFormatting>
  <conditionalFormatting sqref="E183">
    <cfRule type="cellIs" dxfId="966" priority="136" stopIfTrue="1" operator="notEqual">
      <formula>""</formula>
    </cfRule>
  </conditionalFormatting>
  <conditionalFormatting sqref="E184:E185">
    <cfRule type="cellIs" dxfId="965" priority="134" stopIfTrue="1" operator="notEqual">
      <formula>""</formula>
    </cfRule>
  </conditionalFormatting>
  <conditionalFormatting sqref="E184:E185">
    <cfRule type="cellIs" dxfId="964" priority="132" stopIfTrue="1" operator="notEqual">
      <formula>""</formula>
    </cfRule>
  </conditionalFormatting>
  <conditionalFormatting sqref="E184:E185">
    <cfRule type="cellIs" dxfId="963" priority="133" stopIfTrue="1" operator="notEqual">
      <formula>""</formula>
    </cfRule>
  </conditionalFormatting>
  <conditionalFormatting sqref="E186">
    <cfRule type="cellIs" dxfId="962" priority="131" stopIfTrue="1" operator="notEqual">
      <formula>""</formula>
    </cfRule>
  </conditionalFormatting>
  <conditionalFormatting sqref="E186">
    <cfRule type="cellIs" dxfId="961" priority="129" stopIfTrue="1" operator="notEqual">
      <formula>""</formula>
    </cfRule>
  </conditionalFormatting>
  <conditionalFormatting sqref="E186">
    <cfRule type="cellIs" dxfId="960" priority="130" stopIfTrue="1" operator="notEqual">
      <formula>""</formula>
    </cfRule>
  </conditionalFormatting>
  <conditionalFormatting sqref="E187:E193">
    <cfRule type="cellIs" dxfId="959" priority="128" stopIfTrue="1" operator="notEqual">
      <formula>""</formula>
    </cfRule>
  </conditionalFormatting>
  <conditionalFormatting sqref="E187:E193">
    <cfRule type="cellIs" dxfId="958" priority="126" stopIfTrue="1" operator="notEqual">
      <formula>""</formula>
    </cfRule>
  </conditionalFormatting>
  <conditionalFormatting sqref="E187:E193">
    <cfRule type="cellIs" dxfId="957" priority="127" stopIfTrue="1" operator="notEqual">
      <formula>""</formula>
    </cfRule>
  </conditionalFormatting>
  <conditionalFormatting sqref="E167:E178 G167:H178">
    <cfRule type="cellIs" dxfId="956" priority="114" stopIfTrue="1" operator="notEqual">
      <formula>""</formula>
    </cfRule>
  </conditionalFormatting>
  <conditionalFormatting sqref="E167:E178">
    <cfRule type="cellIs" dxfId="955" priority="112" stopIfTrue="1" operator="notEqual">
      <formula>""</formula>
    </cfRule>
  </conditionalFormatting>
  <conditionalFormatting sqref="E167:E178 G167:H178">
    <cfRule type="cellIs" dxfId="954" priority="113" stopIfTrue="1" operator="notEqual">
      <formula>""</formula>
    </cfRule>
  </conditionalFormatting>
  <conditionalFormatting sqref="E168 E170 E172 E174 E176 E178 G168:H168 G170:H170 G172:H172 G174:H174 G176:H176 G178:H178">
    <cfRule type="cellIs" dxfId="953" priority="109" stopIfTrue="1" operator="notEqual">
      <formula>""</formula>
    </cfRule>
  </conditionalFormatting>
  <conditionalFormatting sqref="E168 E170 E172 E174 E176 E178">
    <cfRule type="cellIs" dxfId="952" priority="108" stopIfTrue="1" operator="notEqual">
      <formula>""</formula>
    </cfRule>
  </conditionalFormatting>
  <conditionalFormatting sqref="E168 E170 E172 E174 E176 E178 G168:H168 G170:H170 G172:H172 G174:H174 G176:H176 G178:H178">
    <cfRule type="cellIs" dxfId="951" priority="110" stopIfTrue="1" operator="notEqual">
      <formula>""</formula>
    </cfRule>
  </conditionalFormatting>
  <conditionalFormatting sqref="B23:B34 B155:B166 B47:B106">
    <cfRule type="cellIs" dxfId="950" priority="58" stopIfTrue="1" operator="notEqual">
      <formula>""</formula>
    </cfRule>
  </conditionalFormatting>
  <conditionalFormatting sqref="B95:B166">
    <cfRule type="cellIs" dxfId="949" priority="57" stopIfTrue="1" operator="notEqual">
      <formula>""</formula>
    </cfRule>
  </conditionalFormatting>
  <conditionalFormatting sqref="B47:B58">
    <cfRule type="cellIs" dxfId="948" priority="56" stopIfTrue="1" operator="notEqual">
      <formula>""</formula>
    </cfRule>
  </conditionalFormatting>
  <conditionalFormatting sqref="B35:B46">
    <cfRule type="cellIs" dxfId="947" priority="55" stopIfTrue="1" operator="notEqual">
      <formula>""</formula>
    </cfRule>
  </conditionalFormatting>
  <conditionalFormatting sqref="B167:B178">
    <cfRule type="cellIs" dxfId="946" priority="54" stopIfTrue="1" operator="notEqual">
      <formula>""</formula>
    </cfRule>
  </conditionalFormatting>
  <conditionalFormatting sqref="B167:B178">
    <cfRule type="cellIs" dxfId="945" priority="53" stopIfTrue="1" operator="notEqual">
      <formula>""</formula>
    </cfRule>
  </conditionalFormatting>
  <conditionalFormatting sqref="E11:E22 G11:H22 B11:C22">
    <cfRule type="cellIs" dxfId="944" priority="52" stopIfTrue="1" operator="notEqual">
      <formula>""</formula>
    </cfRule>
  </conditionalFormatting>
  <conditionalFormatting sqref="D11:D178">
    <cfRule type="cellIs" dxfId="943" priority="51" stopIfTrue="1" operator="equal">
      <formula>"Total"</formula>
    </cfRule>
  </conditionalFormatting>
  <conditionalFormatting sqref="C12:C22">
    <cfRule type="cellIs" dxfId="942" priority="50" stopIfTrue="1" operator="notEqual">
      <formula>""</formula>
    </cfRule>
  </conditionalFormatting>
  <conditionalFormatting sqref="C12:C22">
    <cfRule type="cellIs" dxfId="941" priority="49" stopIfTrue="1" operator="notEqual">
      <formula>""</formula>
    </cfRule>
  </conditionalFormatting>
  <conditionalFormatting sqref="F11:F154">
    <cfRule type="cellIs" dxfId="940" priority="48" stopIfTrue="1" operator="notEqual">
      <formula>""</formula>
    </cfRule>
  </conditionalFormatting>
  <conditionalFormatting sqref="B182:B193">
    <cfRule type="cellIs" dxfId="939" priority="47" stopIfTrue="1" operator="notEqual">
      <formula>""</formula>
    </cfRule>
  </conditionalFormatting>
  <conditionalFormatting sqref="B182:B193">
    <cfRule type="cellIs" dxfId="938" priority="46" stopIfTrue="1" operator="notEqual">
      <formula>""</formula>
    </cfRule>
  </conditionalFormatting>
  <conditionalFormatting sqref="D182:D193">
    <cfRule type="cellIs" dxfId="937" priority="45" stopIfTrue="1" operator="equal">
      <formula>"Total"</formula>
    </cfRule>
  </conditionalFormatting>
  <conditionalFormatting sqref="F155:F178">
    <cfRule type="cellIs" dxfId="936" priority="44" stopIfTrue="1" operator="notEqual">
      <formula>""</formula>
    </cfRule>
  </conditionalFormatting>
  <conditionalFormatting sqref="F182:F193">
    <cfRule type="cellIs" dxfId="935" priority="43" stopIfTrue="1" operator="notEqual">
      <formula>""</formula>
    </cfRule>
  </conditionalFormatting>
  <conditionalFormatting sqref="C23:C34">
    <cfRule type="cellIs" dxfId="934" priority="42" stopIfTrue="1" operator="notEqual">
      <formula>""</formula>
    </cfRule>
  </conditionalFormatting>
  <conditionalFormatting sqref="C24:C34">
    <cfRule type="cellIs" dxfId="933" priority="41" stopIfTrue="1" operator="notEqual">
      <formula>""</formula>
    </cfRule>
  </conditionalFormatting>
  <conditionalFormatting sqref="C24:C34">
    <cfRule type="cellIs" dxfId="932" priority="40" stopIfTrue="1" operator="notEqual">
      <formula>""</formula>
    </cfRule>
  </conditionalFormatting>
  <conditionalFormatting sqref="C35:C46">
    <cfRule type="cellIs" dxfId="931" priority="39" stopIfTrue="1" operator="notEqual">
      <formula>""</formula>
    </cfRule>
  </conditionalFormatting>
  <conditionalFormatting sqref="C36:C46">
    <cfRule type="cellIs" dxfId="930" priority="38" stopIfTrue="1" operator="notEqual">
      <formula>""</formula>
    </cfRule>
  </conditionalFormatting>
  <conditionalFormatting sqref="C36:C46">
    <cfRule type="cellIs" dxfId="929" priority="37" stopIfTrue="1" operator="notEqual">
      <formula>""</formula>
    </cfRule>
  </conditionalFormatting>
  <conditionalFormatting sqref="C47:C58">
    <cfRule type="cellIs" dxfId="928" priority="36" stopIfTrue="1" operator="notEqual">
      <formula>""</formula>
    </cfRule>
  </conditionalFormatting>
  <conditionalFormatting sqref="C48:C58">
    <cfRule type="cellIs" dxfId="927" priority="35" stopIfTrue="1" operator="notEqual">
      <formula>""</formula>
    </cfRule>
  </conditionalFormatting>
  <conditionalFormatting sqref="C48:C58">
    <cfRule type="cellIs" dxfId="926" priority="34" stopIfTrue="1" operator="notEqual">
      <formula>""</formula>
    </cfRule>
  </conditionalFormatting>
  <conditionalFormatting sqref="C59:C70">
    <cfRule type="cellIs" dxfId="925" priority="33" stopIfTrue="1" operator="notEqual">
      <formula>""</formula>
    </cfRule>
  </conditionalFormatting>
  <conditionalFormatting sqref="C60:C70">
    <cfRule type="cellIs" dxfId="924" priority="32" stopIfTrue="1" operator="notEqual">
      <formula>""</formula>
    </cfRule>
  </conditionalFormatting>
  <conditionalFormatting sqref="C60:C70">
    <cfRule type="cellIs" dxfId="923" priority="31" stopIfTrue="1" operator="notEqual">
      <formula>""</formula>
    </cfRule>
  </conditionalFormatting>
  <conditionalFormatting sqref="C71:C82">
    <cfRule type="cellIs" dxfId="922" priority="30" stopIfTrue="1" operator="notEqual">
      <formula>""</formula>
    </cfRule>
  </conditionalFormatting>
  <conditionalFormatting sqref="C72:C82">
    <cfRule type="cellIs" dxfId="921" priority="29" stopIfTrue="1" operator="notEqual">
      <formula>""</formula>
    </cfRule>
  </conditionalFormatting>
  <conditionalFormatting sqref="C72:C82">
    <cfRule type="cellIs" dxfId="920" priority="28" stopIfTrue="1" operator="notEqual">
      <formula>""</formula>
    </cfRule>
  </conditionalFormatting>
  <conditionalFormatting sqref="C83:C94">
    <cfRule type="cellIs" dxfId="919" priority="27" stopIfTrue="1" operator="notEqual">
      <formula>""</formula>
    </cfRule>
  </conditionalFormatting>
  <conditionalFormatting sqref="C84:C94">
    <cfRule type="cellIs" dxfId="918" priority="26" stopIfTrue="1" operator="notEqual">
      <formula>""</formula>
    </cfRule>
  </conditionalFormatting>
  <conditionalFormatting sqref="C84:C94">
    <cfRule type="cellIs" dxfId="917" priority="25" stopIfTrue="1" operator="notEqual">
      <formula>""</formula>
    </cfRule>
  </conditionalFormatting>
  <conditionalFormatting sqref="C95:C106">
    <cfRule type="cellIs" dxfId="916" priority="24" stopIfTrue="1" operator="notEqual">
      <formula>""</formula>
    </cfRule>
  </conditionalFormatting>
  <conditionalFormatting sqref="C96:C106">
    <cfRule type="cellIs" dxfId="915" priority="23" stopIfTrue="1" operator="notEqual">
      <formula>""</formula>
    </cfRule>
  </conditionalFormatting>
  <conditionalFormatting sqref="C96:C106">
    <cfRule type="cellIs" dxfId="914" priority="22" stopIfTrue="1" operator="notEqual">
      <formula>""</formula>
    </cfRule>
  </conditionalFormatting>
  <conditionalFormatting sqref="C107:C118">
    <cfRule type="cellIs" dxfId="913" priority="21" stopIfTrue="1" operator="notEqual">
      <formula>""</formula>
    </cfRule>
  </conditionalFormatting>
  <conditionalFormatting sqref="C108:C118">
    <cfRule type="cellIs" dxfId="912" priority="20" stopIfTrue="1" operator="notEqual">
      <formula>""</formula>
    </cfRule>
  </conditionalFormatting>
  <conditionalFormatting sqref="C108:C118">
    <cfRule type="cellIs" dxfId="911" priority="19" stopIfTrue="1" operator="notEqual">
      <formula>""</formula>
    </cfRule>
  </conditionalFormatting>
  <conditionalFormatting sqref="C119:C130">
    <cfRule type="cellIs" dxfId="910" priority="18" stopIfTrue="1" operator="notEqual">
      <formula>""</formula>
    </cfRule>
  </conditionalFormatting>
  <conditionalFormatting sqref="C120:C130">
    <cfRule type="cellIs" dxfId="909" priority="17" stopIfTrue="1" operator="notEqual">
      <formula>""</formula>
    </cfRule>
  </conditionalFormatting>
  <conditionalFormatting sqref="C120:C130">
    <cfRule type="cellIs" dxfId="908" priority="16" stopIfTrue="1" operator="notEqual">
      <formula>""</formula>
    </cfRule>
  </conditionalFormatting>
  <conditionalFormatting sqref="C131:C142">
    <cfRule type="cellIs" dxfId="907" priority="15" stopIfTrue="1" operator="notEqual">
      <formula>""</formula>
    </cfRule>
  </conditionalFormatting>
  <conditionalFormatting sqref="C132:C142">
    <cfRule type="cellIs" dxfId="906" priority="14" stopIfTrue="1" operator="notEqual">
      <formula>""</formula>
    </cfRule>
  </conditionalFormatting>
  <conditionalFormatting sqref="C132:C142">
    <cfRule type="cellIs" dxfId="905" priority="13" stopIfTrue="1" operator="notEqual">
      <formula>""</formula>
    </cfRule>
  </conditionalFormatting>
  <conditionalFormatting sqref="C143:C154">
    <cfRule type="cellIs" dxfId="904" priority="12" stopIfTrue="1" operator="notEqual">
      <formula>""</formula>
    </cfRule>
  </conditionalFormatting>
  <conditionalFormatting sqref="C144:C154">
    <cfRule type="cellIs" dxfId="903" priority="11" stopIfTrue="1" operator="notEqual">
      <formula>""</formula>
    </cfRule>
  </conditionalFormatting>
  <conditionalFormatting sqref="C144:C154">
    <cfRule type="cellIs" dxfId="902" priority="10" stopIfTrue="1" operator="notEqual">
      <formula>""</formula>
    </cfRule>
  </conditionalFormatting>
  <conditionalFormatting sqref="C155:C166">
    <cfRule type="cellIs" dxfId="901" priority="9" stopIfTrue="1" operator="notEqual">
      <formula>""</formula>
    </cfRule>
  </conditionalFormatting>
  <conditionalFormatting sqref="C156:C166">
    <cfRule type="cellIs" dxfId="900" priority="8" stopIfTrue="1" operator="notEqual">
      <formula>""</formula>
    </cfRule>
  </conditionalFormatting>
  <conditionalFormatting sqref="C156:C166">
    <cfRule type="cellIs" dxfId="899" priority="7" stopIfTrue="1" operator="notEqual">
      <formula>""</formula>
    </cfRule>
  </conditionalFormatting>
  <conditionalFormatting sqref="C167:C178">
    <cfRule type="cellIs" dxfId="898" priority="6" stopIfTrue="1" operator="notEqual">
      <formula>""</formula>
    </cfRule>
  </conditionalFormatting>
  <conditionalFormatting sqref="C168:C178">
    <cfRule type="cellIs" dxfId="897" priority="5" stopIfTrue="1" operator="notEqual">
      <formula>""</formula>
    </cfRule>
  </conditionalFormatting>
  <conditionalFormatting sqref="C168:C178">
    <cfRule type="cellIs" dxfId="896" priority="4" stopIfTrue="1" operator="notEqual">
      <formula>""</formula>
    </cfRule>
  </conditionalFormatting>
  <conditionalFormatting sqref="C182:C193">
    <cfRule type="cellIs" dxfId="895" priority="3" stopIfTrue="1" operator="notEqual">
      <formula>""</formula>
    </cfRule>
  </conditionalFormatting>
  <conditionalFormatting sqref="C183:C193">
    <cfRule type="cellIs" dxfId="894" priority="2" stopIfTrue="1" operator="notEqual">
      <formula>""</formula>
    </cfRule>
  </conditionalFormatting>
  <conditionalFormatting sqref="C183:C193">
    <cfRule type="cellIs" dxfId="893" priority="1" stopIfTrue="1" operator="notEqual">
      <formula>""</formula>
    </cfRule>
  </conditionalFormatting>
  <pageMargins left="0.27559055118110237"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AH197"/>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7109375" style="1" customWidth="1"/>
    <col min="4" max="4" width="6.28515625" style="1" customWidth="1"/>
    <col min="5" max="5" width="5" style="1" customWidth="1"/>
    <col min="6" max="6" width="4.42578125" style="1" customWidth="1"/>
    <col min="7" max="7" width="4.28515625" style="1" customWidth="1"/>
    <col min="8" max="8" width="6" style="1" customWidth="1"/>
    <col min="9" max="9" width="7.5703125" style="1" customWidth="1"/>
    <col min="10" max="10" width="6.7109375" style="1" customWidth="1"/>
    <col min="11" max="11" width="6.28515625" style="1" customWidth="1"/>
    <col min="12" max="13" width="6.42578125" style="1" customWidth="1"/>
    <col min="14" max="14" width="6.28515625" style="1" customWidth="1"/>
    <col min="15" max="15" width="6.42578125" style="1" customWidth="1"/>
    <col min="16" max="19" width="6.42578125" customWidth="1"/>
    <col min="20" max="20" width="6.7109375" customWidth="1"/>
    <col min="21" max="22" width="6.42578125" customWidth="1"/>
    <col min="23" max="23" width="5.85546875" customWidth="1"/>
    <col min="24" max="25" width="6.42578125" customWidth="1"/>
    <col min="26" max="26" width="5.85546875" customWidth="1"/>
    <col min="27" max="27" width="6.42578125" customWidth="1"/>
    <col min="28" max="28" width="0.42578125" hidden="1" customWidth="1"/>
    <col min="29" max="29" width="0.28515625" hidden="1" customWidth="1"/>
    <col min="30" max="34" width="0.42578125" hidden="1" customWidth="1"/>
  </cols>
  <sheetData>
    <row r="3" spans="1:27" ht="9.75" customHeight="1">
      <c r="I3" s="3" t="s">
        <v>0</v>
      </c>
      <c r="L3" s="2"/>
      <c r="M3" s="2"/>
    </row>
    <row r="4" spans="1:27" ht="9.75" customHeight="1">
      <c r="I4" s="3" t="s">
        <v>1</v>
      </c>
      <c r="L4" s="2"/>
      <c r="M4" s="2"/>
    </row>
    <row r="5" spans="1:27">
      <c r="I5" s="4" t="s">
        <v>2</v>
      </c>
    </row>
    <row r="6" spans="1:27" ht="2.25" customHeight="1"/>
    <row r="7" spans="1:27" ht="15">
      <c r="B7" s="101" t="s">
        <v>3</v>
      </c>
      <c r="C7" s="100"/>
      <c r="D7" s="39"/>
      <c r="E7" s="39"/>
      <c r="F7" s="39"/>
      <c r="G7" s="39"/>
      <c r="H7" s="39"/>
      <c r="I7" s="39"/>
      <c r="J7" s="39"/>
      <c r="K7" s="39"/>
      <c r="O7" s="453" t="s">
        <v>31</v>
      </c>
      <c r="P7" s="453"/>
      <c r="Q7" s="1"/>
      <c r="T7" s="102" t="s">
        <v>4</v>
      </c>
      <c r="U7" s="19"/>
      <c r="V7" s="19"/>
      <c r="W7" s="420">
        <f>'base(indices)'!I2</f>
        <v>45474</v>
      </c>
      <c r="X7" s="420"/>
    </row>
    <row r="8" spans="1:27" ht="17.25" customHeight="1" thickBot="1">
      <c r="B8" s="6" t="s">
        <v>5</v>
      </c>
      <c r="I8" s="421">
        <f>W7</f>
        <v>45474</v>
      </c>
      <c r="J8" s="421"/>
      <c r="K8" s="179"/>
      <c r="L8" s="97"/>
      <c r="M8" s="98"/>
      <c r="N8" s="99"/>
      <c r="O8" s="98"/>
      <c r="P8" s="98"/>
    </row>
    <row r="9" spans="1:27" ht="12.75" customHeight="1" thickBot="1">
      <c r="A9" s="454" t="s">
        <v>6</v>
      </c>
      <c r="B9" s="456" t="s">
        <v>7</v>
      </c>
      <c r="C9" s="432" t="s">
        <v>8</v>
      </c>
      <c r="D9" s="430" t="s">
        <v>9</v>
      </c>
      <c r="E9" s="430" t="s">
        <v>10</v>
      </c>
      <c r="F9" s="430" t="s">
        <v>11</v>
      </c>
      <c r="G9" s="430" t="s">
        <v>12</v>
      </c>
      <c r="H9" s="432" t="s">
        <v>13</v>
      </c>
      <c r="I9" s="463" t="s">
        <v>32</v>
      </c>
      <c r="J9" s="450" t="s">
        <v>33</v>
      </c>
      <c r="K9" s="445"/>
      <c r="L9" s="446"/>
      <c r="M9" s="465">
        <v>0.95</v>
      </c>
      <c r="N9" s="466"/>
      <c r="O9" s="467"/>
      <c r="P9" s="460">
        <v>0.9</v>
      </c>
      <c r="Q9" s="461"/>
      <c r="R9" s="462"/>
      <c r="S9" s="465">
        <v>0.8</v>
      </c>
      <c r="T9" s="466"/>
      <c r="U9" s="467"/>
      <c r="V9" s="460">
        <v>0.7</v>
      </c>
      <c r="W9" s="461"/>
      <c r="X9" s="462"/>
      <c r="Y9" s="460">
        <v>0.6</v>
      </c>
      <c r="Z9" s="461"/>
      <c r="AA9" s="462"/>
    </row>
    <row r="10" spans="1:27" ht="30" customHeight="1" thickBot="1">
      <c r="A10" s="455"/>
      <c r="B10" s="457"/>
      <c r="C10" s="458"/>
      <c r="D10" s="459"/>
      <c r="E10" s="459"/>
      <c r="F10" s="459"/>
      <c r="G10" s="459"/>
      <c r="H10" s="458"/>
      <c r="I10" s="464"/>
      <c r="J10" s="31" t="s">
        <v>16</v>
      </c>
      <c r="K10" s="152" t="s">
        <v>17</v>
      </c>
      <c r="L10" s="157" t="s">
        <v>18</v>
      </c>
      <c r="M10" s="375" t="s">
        <v>16</v>
      </c>
      <c r="N10" s="152" t="s">
        <v>17</v>
      </c>
      <c r="O10" s="375">
        <v>0.95</v>
      </c>
      <c r="P10" s="30" t="s">
        <v>16</v>
      </c>
      <c r="Q10" s="152" t="s">
        <v>17</v>
      </c>
      <c r="R10" s="153" t="s">
        <v>20</v>
      </c>
      <c r="S10" s="375" t="s">
        <v>16</v>
      </c>
      <c r="T10" s="152" t="s">
        <v>17</v>
      </c>
      <c r="U10" s="375" t="s">
        <v>21</v>
      </c>
      <c r="V10" s="375" t="s">
        <v>16</v>
      </c>
      <c r="W10" s="152" t="s">
        <v>17</v>
      </c>
      <c r="X10" s="375" t="s">
        <v>22</v>
      </c>
      <c r="Y10" s="375" t="s">
        <v>16</v>
      </c>
      <c r="Z10" s="152" t="s">
        <v>17</v>
      </c>
      <c r="AA10" s="375" t="s">
        <v>23</v>
      </c>
    </row>
    <row r="11" spans="1:27" ht="12.75" customHeight="1">
      <c r="A11" s="350">
        <v>108</v>
      </c>
      <c r="B11" s="136">
        <v>42005</v>
      </c>
      <c r="C11" s="120">
        <f>VLOOKUP(B11,'base(indices)'!$A$4:$C$183,3,FALSE)</f>
        <v>788</v>
      </c>
      <c r="D11" s="270">
        <f>'base(indices)'!G64</f>
        <v>1.49701303</v>
      </c>
      <c r="E11" s="78">
        <f t="shared" ref="E11:E74" si="0">C11*D11</f>
        <v>1179.6462676399999</v>
      </c>
      <c r="F11" s="371">
        <f>'base(indices)'!$I$147</f>
        <v>0.29920000000000002</v>
      </c>
      <c r="G11" s="78">
        <f t="shared" ref="G11:G74" si="1">E11*F11</f>
        <v>352.95016327788801</v>
      </c>
      <c r="H11" s="41">
        <f t="shared" ref="H11:H74" si="2">E11+G11</f>
        <v>1532.596430917888</v>
      </c>
      <c r="I11" s="310">
        <f>I119</f>
        <v>161855.15614179178</v>
      </c>
      <c r="J11" s="385">
        <f t="shared" ref="J11:J21" si="3">IF((I11)+K11-(H11/2)&gt;$I$137,$I$137-K11,(I11)-(H11/2))</f>
        <v>76000.758974384822</v>
      </c>
      <c r="K11" s="109">
        <f t="shared" ref="K11:K74" si="4">I$136</f>
        <v>8719.2410256151761</v>
      </c>
      <c r="L11" s="293">
        <f t="shared" ref="L11:L74" si="5">J11+K11</f>
        <v>84720</v>
      </c>
      <c r="M11" s="138">
        <f t="shared" ref="M11:M74" si="6">J11*M$9</f>
        <v>72200.721025665582</v>
      </c>
      <c r="N11" s="109">
        <f t="shared" ref="N11:N74" si="7">K11*M$9</f>
        <v>8283.2789743344165</v>
      </c>
      <c r="O11" s="139">
        <f t="shared" ref="O11:O74" si="8">M11+N11</f>
        <v>80484</v>
      </c>
      <c r="P11" s="291">
        <f t="shared" ref="P11:P13" si="9">J11*$P$9</f>
        <v>68400.683076946341</v>
      </c>
      <c r="Q11" s="109">
        <f t="shared" ref="Q11:Q74" si="10">K11*P$9</f>
        <v>7847.3169230536587</v>
      </c>
      <c r="R11" s="49">
        <f t="shared" ref="R11:R17" si="11">P11+Q11</f>
        <v>76248</v>
      </c>
      <c r="S11" s="138">
        <f t="shared" ref="S11:S74" si="12">J11*S$9</f>
        <v>60800.607179507861</v>
      </c>
      <c r="T11" s="109">
        <f t="shared" ref="T11:T74" si="13">K11*S$9</f>
        <v>6975.3928204921413</v>
      </c>
      <c r="U11" s="139">
        <f t="shared" ref="U11:U74" si="14">S11+T11</f>
        <v>67776</v>
      </c>
      <c r="V11" s="48">
        <f t="shared" ref="V11:V74" si="15">J11*V$9</f>
        <v>53200.531282069373</v>
      </c>
      <c r="W11" s="109">
        <f t="shared" ref="W11:W74" si="16">K11*V$9</f>
        <v>6103.4687179306229</v>
      </c>
      <c r="X11" s="49">
        <f t="shared" ref="X11:X74" si="17">V11+W11</f>
        <v>59303.999999999993</v>
      </c>
      <c r="Y11" s="138">
        <f t="shared" ref="Y11:Y74" si="18">J11*Y$9</f>
        <v>45600.455384630892</v>
      </c>
      <c r="Z11" s="109">
        <f t="shared" ref="Z11:Z74" si="19">K11*Y$9</f>
        <v>5231.5446153691055</v>
      </c>
      <c r="AA11" s="49">
        <f t="shared" ref="AA11:AA74" si="20">Y11+Z11</f>
        <v>50832</v>
      </c>
    </row>
    <row r="12" spans="1:27" ht="12.75" customHeight="1">
      <c r="A12" s="327">
        <v>107</v>
      </c>
      <c r="B12" s="50">
        <v>42036</v>
      </c>
      <c r="C12" s="61">
        <f>VLOOKUP(B12,'base(indices)'!$A$4:$C$183,3,FALSE)</f>
        <v>788</v>
      </c>
      <c r="D12" s="159">
        <f>'base(indices)'!G65</f>
        <v>1.4838071500000001</v>
      </c>
      <c r="E12" s="54">
        <f t="shared" si="0"/>
        <v>1169.2400342000001</v>
      </c>
      <c r="F12" s="307">
        <f>'base(indices)'!$I$147</f>
        <v>0.29920000000000002</v>
      </c>
      <c r="G12" s="54">
        <f t="shared" si="1"/>
        <v>349.83661823264003</v>
      </c>
      <c r="H12" s="51">
        <f t="shared" si="2"/>
        <v>1519.07665243264</v>
      </c>
      <c r="I12" s="311">
        <f t="shared" ref="I12:I75" si="21">I11-H11</f>
        <v>160322.5597108739</v>
      </c>
      <c r="J12" s="57">
        <f t="shared" si="3"/>
        <v>76000.758974384822</v>
      </c>
      <c r="K12" s="91">
        <f t="shared" si="4"/>
        <v>8719.2410256151761</v>
      </c>
      <c r="L12" s="294">
        <f t="shared" si="5"/>
        <v>84720</v>
      </c>
      <c r="M12" s="57">
        <f t="shared" si="6"/>
        <v>72200.721025665582</v>
      </c>
      <c r="N12" s="91">
        <f t="shared" si="7"/>
        <v>8283.2789743344165</v>
      </c>
      <c r="O12" s="60">
        <f t="shared" si="8"/>
        <v>80484</v>
      </c>
      <c r="P12" s="58">
        <f t="shared" si="9"/>
        <v>68400.683076946341</v>
      </c>
      <c r="Q12" s="91">
        <f t="shared" si="10"/>
        <v>7847.3169230536587</v>
      </c>
      <c r="R12" s="59">
        <f t="shared" si="11"/>
        <v>76248</v>
      </c>
      <c r="S12" s="57">
        <f t="shared" si="12"/>
        <v>60800.607179507861</v>
      </c>
      <c r="T12" s="91">
        <f t="shared" si="13"/>
        <v>6975.3928204921413</v>
      </c>
      <c r="U12" s="60">
        <f t="shared" si="14"/>
        <v>67776</v>
      </c>
      <c r="V12" s="58">
        <f t="shared" si="15"/>
        <v>53200.531282069373</v>
      </c>
      <c r="W12" s="91">
        <f t="shared" si="16"/>
        <v>6103.4687179306229</v>
      </c>
      <c r="X12" s="59">
        <f t="shared" si="17"/>
        <v>59303.999999999993</v>
      </c>
      <c r="Y12" s="57">
        <f t="shared" si="18"/>
        <v>45600.455384630892</v>
      </c>
      <c r="Z12" s="91">
        <f t="shared" si="19"/>
        <v>5231.5446153691055</v>
      </c>
      <c r="AA12" s="59">
        <f t="shared" si="20"/>
        <v>50832</v>
      </c>
    </row>
    <row r="13" spans="1:27" ht="12.75" customHeight="1">
      <c r="A13" s="327">
        <v>106</v>
      </c>
      <c r="B13" s="50">
        <v>42064</v>
      </c>
      <c r="C13" s="61">
        <f>VLOOKUP(B13,'base(indices)'!$A$4:$C$183,3,FALSE)</f>
        <v>788</v>
      </c>
      <c r="D13" s="159">
        <f>'base(indices)'!G66</f>
        <v>1.4643315400000001</v>
      </c>
      <c r="E13" s="63">
        <f t="shared" si="0"/>
        <v>1153.8932535200001</v>
      </c>
      <c r="F13" s="307">
        <f>'base(indices)'!$I$147</f>
        <v>0.29920000000000002</v>
      </c>
      <c r="G13" s="63">
        <f t="shared" si="1"/>
        <v>345.24486145318406</v>
      </c>
      <c r="H13" s="61">
        <f t="shared" si="2"/>
        <v>1499.1381149731842</v>
      </c>
      <c r="I13" s="312">
        <f t="shared" si="21"/>
        <v>158803.48305844126</v>
      </c>
      <c r="J13" s="66">
        <f t="shared" si="3"/>
        <v>76000.758974384822</v>
      </c>
      <c r="K13" s="108">
        <f t="shared" si="4"/>
        <v>8719.2410256151761</v>
      </c>
      <c r="L13" s="295">
        <f t="shared" si="5"/>
        <v>84720</v>
      </c>
      <c r="M13" s="43">
        <f t="shared" si="6"/>
        <v>72200.721025665582</v>
      </c>
      <c r="N13" s="108">
        <f t="shared" si="7"/>
        <v>8283.2789743344165</v>
      </c>
      <c r="O13" s="47">
        <f t="shared" si="8"/>
        <v>80484</v>
      </c>
      <c r="P13" s="119">
        <f t="shared" si="9"/>
        <v>68400.683076946341</v>
      </c>
      <c r="Q13" s="108">
        <f t="shared" si="10"/>
        <v>7847.3169230536587</v>
      </c>
      <c r="R13" s="46">
        <f t="shared" si="11"/>
        <v>76248</v>
      </c>
      <c r="S13" s="43">
        <f t="shared" si="12"/>
        <v>60800.607179507861</v>
      </c>
      <c r="T13" s="108">
        <f t="shared" si="13"/>
        <v>6975.3928204921413</v>
      </c>
      <c r="U13" s="47">
        <f t="shared" si="14"/>
        <v>67776</v>
      </c>
      <c r="V13" s="45">
        <f t="shared" si="15"/>
        <v>53200.531282069373</v>
      </c>
      <c r="W13" s="108">
        <f t="shared" si="16"/>
        <v>6103.4687179306229</v>
      </c>
      <c r="X13" s="46">
        <f t="shared" si="17"/>
        <v>59303.999999999993</v>
      </c>
      <c r="Y13" s="43">
        <f t="shared" si="18"/>
        <v>45600.455384630892</v>
      </c>
      <c r="Z13" s="108">
        <f t="shared" si="19"/>
        <v>5231.5446153691055</v>
      </c>
      <c r="AA13" s="46">
        <f t="shared" si="20"/>
        <v>50832</v>
      </c>
    </row>
    <row r="14" spans="1:27" ht="12.75" customHeight="1">
      <c r="A14" s="327">
        <v>105</v>
      </c>
      <c r="B14" s="50">
        <v>42095</v>
      </c>
      <c r="C14" s="61">
        <f>VLOOKUP(B14,'base(indices)'!$A$4:$C$183,3,FALSE)</f>
        <v>788</v>
      </c>
      <c r="D14" s="159">
        <f>'base(indices)'!G67</f>
        <v>1.4463962299999999</v>
      </c>
      <c r="E14" s="54">
        <f t="shared" si="0"/>
        <v>1139.7602292399999</v>
      </c>
      <c r="F14" s="307">
        <f>'base(indices)'!$I$147</f>
        <v>0.29920000000000002</v>
      </c>
      <c r="G14" s="54">
        <f t="shared" si="1"/>
        <v>341.01626058860802</v>
      </c>
      <c r="H14" s="51">
        <f t="shared" si="2"/>
        <v>1480.776489828608</v>
      </c>
      <c r="I14" s="311">
        <f t="shared" si="21"/>
        <v>157304.34494346808</v>
      </c>
      <c r="J14" s="57">
        <f t="shared" si="3"/>
        <v>76000.758974384822</v>
      </c>
      <c r="K14" s="91">
        <f t="shared" si="4"/>
        <v>8719.2410256151761</v>
      </c>
      <c r="L14" s="294">
        <f t="shared" si="5"/>
        <v>84720</v>
      </c>
      <c r="M14" s="57">
        <f t="shared" si="6"/>
        <v>72200.721025665582</v>
      </c>
      <c r="N14" s="91">
        <f t="shared" si="7"/>
        <v>8283.2789743344165</v>
      </c>
      <c r="O14" s="60">
        <f t="shared" si="8"/>
        <v>80484</v>
      </c>
      <c r="P14" s="58">
        <f>J14*$P$9</f>
        <v>68400.683076946341</v>
      </c>
      <c r="Q14" s="91">
        <f t="shared" si="10"/>
        <v>7847.3169230536587</v>
      </c>
      <c r="R14" s="59">
        <f t="shared" si="11"/>
        <v>76248</v>
      </c>
      <c r="S14" s="57">
        <f t="shared" si="12"/>
        <v>60800.607179507861</v>
      </c>
      <c r="T14" s="91">
        <f t="shared" si="13"/>
        <v>6975.3928204921413</v>
      </c>
      <c r="U14" s="60">
        <f t="shared" si="14"/>
        <v>67776</v>
      </c>
      <c r="V14" s="58">
        <f t="shared" si="15"/>
        <v>53200.531282069373</v>
      </c>
      <c r="W14" s="91">
        <f t="shared" si="16"/>
        <v>6103.4687179306229</v>
      </c>
      <c r="X14" s="59">
        <f t="shared" si="17"/>
        <v>59303.999999999993</v>
      </c>
      <c r="Y14" s="57">
        <f t="shared" si="18"/>
        <v>45600.455384630892</v>
      </c>
      <c r="Z14" s="91">
        <f t="shared" si="19"/>
        <v>5231.5446153691055</v>
      </c>
      <c r="AA14" s="59">
        <f t="shared" si="20"/>
        <v>50832</v>
      </c>
    </row>
    <row r="15" spans="1:27" ht="12.75" customHeight="1">
      <c r="A15" s="327">
        <v>104</v>
      </c>
      <c r="B15" s="50">
        <v>42125</v>
      </c>
      <c r="C15" s="61">
        <f>VLOOKUP(B15,'base(indices)'!$A$4:$C$183,3,FALSE)</f>
        <v>788</v>
      </c>
      <c r="D15" s="159">
        <f>'base(indices)'!G68</f>
        <v>1.4310836300000001</v>
      </c>
      <c r="E15" s="63">
        <f t="shared" si="0"/>
        <v>1127.6939004400001</v>
      </c>
      <c r="F15" s="307">
        <f>'base(indices)'!$I$147</f>
        <v>0.29920000000000002</v>
      </c>
      <c r="G15" s="63">
        <f t="shared" si="1"/>
        <v>337.40601501164804</v>
      </c>
      <c r="H15" s="61">
        <f t="shared" si="2"/>
        <v>1465.099915451648</v>
      </c>
      <c r="I15" s="312">
        <f t="shared" si="21"/>
        <v>155823.56845363948</v>
      </c>
      <c r="J15" s="66">
        <f t="shared" si="3"/>
        <v>76000.758974384822</v>
      </c>
      <c r="K15" s="108">
        <f t="shared" si="4"/>
        <v>8719.2410256151761</v>
      </c>
      <c r="L15" s="295">
        <f t="shared" si="5"/>
        <v>84720</v>
      </c>
      <c r="M15" s="43">
        <f t="shared" si="6"/>
        <v>72200.721025665582</v>
      </c>
      <c r="N15" s="108">
        <f t="shared" si="7"/>
        <v>8283.2789743344165</v>
      </c>
      <c r="O15" s="47">
        <f t="shared" si="8"/>
        <v>80484</v>
      </c>
      <c r="P15" s="119">
        <f>J15*$P$9</f>
        <v>68400.683076946341</v>
      </c>
      <c r="Q15" s="108">
        <f t="shared" si="10"/>
        <v>7847.3169230536587</v>
      </c>
      <c r="R15" s="46">
        <f t="shared" si="11"/>
        <v>76248</v>
      </c>
      <c r="S15" s="43">
        <f t="shared" si="12"/>
        <v>60800.607179507861</v>
      </c>
      <c r="T15" s="108">
        <f t="shared" si="13"/>
        <v>6975.3928204921413</v>
      </c>
      <c r="U15" s="47">
        <f t="shared" si="14"/>
        <v>67776</v>
      </c>
      <c r="V15" s="45">
        <f t="shared" si="15"/>
        <v>53200.531282069373</v>
      </c>
      <c r="W15" s="108">
        <f t="shared" si="16"/>
        <v>6103.4687179306229</v>
      </c>
      <c r="X15" s="46">
        <f t="shared" si="17"/>
        <v>59303.999999999993</v>
      </c>
      <c r="Y15" s="43">
        <f t="shared" si="18"/>
        <v>45600.455384630892</v>
      </c>
      <c r="Z15" s="108">
        <f t="shared" si="19"/>
        <v>5231.5446153691055</v>
      </c>
      <c r="AA15" s="46">
        <f t="shared" si="20"/>
        <v>50832</v>
      </c>
    </row>
    <row r="16" spans="1:27" ht="12.75" customHeight="1">
      <c r="A16" s="327">
        <v>103</v>
      </c>
      <c r="B16" s="50">
        <v>42156</v>
      </c>
      <c r="C16" s="61">
        <f>VLOOKUP(B16,'base(indices)'!$A$4:$C$183,3,FALSE)</f>
        <v>788</v>
      </c>
      <c r="D16" s="159">
        <f>'base(indices)'!G69</f>
        <v>1.4225483400000001</v>
      </c>
      <c r="E16" s="54">
        <f t="shared" si="0"/>
        <v>1120.96809192</v>
      </c>
      <c r="F16" s="307">
        <f>'base(indices)'!$I$147</f>
        <v>0.29920000000000002</v>
      </c>
      <c r="G16" s="54">
        <f t="shared" si="1"/>
        <v>335.39365310246404</v>
      </c>
      <c r="H16" s="51">
        <f t="shared" si="2"/>
        <v>1456.361745022464</v>
      </c>
      <c r="I16" s="311">
        <f t="shared" si="21"/>
        <v>154358.46853818782</v>
      </c>
      <c r="J16" s="57">
        <f t="shared" si="3"/>
        <v>76000.758974384822</v>
      </c>
      <c r="K16" s="91">
        <f t="shared" si="4"/>
        <v>8719.2410256151761</v>
      </c>
      <c r="L16" s="294">
        <f t="shared" si="5"/>
        <v>84720</v>
      </c>
      <c r="M16" s="57">
        <f t="shared" si="6"/>
        <v>72200.721025665582</v>
      </c>
      <c r="N16" s="91">
        <f t="shared" si="7"/>
        <v>8283.2789743344165</v>
      </c>
      <c r="O16" s="60">
        <f t="shared" si="8"/>
        <v>80484</v>
      </c>
      <c r="P16" s="58">
        <f t="shared" ref="P16:P25" si="22">J16*$P$9</f>
        <v>68400.683076946341</v>
      </c>
      <c r="Q16" s="91">
        <f t="shared" si="10"/>
        <v>7847.3169230536587</v>
      </c>
      <c r="R16" s="59">
        <f t="shared" si="11"/>
        <v>76248</v>
      </c>
      <c r="S16" s="57">
        <f t="shared" si="12"/>
        <v>60800.607179507861</v>
      </c>
      <c r="T16" s="91">
        <f t="shared" si="13"/>
        <v>6975.3928204921413</v>
      </c>
      <c r="U16" s="60">
        <f t="shared" si="14"/>
        <v>67776</v>
      </c>
      <c r="V16" s="58">
        <f t="shared" si="15"/>
        <v>53200.531282069373</v>
      </c>
      <c r="W16" s="91">
        <f t="shared" si="16"/>
        <v>6103.4687179306229</v>
      </c>
      <c r="X16" s="59">
        <f t="shared" si="17"/>
        <v>59303.999999999993</v>
      </c>
      <c r="Y16" s="57">
        <f t="shared" si="18"/>
        <v>45600.455384630892</v>
      </c>
      <c r="Z16" s="91">
        <f t="shared" si="19"/>
        <v>5231.5446153691055</v>
      </c>
      <c r="AA16" s="59">
        <f t="shared" si="20"/>
        <v>50832</v>
      </c>
    </row>
    <row r="17" spans="1:27" ht="12.75" customHeight="1">
      <c r="A17" s="327">
        <v>102</v>
      </c>
      <c r="B17" s="50">
        <v>42186</v>
      </c>
      <c r="C17" s="61">
        <f>VLOOKUP(B17,'base(indices)'!$A$4:$C$183,3,FALSE)</f>
        <v>788</v>
      </c>
      <c r="D17" s="159">
        <f>'base(indices)'!G70</f>
        <v>1.4086031699999999</v>
      </c>
      <c r="E17" s="63">
        <f t="shared" si="0"/>
        <v>1109.9792979599999</v>
      </c>
      <c r="F17" s="307">
        <f>'base(indices)'!$I$147</f>
        <v>0.29920000000000002</v>
      </c>
      <c r="G17" s="63">
        <f t="shared" si="1"/>
        <v>332.10580594963199</v>
      </c>
      <c r="H17" s="61">
        <f t="shared" si="2"/>
        <v>1442.0851039096319</v>
      </c>
      <c r="I17" s="312">
        <f t="shared" si="21"/>
        <v>152902.10679316535</v>
      </c>
      <c r="J17" s="66">
        <f t="shared" si="3"/>
        <v>76000.758974384822</v>
      </c>
      <c r="K17" s="108">
        <f t="shared" si="4"/>
        <v>8719.2410256151761</v>
      </c>
      <c r="L17" s="295">
        <f t="shared" si="5"/>
        <v>84720</v>
      </c>
      <c r="M17" s="43">
        <f t="shared" si="6"/>
        <v>72200.721025665582</v>
      </c>
      <c r="N17" s="108">
        <f t="shared" si="7"/>
        <v>8283.2789743344165</v>
      </c>
      <c r="O17" s="47">
        <f t="shared" si="8"/>
        <v>80484</v>
      </c>
      <c r="P17" s="119">
        <f t="shared" si="22"/>
        <v>68400.683076946341</v>
      </c>
      <c r="Q17" s="108">
        <f t="shared" si="10"/>
        <v>7847.3169230536587</v>
      </c>
      <c r="R17" s="46">
        <f t="shared" si="11"/>
        <v>76248</v>
      </c>
      <c r="S17" s="43">
        <f t="shared" si="12"/>
        <v>60800.607179507861</v>
      </c>
      <c r="T17" s="108">
        <f t="shared" si="13"/>
        <v>6975.3928204921413</v>
      </c>
      <c r="U17" s="47">
        <f t="shared" si="14"/>
        <v>67776</v>
      </c>
      <c r="V17" s="45">
        <f t="shared" si="15"/>
        <v>53200.531282069373</v>
      </c>
      <c r="W17" s="108">
        <f t="shared" si="16"/>
        <v>6103.4687179306229</v>
      </c>
      <c r="X17" s="46">
        <f t="shared" si="17"/>
        <v>59303.999999999993</v>
      </c>
      <c r="Y17" s="43">
        <f t="shared" si="18"/>
        <v>45600.455384630892</v>
      </c>
      <c r="Z17" s="108">
        <f t="shared" si="19"/>
        <v>5231.5446153691055</v>
      </c>
      <c r="AA17" s="46">
        <f t="shared" si="20"/>
        <v>50832</v>
      </c>
    </row>
    <row r="18" spans="1:27" ht="12.75" customHeight="1">
      <c r="A18" s="327">
        <v>101</v>
      </c>
      <c r="B18" s="50">
        <v>42217</v>
      </c>
      <c r="C18" s="61">
        <f>VLOOKUP(B18,'base(indices)'!$A$4:$C$183,3,FALSE)</f>
        <v>788</v>
      </c>
      <c r="D18" s="159">
        <f>'base(indices)'!G71</f>
        <v>1.40034116</v>
      </c>
      <c r="E18" s="54">
        <f t="shared" si="0"/>
        <v>1103.4688340800001</v>
      </c>
      <c r="F18" s="307">
        <f>'base(indices)'!$I$147</f>
        <v>0.29920000000000002</v>
      </c>
      <c r="G18" s="54">
        <f t="shared" si="1"/>
        <v>330.15787515673605</v>
      </c>
      <c r="H18" s="51">
        <f t="shared" si="2"/>
        <v>1433.6267092367361</v>
      </c>
      <c r="I18" s="311">
        <f t="shared" si="21"/>
        <v>151460.02168925572</v>
      </c>
      <c r="J18" s="57">
        <f t="shared" si="3"/>
        <v>76000.758974384822</v>
      </c>
      <c r="K18" s="91">
        <f t="shared" si="4"/>
        <v>8719.2410256151761</v>
      </c>
      <c r="L18" s="294">
        <f t="shared" si="5"/>
        <v>84720</v>
      </c>
      <c r="M18" s="57">
        <f t="shared" si="6"/>
        <v>72200.721025665582</v>
      </c>
      <c r="N18" s="91">
        <f t="shared" si="7"/>
        <v>8283.2789743344165</v>
      </c>
      <c r="O18" s="60">
        <f t="shared" si="8"/>
        <v>80484</v>
      </c>
      <c r="P18" s="58">
        <f t="shared" si="22"/>
        <v>68400.683076946341</v>
      </c>
      <c r="Q18" s="91">
        <f t="shared" si="10"/>
        <v>7847.3169230536587</v>
      </c>
      <c r="R18" s="59">
        <f>P18+Q18</f>
        <v>76248</v>
      </c>
      <c r="S18" s="57">
        <f t="shared" si="12"/>
        <v>60800.607179507861</v>
      </c>
      <c r="T18" s="91">
        <f t="shared" si="13"/>
        <v>6975.3928204921413</v>
      </c>
      <c r="U18" s="60">
        <f t="shared" si="14"/>
        <v>67776</v>
      </c>
      <c r="V18" s="58">
        <f t="shared" si="15"/>
        <v>53200.531282069373</v>
      </c>
      <c r="W18" s="91">
        <f t="shared" si="16"/>
        <v>6103.4687179306229</v>
      </c>
      <c r="X18" s="59">
        <f t="shared" si="17"/>
        <v>59303.999999999993</v>
      </c>
      <c r="Y18" s="57">
        <f t="shared" si="18"/>
        <v>45600.455384630892</v>
      </c>
      <c r="Z18" s="91">
        <f t="shared" si="19"/>
        <v>5231.5446153691055</v>
      </c>
      <c r="AA18" s="59">
        <f t="shared" si="20"/>
        <v>50832</v>
      </c>
    </row>
    <row r="19" spans="1:27" ht="12.75" customHeight="1">
      <c r="A19" s="327">
        <v>100</v>
      </c>
      <c r="B19" s="50">
        <v>42248</v>
      </c>
      <c r="C19" s="61">
        <f>VLOOKUP(B19,'base(indices)'!$A$4:$C$183,3,FALSE)</f>
        <v>788</v>
      </c>
      <c r="D19" s="159">
        <f>'base(indices)'!G72</f>
        <v>1.39434547</v>
      </c>
      <c r="E19" s="63">
        <f t="shared" si="0"/>
        <v>1098.7442303600001</v>
      </c>
      <c r="F19" s="307">
        <f>'base(indices)'!$I$147</f>
        <v>0.29920000000000002</v>
      </c>
      <c r="G19" s="63">
        <f t="shared" si="1"/>
        <v>328.74427372371207</v>
      </c>
      <c r="H19" s="61">
        <f t="shared" si="2"/>
        <v>1427.4885040837121</v>
      </c>
      <c r="I19" s="312">
        <f t="shared" si="21"/>
        <v>150026.39498001899</v>
      </c>
      <c r="J19" s="66">
        <f t="shared" si="3"/>
        <v>76000.758974384822</v>
      </c>
      <c r="K19" s="108">
        <f t="shared" si="4"/>
        <v>8719.2410256151761</v>
      </c>
      <c r="L19" s="295">
        <f t="shared" si="5"/>
        <v>84720</v>
      </c>
      <c r="M19" s="43">
        <f t="shared" si="6"/>
        <v>72200.721025665582</v>
      </c>
      <c r="N19" s="108">
        <f t="shared" si="7"/>
        <v>8283.2789743344165</v>
      </c>
      <c r="O19" s="47">
        <f t="shared" si="8"/>
        <v>80484</v>
      </c>
      <c r="P19" s="119">
        <f t="shared" si="22"/>
        <v>68400.683076946341</v>
      </c>
      <c r="Q19" s="108">
        <f t="shared" si="10"/>
        <v>7847.3169230536587</v>
      </c>
      <c r="R19" s="46">
        <f t="shared" ref="R19:R29" si="23">P19+Q19</f>
        <v>76248</v>
      </c>
      <c r="S19" s="43">
        <f t="shared" si="12"/>
        <v>60800.607179507861</v>
      </c>
      <c r="T19" s="108">
        <f t="shared" si="13"/>
        <v>6975.3928204921413</v>
      </c>
      <c r="U19" s="47">
        <f t="shared" si="14"/>
        <v>67776</v>
      </c>
      <c r="V19" s="45">
        <f t="shared" si="15"/>
        <v>53200.531282069373</v>
      </c>
      <c r="W19" s="108">
        <f t="shared" si="16"/>
        <v>6103.4687179306229</v>
      </c>
      <c r="X19" s="46">
        <f t="shared" si="17"/>
        <v>59303.999999999993</v>
      </c>
      <c r="Y19" s="43">
        <f t="shared" si="18"/>
        <v>45600.455384630892</v>
      </c>
      <c r="Z19" s="108">
        <f t="shared" si="19"/>
        <v>5231.5446153691055</v>
      </c>
      <c r="AA19" s="46">
        <f t="shared" si="20"/>
        <v>50832</v>
      </c>
    </row>
    <row r="20" spans="1:27" ht="12.75" customHeight="1">
      <c r="A20" s="327">
        <v>99</v>
      </c>
      <c r="B20" s="50">
        <v>42278</v>
      </c>
      <c r="C20" s="61">
        <f>VLOOKUP(B20,'base(indices)'!$A$4:$C$183,3,FALSE)</f>
        <v>788</v>
      </c>
      <c r="D20" s="159">
        <f>'base(indices)'!G73</f>
        <v>1.38892865</v>
      </c>
      <c r="E20" s="54">
        <f t="shared" si="0"/>
        <v>1094.4757761999999</v>
      </c>
      <c r="F20" s="307">
        <f>'base(indices)'!$I$147</f>
        <v>0.29920000000000002</v>
      </c>
      <c r="G20" s="54">
        <f t="shared" si="1"/>
        <v>327.46715223903999</v>
      </c>
      <c r="H20" s="51">
        <f t="shared" si="2"/>
        <v>1421.9429284390399</v>
      </c>
      <c r="I20" s="311">
        <f t="shared" si="21"/>
        <v>148598.90647593528</v>
      </c>
      <c r="J20" s="57">
        <f t="shared" si="3"/>
        <v>76000.758974384822</v>
      </c>
      <c r="K20" s="91">
        <f t="shared" si="4"/>
        <v>8719.2410256151761</v>
      </c>
      <c r="L20" s="294">
        <f t="shared" si="5"/>
        <v>84720</v>
      </c>
      <c r="M20" s="57">
        <f t="shared" si="6"/>
        <v>72200.721025665582</v>
      </c>
      <c r="N20" s="91">
        <f t="shared" si="7"/>
        <v>8283.2789743344165</v>
      </c>
      <c r="O20" s="60">
        <f t="shared" si="8"/>
        <v>80484</v>
      </c>
      <c r="P20" s="58">
        <f t="shared" si="22"/>
        <v>68400.683076946341</v>
      </c>
      <c r="Q20" s="91">
        <f t="shared" si="10"/>
        <v>7847.3169230536587</v>
      </c>
      <c r="R20" s="59">
        <f t="shared" si="23"/>
        <v>76248</v>
      </c>
      <c r="S20" s="57">
        <f t="shared" si="12"/>
        <v>60800.607179507861</v>
      </c>
      <c r="T20" s="91">
        <f t="shared" si="13"/>
        <v>6975.3928204921413</v>
      </c>
      <c r="U20" s="60">
        <f t="shared" si="14"/>
        <v>67776</v>
      </c>
      <c r="V20" s="58">
        <f t="shared" si="15"/>
        <v>53200.531282069373</v>
      </c>
      <c r="W20" s="91">
        <f t="shared" si="16"/>
        <v>6103.4687179306229</v>
      </c>
      <c r="X20" s="59">
        <f t="shared" si="17"/>
        <v>59303.999999999993</v>
      </c>
      <c r="Y20" s="57">
        <f t="shared" si="18"/>
        <v>45600.455384630892</v>
      </c>
      <c r="Z20" s="91">
        <f t="shared" si="19"/>
        <v>5231.5446153691055</v>
      </c>
      <c r="AA20" s="59">
        <f t="shared" si="20"/>
        <v>50832</v>
      </c>
    </row>
    <row r="21" spans="1:27" ht="12.75" customHeight="1">
      <c r="A21" s="327">
        <v>98</v>
      </c>
      <c r="B21" s="50">
        <v>42309</v>
      </c>
      <c r="C21" s="61">
        <f>VLOOKUP(B21,'base(indices)'!$A$4:$C$183,3,FALSE)</f>
        <v>788</v>
      </c>
      <c r="D21" s="159">
        <f>'base(indices)'!G74</f>
        <v>1.37982183</v>
      </c>
      <c r="E21" s="63">
        <f t="shared" si="0"/>
        <v>1087.2996020400001</v>
      </c>
      <c r="F21" s="307">
        <f>'base(indices)'!$I$147</f>
        <v>0.29920000000000002</v>
      </c>
      <c r="G21" s="63">
        <f t="shared" si="1"/>
        <v>325.32004093036807</v>
      </c>
      <c r="H21" s="61">
        <f t="shared" si="2"/>
        <v>1412.6196429703682</v>
      </c>
      <c r="I21" s="312">
        <f t="shared" si="21"/>
        <v>147176.96354749624</v>
      </c>
      <c r="J21" s="66">
        <f t="shared" si="3"/>
        <v>76000.758974384822</v>
      </c>
      <c r="K21" s="108">
        <f t="shared" si="4"/>
        <v>8719.2410256151761</v>
      </c>
      <c r="L21" s="295">
        <f t="shared" si="5"/>
        <v>84720</v>
      </c>
      <c r="M21" s="43">
        <f t="shared" si="6"/>
        <v>72200.721025665582</v>
      </c>
      <c r="N21" s="108">
        <f t="shared" si="7"/>
        <v>8283.2789743344165</v>
      </c>
      <c r="O21" s="47">
        <f t="shared" si="8"/>
        <v>80484</v>
      </c>
      <c r="P21" s="119">
        <f t="shared" si="22"/>
        <v>68400.683076946341</v>
      </c>
      <c r="Q21" s="108">
        <f t="shared" si="10"/>
        <v>7847.3169230536587</v>
      </c>
      <c r="R21" s="46">
        <f t="shared" si="23"/>
        <v>76248</v>
      </c>
      <c r="S21" s="43">
        <f t="shared" si="12"/>
        <v>60800.607179507861</v>
      </c>
      <c r="T21" s="108">
        <f t="shared" si="13"/>
        <v>6975.3928204921413</v>
      </c>
      <c r="U21" s="47">
        <f t="shared" si="14"/>
        <v>67776</v>
      </c>
      <c r="V21" s="45">
        <f t="shared" si="15"/>
        <v>53200.531282069373</v>
      </c>
      <c r="W21" s="108">
        <f t="shared" si="16"/>
        <v>6103.4687179306229</v>
      </c>
      <c r="X21" s="46">
        <f t="shared" si="17"/>
        <v>59303.999999999993</v>
      </c>
      <c r="Y21" s="43">
        <f t="shared" si="18"/>
        <v>45600.455384630892</v>
      </c>
      <c r="Z21" s="108">
        <f t="shared" si="19"/>
        <v>5231.5446153691055</v>
      </c>
      <c r="AA21" s="46">
        <f t="shared" si="20"/>
        <v>50832</v>
      </c>
    </row>
    <row r="22" spans="1:27" ht="12.75" customHeight="1" thickBot="1">
      <c r="A22" s="330">
        <v>97</v>
      </c>
      <c r="B22" s="300">
        <v>42339</v>
      </c>
      <c r="C22" s="69">
        <f>VLOOKUP(B22,'base(indices)'!$A$4:$C$183,3,FALSE)</f>
        <v>788</v>
      </c>
      <c r="D22" s="272">
        <f>'base(indices)'!G75</f>
        <v>1.36819219</v>
      </c>
      <c r="E22" s="163">
        <f t="shared" si="0"/>
        <v>1078.13544572</v>
      </c>
      <c r="F22" s="304">
        <f>'base(indices)'!$I$147</f>
        <v>0.29920000000000002</v>
      </c>
      <c r="G22" s="163">
        <f t="shared" si="1"/>
        <v>322.57812535942401</v>
      </c>
      <c r="H22" s="162">
        <f t="shared" si="2"/>
        <v>1400.7135710794241</v>
      </c>
      <c r="I22" s="313">
        <f t="shared" si="21"/>
        <v>145764.34390452589</v>
      </c>
      <c r="J22" s="57">
        <f>IF((I20)+K20-(H20/2)&gt;$I$137,$I$137-K20,(I20)-(H20/2))</f>
        <v>76000.758974384822</v>
      </c>
      <c r="K22" s="202">
        <f t="shared" si="4"/>
        <v>8719.2410256151761</v>
      </c>
      <c r="L22" s="314">
        <f t="shared" si="5"/>
        <v>84720</v>
      </c>
      <c r="M22" s="282">
        <f t="shared" si="6"/>
        <v>72200.721025665582</v>
      </c>
      <c r="N22" s="202">
        <f t="shared" si="7"/>
        <v>8283.2789743344165</v>
      </c>
      <c r="O22" s="289">
        <f t="shared" si="8"/>
        <v>80484</v>
      </c>
      <c r="P22" s="58">
        <f t="shared" si="22"/>
        <v>68400.683076946341</v>
      </c>
      <c r="Q22" s="91">
        <f t="shared" si="10"/>
        <v>7847.3169230536587</v>
      </c>
      <c r="R22" s="59">
        <f t="shared" si="23"/>
        <v>76248</v>
      </c>
      <c r="S22" s="85">
        <f t="shared" si="12"/>
        <v>60800.607179507861</v>
      </c>
      <c r="T22" s="86">
        <f t="shared" si="13"/>
        <v>6975.3928204921413</v>
      </c>
      <c r="U22" s="107">
        <f t="shared" si="14"/>
        <v>67776</v>
      </c>
      <c r="V22" s="58">
        <f t="shared" si="15"/>
        <v>53200.531282069373</v>
      </c>
      <c r="W22" s="91">
        <f t="shared" si="16"/>
        <v>6103.4687179306229</v>
      </c>
      <c r="X22" s="59">
        <f t="shared" si="17"/>
        <v>59303.999999999993</v>
      </c>
      <c r="Y22" s="85">
        <f t="shared" si="18"/>
        <v>45600.455384630892</v>
      </c>
      <c r="Z22" s="86">
        <f t="shared" si="19"/>
        <v>5231.5446153691055</v>
      </c>
      <c r="AA22" s="165">
        <f t="shared" si="20"/>
        <v>50832</v>
      </c>
    </row>
    <row r="23" spans="1:27" ht="12.75" customHeight="1">
      <c r="A23" s="190">
        <v>96</v>
      </c>
      <c r="B23" s="136">
        <v>42370</v>
      </c>
      <c r="C23" s="120">
        <f>VLOOKUP(B23,'base(indices)'!$A$4:$C$183,3,FALSE)</f>
        <v>880</v>
      </c>
      <c r="D23" s="270">
        <f>'base(indices)'!G76</f>
        <v>1.35223581</v>
      </c>
      <c r="E23" s="78">
        <f t="shared" si="0"/>
        <v>1189.9675128000001</v>
      </c>
      <c r="F23" s="371">
        <f>'base(indices)'!$I$147</f>
        <v>0.29920000000000002</v>
      </c>
      <c r="G23" s="78">
        <f t="shared" si="1"/>
        <v>356.03827982976009</v>
      </c>
      <c r="H23" s="41">
        <f t="shared" si="2"/>
        <v>1546.0057926297602</v>
      </c>
      <c r="I23" s="310">
        <f t="shared" si="21"/>
        <v>144363.63033344646</v>
      </c>
      <c r="J23" s="385">
        <f t="shared" ref="J23:J33" si="24">IF((I23)+K23-(H23/2)&gt;$I$137,$I$137-K23,(I23)-(H23/2))</f>
        <v>76000.758974384822</v>
      </c>
      <c r="K23" s="109">
        <f t="shared" si="4"/>
        <v>8719.2410256151761</v>
      </c>
      <c r="L23" s="293">
        <f t="shared" si="5"/>
        <v>84720</v>
      </c>
      <c r="M23" s="138">
        <f t="shared" si="6"/>
        <v>72200.721025665582</v>
      </c>
      <c r="N23" s="109">
        <f t="shared" si="7"/>
        <v>8283.2789743344165</v>
      </c>
      <c r="O23" s="139">
        <f t="shared" si="8"/>
        <v>80484</v>
      </c>
      <c r="P23" s="291">
        <f t="shared" si="22"/>
        <v>68400.683076946341</v>
      </c>
      <c r="Q23" s="109">
        <f t="shared" si="10"/>
        <v>7847.3169230536587</v>
      </c>
      <c r="R23" s="49">
        <f t="shared" si="23"/>
        <v>76248</v>
      </c>
      <c r="S23" s="138">
        <f t="shared" si="12"/>
        <v>60800.607179507861</v>
      </c>
      <c r="T23" s="109">
        <f t="shared" si="13"/>
        <v>6975.3928204921413</v>
      </c>
      <c r="U23" s="139">
        <f t="shared" si="14"/>
        <v>67776</v>
      </c>
      <c r="V23" s="48">
        <f t="shared" si="15"/>
        <v>53200.531282069373</v>
      </c>
      <c r="W23" s="109">
        <f t="shared" si="16"/>
        <v>6103.4687179306229</v>
      </c>
      <c r="X23" s="49">
        <f t="shared" si="17"/>
        <v>59303.999999999993</v>
      </c>
      <c r="Y23" s="138">
        <f t="shared" si="18"/>
        <v>45600.455384630892</v>
      </c>
      <c r="Z23" s="109">
        <f t="shared" si="19"/>
        <v>5231.5446153691055</v>
      </c>
      <c r="AA23" s="49">
        <f t="shared" si="20"/>
        <v>50832</v>
      </c>
    </row>
    <row r="24" spans="1:27" ht="12.75" customHeight="1">
      <c r="A24" s="187">
        <v>95</v>
      </c>
      <c r="B24" s="50">
        <v>42401</v>
      </c>
      <c r="C24" s="61">
        <f>VLOOKUP(B24,'base(indices)'!$A$4:$C$183,3,FALSE)</f>
        <v>880</v>
      </c>
      <c r="D24" s="159">
        <f>'base(indices)'!G77</f>
        <v>1.3399086499999999</v>
      </c>
      <c r="E24" s="54">
        <f t="shared" si="0"/>
        <v>1179.119612</v>
      </c>
      <c r="F24" s="307">
        <f>'base(indices)'!$I$147</f>
        <v>0.29920000000000002</v>
      </c>
      <c r="G24" s="54">
        <f t="shared" si="1"/>
        <v>352.79258791040002</v>
      </c>
      <c r="H24" s="51">
        <f t="shared" si="2"/>
        <v>1531.9121999104</v>
      </c>
      <c r="I24" s="311">
        <f t="shared" si="21"/>
        <v>142817.6245408167</v>
      </c>
      <c r="J24" s="57">
        <f t="shared" si="24"/>
        <v>76000.758974384822</v>
      </c>
      <c r="K24" s="91">
        <f t="shared" si="4"/>
        <v>8719.2410256151761</v>
      </c>
      <c r="L24" s="294">
        <f t="shared" si="5"/>
        <v>84720</v>
      </c>
      <c r="M24" s="57">
        <f t="shared" si="6"/>
        <v>72200.721025665582</v>
      </c>
      <c r="N24" s="91">
        <f t="shared" si="7"/>
        <v>8283.2789743344165</v>
      </c>
      <c r="O24" s="60">
        <f t="shared" si="8"/>
        <v>80484</v>
      </c>
      <c r="P24" s="58">
        <f t="shared" si="22"/>
        <v>68400.683076946341</v>
      </c>
      <c r="Q24" s="91">
        <f t="shared" si="10"/>
        <v>7847.3169230536587</v>
      </c>
      <c r="R24" s="59">
        <f t="shared" si="23"/>
        <v>76248</v>
      </c>
      <c r="S24" s="57">
        <f t="shared" si="12"/>
        <v>60800.607179507861</v>
      </c>
      <c r="T24" s="91">
        <f t="shared" si="13"/>
        <v>6975.3928204921413</v>
      </c>
      <c r="U24" s="60">
        <f t="shared" si="14"/>
        <v>67776</v>
      </c>
      <c r="V24" s="58">
        <f t="shared" si="15"/>
        <v>53200.531282069373</v>
      </c>
      <c r="W24" s="91">
        <f t="shared" si="16"/>
        <v>6103.4687179306229</v>
      </c>
      <c r="X24" s="59">
        <f t="shared" si="17"/>
        <v>59303.999999999993</v>
      </c>
      <c r="Y24" s="57">
        <f t="shared" si="18"/>
        <v>45600.455384630892</v>
      </c>
      <c r="Z24" s="91">
        <f t="shared" si="19"/>
        <v>5231.5446153691055</v>
      </c>
      <c r="AA24" s="59">
        <f t="shared" si="20"/>
        <v>50832</v>
      </c>
    </row>
    <row r="25" spans="1:27" ht="12.75" customHeight="1">
      <c r="A25" s="187">
        <v>94</v>
      </c>
      <c r="B25" s="50">
        <v>42430</v>
      </c>
      <c r="C25" s="61">
        <f>VLOOKUP(B25,'base(indices)'!$A$4:$C$183,3,FALSE)</f>
        <v>880</v>
      </c>
      <c r="D25" s="159">
        <f>'base(indices)'!G78</f>
        <v>1.3211483399999999</v>
      </c>
      <c r="E25" s="63">
        <f t="shared" si="0"/>
        <v>1162.6105391999999</v>
      </c>
      <c r="F25" s="307">
        <f>'base(indices)'!$I$147</f>
        <v>0.29920000000000002</v>
      </c>
      <c r="G25" s="63">
        <f t="shared" si="1"/>
        <v>347.85307332863999</v>
      </c>
      <c r="H25" s="61">
        <f t="shared" si="2"/>
        <v>1510.4636125286399</v>
      </c>
      <c r="I25" s="312">
        <f t="shared" si="21"/>
        <v>141285.71234090629</v>
      </c>
      <c r="J25" s="66">
        <f t="shared" si="24"/>
        <v>76000.758974384822</v>
      </c>
      <c r="K25" s="108">
        <f t="shared" si="4"/>
        <v>8719.2410256151761</v>
      </c>
      <c r="L25" s="295">
        <f t="shared" si="5"/>
        <v>84720</v>
      </c>
      <c r="M25" s="43">
        <f t="shared" si="6"/>
        <v>72200.721025665582</v>
      </c>
      <c r="N25" s="108">
        <f t="shared" si="7"/>
        <v>8283.2789743344165</v>
      </c>
      <c r="O25" s="47">
        <f t="shared" si="8"/>
        <v>80484</v>
      </c>
      <c r="P25" s="119">
        <f t="shared" si="22"/>
        <v>68400.683076946341</v>
      </c>
      <c r="Q25" s="108">
        <f t="shared" si="10"/>
        <v>7847.3169230536587</v>
      </c>
      <c r="R25" s="46">
        <f t="shared" si="23"/>
        <v>76248</v>
      </c>
      <c r="S25" s="43">
        <f t="shared" si="12"/>
        <v>60800.607179507861</v>
      </c>
      <c r="T25" s="108">
        <f t="shared" si="13"/>
        <v>6975.3928204921413</v>
      </c>
      <c r="U25" s="47">
        <f t="shared" si="14"/>
        <v>67776</v>
      </c>
      <c r="V25" s="45">
        <f t="shared" si="15"/>
        <v>53200.531282069373</v>
      </c>
      <c r="W25" s="108">
        <f t="shared" si="16"/>
        <v>6103.4687179306229</v>
      </c>
      <c r="X25" s="46">
        <f t="shared" si="17"/>
        <v>59303.999999999993</v>
      </c>
      <c r="Y25" s="43">
        <f t="shared" si="18"/>
        <v>45600.455384630892</v>
      </c>
      <c r="Z25" s="108">
        <f t="shared" si="19"/>
        <v>5231.5446153691055</v>
      </c>
      <c r="AA25" s="46">
        <f t="shared" si="20"/>
        <v>50832</v>
      </c>
    </row>
    <row r="26" spans="1:27" ht="12.75" customHeight="1">
      <c r="A26" s="187">
        <v>93</v>
      </c>
      <c r="B26" s="50">
        <v>42461</v>
      </c>
      <c r="C26" s="61">
        <f>VLOOKUP(B26,'base(indices)'!$A$4:$C$183,3,FALSE)</f>
        <v>880</v>
      </c>
      <c r="D26" s="159">
        <f>'base(indices)'!G79</f>
        <v>1.31549173</v>
      </c>
      <c r="E26" s="54">
        <f t="shared" si="0"/>
        <v>1157.6327223999999</v>
      </c>
      <c r="F26" s="307">
        <f>'base(indices)'!$I$147</f>
        <v>0.29920000000000002</v>
      </c>
      <c r="G26" s="54">
        <f t="shared" si="1"/>
        <v>346.36371054208001</v>
      </c>
      <c r="H26" s="51">
        <f t="shared" si="2"/>
        <v>1503.99643294208</v>
      </c>
      <c r="I26" s="311">
        <f t="shared" si="21"/>
        <v>139775.24872837766</v>
      </c>
      <c r="J26" s="57">
        <f t="shared" si="24"/>
        <v>76000.758974384822</v>
      </c>
      <c r="K26" s="91">
        <f t="shared" si="4"/>
        <v>8719.2410256151761</v>
      </c>
      <c r="L26" s="294">
        <f t="shared" si="5"/>
        <v>84720</v>
      </c>
      <c r="M26" s="57">
        <f t="shared" si="6"/>
        <v>72200.721025665582</v>
      </c>
      <c r="N26" s="91">
        <f t="shared" si="7"/>
        <v>8283.2789743344165</v>
      </c>
      <c r="O26" s="60">
        <f t="shared" si="8"/>
        <v>80484</v>
      </c>
      <c r="P26" s="58">
        <f>J26*$P$9</f>
        <v>68400.683076946341</v>
      </c>
      <c r="Q26" s="91">
        <f t="shared" si="10"/>
        <v>7847.3169230536587</v>
      </c>
      <c r="R26" s="59">
        <f t="shared" si="23"/>
        <v>76248</v>
      </c>
      <c r="S26" s="57">
        <f t="shared" si="12"/>
        <v>60800.607179507861</v>
      </c>
      <c r="T26" s="91">
        <f t="shared" si="13"/>
        <v>6975.3928204921413</v>
      </c>
      <c r="U26" s="60">
        <f t="shared" si="14"/>
        <v>67776</v>
      </c>
      <c r="V26" s="58">
        <f t="shared" si="15"/>
        <v>53200.531282069373</v>
      </c>
      <c r="W26" s="91">
        <f t="shared" si="16"/>
        <v>6103.4687179306229</v>
      </c>
      <c r="X26" s="59">
        <f t="shared" si="17"/>
        <v>59303.999999999993</v>
      </c>
      <c r="Y26" s="57">
        <f t="shared" si="18"/>
        <v>45600.455384630892</v>
      </c>
      <c r="Z26" s="91">
        <f t="shared" si="19"/>
        <v>5231.5446153691055</v>
      </c>
      <c r="AA26" s="59">
        <f t="shared" si="20"/>
        <v>50832</v>
      </c>
    </row>
    <row r="27" spans="1:27" ht="12.75" customHeight="1">
      <c r="A27" s="187">
        <v>92</v>
      </c>
      <c r="B27" s="50">
        <v>42491</v>
      </c>
      <c r="C27" s="61">
        <f>VLOOKUP(B27,'base(indices)'!$A$4:$C$183,3,FALSE)</f>
        <v>880</v>
      </c>
      <c r="D27" s="159">
        <f>'base(indices)'!G80</f>
        <v>1.30881676</v>
      </c>
      <c r="E27" s="63">
        <f t="shared" si="0"/>
        <v>1151.7587487999999</v>
      </c>
      <c r="F27" s="307">
        <f>'base(indices)'!$I$147</f>
        <v>0.29920000000000002</v>
      </c>
      <c r="G27" s="63">
        <f t="shared" si="1"/>
        <v>344.60621764095998</v>
      </c>
      <c r="H27" s="61">
        <f t="shared" si="2"/>
        <v>1496.36496644096</v>
      </c>
      <c r="I27" s="312">
        <f t="shared" si="21"/>
        <v>138271.25229543558</v>
      </c>
      <c r="J27" s="66">
        <f t="shared" si="24"/>
        <v>76000.758974384822</v>
      </c>
      <c r="K27" s="108">
        <f t="shared" si="4"/>
        <v>8719.2410256151761</v>
      </c>
      <c r="L27" s="295">
        <f t="shared" si="5"/>
        <v>84720</v>
      </c>
      <c r="M27" s="43">
        <f t="shared" si="6"/>
        <v>72200.721025665582</v>
      </c>
      <c r="N27" s="108">
        <f t="shared" si="7"/>
        <v>8283.2789743344165</v>
      </c>
      <c r="O27" s="47">
        <f t="shared" si="8"/>
        <v>80484</v>
      </c>
      <c r="P27" s="119">
        <f>J27*$P$9</f>
        <v>68400.683076946341</v>
      </c>
      <c r="Q27" s="108">
        <f t="shared" si="10"/>
        <v>7847.3169230536587</v>
      </c>
      <c r="R27" s="46">
        <f t="shared" si="23"/>
        <v>76248</v>
      </c>
      <c r="S27" s="43">
        <f t="shared" si="12"/>
        <v>60800.607179507861</v>
      </c>
      <c r="T27" s="108">
        <f t="shared" si="13"/>
        <v>6975.3928204921413</v>
      </c>
      <c r="U27" s="47">
        <f t="shared" si="14"/>
        <v>67776</v>
      </c>
      <c r="V27" s="45">
        <f t="shared" si="15"/>
        <v>53200.531282069373</v>
      </c>
      <c r="W27" s="108">
        <f t="shared" si="16"/>
        <v>6103.4687179306229</v>
      </c>
      <c r="X27" s="46">
        <f t="shared" si="17"/>
        <v>59303.999999999993</v>
      </c>
      <c r="Y27" s="43">
        <f t="shared" si="18"/>
        <v>45600.455384630892</v>
      </c>
      <c r="Z27" s="108">
        <f t="shared" si="19"/>
        <v>5231.5446153691055</v>
      </c>
      <c r="AA27" s="46">
        <f t="shared" si="20"/>
        <v>50832</v>
      </c>
    </row>
    <row r="28" spans="1:27" ht="12.75" customHeight="1">
      <c r="A28" s="187">
        <v>91</v>
      </c>
      <c r="B28" s="50">
        <v>42522</v>
      </c>
      <c r="C28" s="61">
        <f>VLOOKUP(B28,'base(indices)'!$A$4:$C$183,3,FALSE)</f>
        <v>880</v>
      </c>
      <c r="D28" s="159">
        <f>'base(indices)'!G81</f>
        <v>1.2976569099999999</v>
      </c>
      <c r="E28" s="54">
        <f t="shared" si="0"/>
        <v>1141.9380807999999</v>
      </c>
      <c r="F28" s="307">
        <f>'base(indices)'!$I$147</f>
        <v>0.29920000000000002</v>
      </c>
      <c r="G28" s="54">
        <f t="shared" si="1"/>
        <v>341.66787377535996</v>
      </c>
      <c r="H28" s="51">
        <f t="shared" si="2"/>
        <v>1483.6059545753599</v>
      </c>
      <c r="I28" s="311">
        <f t="shared" si="21"/>
        <v>136774.88732899464</v>
      </c>
      <c r="J28" s="57">
        <f t="shared" si="24"/>
        <v>76000.758974384822</v>
      </c>
      <c r="K28" s="91">
        <f t="shared" si="4"/>
        <v>8719.2410256151761</v>
      </c>
      <c r="L28" s="294">
        <f t="shared" si="5"/>
        <v>84720</v>
      </c>
      <c r="M28" s="57">
        <f t="shared" si="6"/>
        <v>72200.721025665582</v>
      </c>
      <c r="N28" s="91">
        <f t="shared" si="7"/>
        <v>8283.2789743344165</v>
      </c>
      <c r="O28" s="60">
        <f t="shared" si="8"/>
        <v>80484</v>
      </c>
      <c r="P28" s="58">
        <f t="shared" ref="P28:P47" si="25">J28*$P$9</f>
        <v>68400.683076946341</v>
      </c>
      <c r="Q28" s="91">
        <f t="shared" si="10"/>
        <v>7847.3169230536587</v>
      </c>
      <c r="R28" s="59">
        <f t="shared" si="23"/>
        <v>76248</v>
      </c>
      <c r="S28" s="57">
        <f t="shared" si="12"/>
        <v>60800.607179507861</v>
      </c>
      <c r="T28" s="91">
        <f t="shared" si="13"/>
        <v>6975.3928204921413</v>
      </c>
      <c r="U28" s="60">
        <f t="shared" si="14"/>
        <v>67776</v>
      </c>
      <c r="V28" s="58">
        <f t="shared" si="15"/>
        <v>53200.531282069373</v>
      </c>
      <c r="W28" s="91">
        <f t="shared" si="16"/>
        <v>6103.4687179306229</v>
      </c>
      <c r="X28" s="59">
        <f t="shared" si="17"/>
        <v>59303.999999999993</v>
      </c>
      <c r="Y28" s="57">
        <f t="shared" si="18"/>
        <v>45600.455384630892</v>
      </c>
      <c r="Z28" s="91">
        <f t="shared" si="19"/>
        <v>5231.5446153691055</v>
      </c>
      <c r="AA28" s="59">
        <f t="shared" si="20"/>
        <v>50832</v>
      </c>
    </row>
    <row r="29" spans="1:27" ht="12.75" customHeight="1">
      <c r="A29" s="187">
        <v>90</v>
      </c>
      <c r="B29" s="50">
        <v>42552</v>
      </c>
      <c r="C29" s="61">
        <f>VLOOKUP(B29,'base(indices)'!$A$4:$C$183,3,FALSE)</f>
        <v>880</v>
      </c>
      <c r="D29" s="159">
        <f>'base(indices)'!G82</f>
        <v>1.2924869699999999</v>
      </c>
      <c r="E29" s="63">
        <f t="shared" si="0"/>
        <v>1137.3885335999998</v>
      </c>
      <c r="F29" s="307">
        <f>'base(indices)'!$I$147</f>
        <v>0.29920000000000002</v>
      </c>
      <c r="G29" s="63">
        <f t="shared" si="1"/>
        <v>340.30664925311999</v>
      </c>
      <c r="H29" s="61">
        <f t="shared" si="2"/>
        <v>1477.6951828531198</v>
      </c>
      <c r="I29" s="312">
        <f t="shared" si="21"/>
        <v>135291.28137441928</v>
      </c>
      <c r="J29" s="66">
        <f t="shared" si="24"/>
        <v>76000.758974384822</v>
      </c>
      <c r="K29" s="108">
        <f t="shared" si="4"/>
        <v>8719.2410256151761</v>
      </c>
      <c r="L29" s="295">
        <f t="shared" si="5"/>
        <v>84720</v>
      </c>
      <c r="M29" s="43">
        <f t="shared" si="6"/>
        <v>72200.721025665582</v>
      </c>
      <c r="N29" s="108">
        <f t="shared" si="7"/>
        <v>8283.2789743344165</v>
      </c>
      <c r="O29" s="47">
        <f t="shared" si="8"/>
        <v>80484</v>
      </c>
      <c r="P29" s="119">
        <f t="shared" si="25"/>
        <v>68400.683076946341</v>
      </c>
      <c r="Q29" s="108">
        <f t="shared" si="10"/>
        <v>7847.3169230536587</v>
      </c>
      <c r="R29" s="46">
        <f t="shared" si="23"/>
        <v>76248</v>
      </c>
      <c r="S29" s="43">
        <f t="shared" si="12"/>
        <v>60800.607179507861</v>
      </c>
      <c r="T29" s="108">
        <f t="shared" si="13"/>
        <v>6975.3928204921413</v>
      </c>
      <c r="U29" s="47">
        <f t="shared" si="14"/>
        <v>67776</v>
      </c>
      <c r="V29" s="45">
        <f t="shared" si="15"/>
        <v>53200.531282069373</v>
      </c>
      <c r="W29" s="108">
        <f t="shared" si="16"/>
        <v>6103.4687179306229</v>
      </c>
      <c r="X29" s="46">
        <f t="shared" si="17"/>
        <v>59303.999999999993</v>
      </c>
      <c r="Y29" s="43">
        <f t="shared" si="18"/>
        <v>45600.455384630892</v>
      </c>
      <c r="Z29" s="108">
        <f t="shared" si="19"/>
        <v>5231.5446153691055</v>
      </c>
      <c r="AA29" s="46">
        <f t="shared" si="20"/>
        <v>50832</v>
      </c>
    </row>
    <row r="30" spans="1:27" ht="12.75" customHeight="1">
      <c r="A30" s="187">
        <v>89</v>
      </c>
      <c r="B30" s="50">
        <v>42583</v>
      </c>
      <c r="C30" s="61">
        <f>VLOOKUP(B30,'base(indices)'!$A$4:$C$183,3,FALSE)</f>
        <v>880</v>
      </c>
      <c r="D30" s="159">
        <f>'base(indices)'!G83</f>
        <v>1.28554502</v>
      </c>
      <c r="E30" s="54">
        <f t="shared" si="0"/>
        <v>1131.2796175999999</v>
      </c>
      <c r="F30" s="307">
        <f>'base(indices)'!$I$147</f>
        <v>0.29920000000000002</v>
      </c>
      <c r="G30" s="54">
        <f t="shared" si="1"/>
        <v>338.47886158592001</v>
      </c>
      <c r="H30" s="51">
        <f t="shared" si="2"/>
        <v>1469.7584791859199</v>
      </c>
      <c r="I30" s="311">
        <f t="shared" si="21"/>
        <v>133813.58619156617</v>
      </c>
      <c r="J30" s="57">
        <f t="shared" si="24"/>
        <v>76000.758974384822</v>
      </c>
      <c r="K30" s="91">
        <f t="shared" si="4"/>
        <v>8719.2410256151761</v>
      </c>
      <c r="L30" s="294">
        <f t="shared" si="5"/>
        <v>84720</v>
      </c>
      <c r="M30" s="57">
        <f t="shared" si="6"/>
        <v>72200.721025665582</v>
      </c>
      <c r="N30" s="91">
        <f t="shared" si="7"/>
        <v>8283.2789743344165</v>
      </c>
      <c r="O30" s="60">
        <f t="shared" si="8"/>
        <v>80484</v>
      </c>
      <c r="P30" s="58">
        <f t="shared" si="25"/>
        <v>68400.683076946341</v>
      </c>
      <c r="Q30" s="91">
        <f t="shared" si="10"/>
        <v>7847.3169230536587</v>
      </c>
      <c r="R30" s="59">
        <f>P30+Q30</f>
        <v>76248</v>
      </c>
      <c r="S30" s="57">
        <f t="shared" si="12"/>
        <v>60800.607179507861</v>
      </c>
      <c r="T30" s="91">
        <f t="shared" si="13"/>
        <v>6975.3928204921413</v>
      </c>
      <c r="U30" s="60">
        <f t="shared" si="14"/>
        <v>67776</v>
      </c>
      <c r="V30" s="58">
        <f t="shared" si="15"/>
        <v>53200.531282069373</v>
      </c>
      <c r="W30" s="91">
        <f t="shared" si="16"/>
        <v>6103.4687179306229</v>
      </c>
      <c r="X30" s="59">
        <f t="shared" si="17"/>
        <v>59303.999999999993</v>
      </c>
      <c r="Y30" s="57">
        <f t="shared" si="18"/>
        <v>45600.455384630892</v>
      </c>
      <c r="Z30" s="91">
        <f t="shared" si="19"/>
        <v>5231.5446153691055</v>
      </c>
      <c r="AA30" s="59">
        <f t="shared" si="20"/>
        <v>50832</v>
      </c>
    </row>
    <row r="31" spans="1:27" ht="12.75" customHeight="1">
      <c r="A31" s="187">
        <v>88</v>
      </c>
      <c r="B31" s="50">
        <v>42614</v>
      </c>
      <c r="C31" s="61">
        <f>VLOOKUP(B31,'base(indices)'!$A$4:$C$183,3,FALSE)</f>
        <v>880</v>
      </c>
      <c r="D31" s="159">
        <f>'base(indices)'!G84</f>
        <v>1.2797859899999999</v>
      </c>
      <c r="E31" s="63">
        <f t="shared" si="0"/>
        <v>1126.2116712</v>
      </c>
      <c r="F31" s="307">
        <f>'base(indices)'!$I$147</f>
        <v>0.29920000000000002</v>
      </c>
      <c r="G31" s="63">
        <f t="shared" si="1"/>
        <v>336.96253202304001</v>
      </c>
      <c r="H31" s="61">
        <f t="shared" si="2"/>
        <v>1463.17420322304</v>
      </c>
      <c r="I31" s="312">
        <f t="shared" si="21"/>
        <v>132343.82771238024</v>
      </c>
      <c r="J31" s="66">
        <f t="shared" si="24"/>
        <v>76000.758974384822</v>
      </c>
      <c r="K31" s="108">
        <f t="shared" si="4"/>
        <v>8719.2410256151761</v>
      </c>
      <c r="L31" s="295">
        <f t="shared" si="5"/>
        <v>84720</v>
      </c>
      <c r="M31" s="43">
        <f t="shared" si="6"/>
        <v>72200.721025665582</v>
      </c>
      <c r="N31" s="108">
        <f t="shared" si="7"/>
        <v>8283.2789743344165</v>
      </c>
      <c r="O31" s="47">
        <f t="shared" si="8"/>
        <v>80484</v>
      </c>
      <c r="P31" s="119">
        <f t="shared" si="25"/>
        <v>68400.683076946341</v>
      </c>
      <c r="Q31" s="108">
        <f t="shared" si="10"/>
        <v>7847.3169230536587</v>
      </c>
      <c r="R31" s="46">
        <f t="shared" ref="R31:R49" si="26">P31+Q31</f>
        <v>76248</v>
      </c>
      <c r="S31" s="43">
        <f t="shared" si="12"/>
        <v>60800.607179507861</v>
      </c>
      <c r="T31" s="108">
        <f t="shared" si="13"/>
        <v>6975.3928204921413</v>
      </c>
      <c r="U31" s="47">
        <f t="shared" si="14"/>
        <v>67776</v>
      </c>
      <c r="V31" s="45">
        <f t="shared" si="15"/>
        <v>53200.531282069373</v>
      </c>
      <c r="W31" s="108">
        <f t="shared" si="16"/>
        <v>6103.4687179306229</v>
      </c>
      <c r="X31" s="46">
        <f t="shared" si="17"/>
        <v>59303.999999999993</v>
      </c>
      <c r="Y31" s="43">
        <f t="shared" si="18"/>
        <v>45600.455384630892</v>
      </c>
      <c r="Z31" s="108">
        <f t="shared" si="19"/>
        <v>5231.5446153691055</v>
      </c>
      <c r="AA31" s="46">
        <f t="shared" si="20"/>
        <v>50832</v>
      </c>
    </row>
    <row r="32" spans="1:27" ht="12.75" customHeight="1">
      <c r="A32" s="187">
        <v>87</v>
      </c>
      <c r="B32" s="50">
        <v>42644</v>
      </c>
      <c r="C32" s="61">
        <f>VLOOKUP(B32,'base(indices)'!$A$4:$C$183,3,FALSE)</f>
        <v>880</v>
      </c>
      <c r="D32" s="159">
        <f>'base(indices)'!G85</f>
        <v>1.2768492300000001</v>
      </c>
      <c r="E32" s="54">
        <f t="shared" si="0"/>
        <v>1123.6273224000001</v>
      </c>
      <c r="F32" s="307">
        <f>'base(indices)'!$I$147</f>
        <v>0.29920000000000002</v>
      </c>
      <c r="G32" s="54">
        <f t="shared" si="1"/>
        <v>336.18929486208009</v>
      </c>
      <c r="H32" s="51">
        <f t="shared" si="2"/>
        <v>1459.8166172620802</v>
      </c>
      <c r="I32" s="311">
        <f t="shared" si="21"/>
        <v>130880.6535091572</v>
      </c>
      <c r="J32" s="57">
        <f t="shared" si="24"/>
        <v>76000.758974384822</v>
      </c>
      <c r="K32" s="91">
        <f t="shared" si="4"/>
        <v>8719.2410256151761</v>
      </c>
      <c r="L32" s="294">
        <f t="shared" si="5"/>
        <v>84720</v>
      </c>
      <c r="M32" s="57">
        <f t="shared" si="6"/>
        <v>72200.721025665582</v>
      </c>
      <c r="N32" s="91">
        <f t="shared" si="7"/>
        <v>8283.2789743344165</v>
      </c>
      <c r="O32" s="60">
        <f t="shared" si="8"/>
        <v>80484</v>
      </c>
      <c r="P32" s="58">
        <f t="shared" si="25"/>
        <v>68400.683076946341</v>
      </c>
      <c r="Q32" s="91">
        <f t="shared" si="10"/>
        <v>7847.3169230536587</v>
      </c>
      <c r="R32" s="59">
        <f t="shared" si="26"/>
        <v>76248</v>
      </c>
      <c r="S32" s="57">
        <f t="shared" si="12"/>
        <v>60800.607179507861</v>
      </c>
      <c r="T32" s="91">
        <f t="shared" si="13"/>
        <v>6975.3928204921413</v>
      </c>
      <c r="U32" s="60">
        <f t="shared" si="14"/>
        <v>67776</v>
      </c>
      <c r="V32" s="58">
        <f t="shared" si="15"/>
        <v>53200.531282069373</v>
      </c>
      <c r="W32" s="91">
        <f t="shared" si="16"/>
        <v>6103.4687179306229</v>
      </c>
      <c r="X32" s="59">
        <f t="shared" si="17"/>
        <v>59303.999999999993</v>
      </c>
      <c r="Y32" s="57">
        <f t="shared" si="18"/>
        <v>45600.455384630892</v>
      </c>
      <c r="Z32" s="91">
        <f t="shared" si="19"/>
        <v>5231.5446153691055</v>
      </c>
      <c r="AA32" s="59">
        <f t="shared" si="20"/>
        <v>50832</v>
      </c>
    </row>
    <row r="33" spans="1:27" ht="12.75" customHeight="1">
      <c r="A33" s="187">
        <v>86</v>
      </c>
      <c r="B33" s="50">
        <v>42675</v>
      </c>
      <c r="C33" s="61">
        <f>VLOOKUP(B33,'base(indices)'!$A$4:$C$183,3,FALSE)</f>
        <v>880</v>
      </c>
      <c r="D33" s="159">
        <f>'base(indices)'!G86</f>
        <v>1.2744278200000001</v>
      </c>
      <c r="E33" s="63">
        <f t="shared" si="0"/>
        <v>1121.4964816000002</v>
      </c>
      <c r="F33" s="307">
        <f>'base(indices)'!$I$147</f>
        <v>0.29920000000000002</v>
      </c>
      <c r="G33" s="63">
        <f t="shared" si="1"/>
        <v>335.55174729472009</v>
      </c>
      <c r="H33" s="61">
        <f t="shared" si="2"/>
        <v>1457.0482288947203</v>
      </c>
      <c r="I33" s="312">
        <f t="shared" si="21"/>
        <v>129420.83689189512</v>
      </c>
      <c r="J33" s="66">
        <f t="shared" si="24"/>
        <v>76000.758974384822</v>
      </c>
      <c r="K33" s="108">
        <f t="shared" si="4"/>
        <v>8719.2410256151761</v>
      </c>
      <c r="L33" s="295">
        <f t="shared" si="5"/>
        <v>84720</v>
      </c>
      <c r="M33" s="43">
        <f t="shared" si="6"/>
        <v>72200.721025665582</v>
      </c>
      <c r="N33" s="108">
        <f t="shared" si="7"/>
        <v>8283.2789743344165</v>
      </c>
      <c r="O33" s="47">
        <f t="shared" si="8"/>
        <v>80484</v>
      </c>
      <c r="P33" s="119">
        <f t="shared" si="25"/>
        <v>68400.683076946341</v>
      </c>
      <c r="Q33" s="108">
        <f t="shared" si="10"/>
        <v>7847.3169230536587</v>
      </c>
      <c r="R33" s="46">
        <f t="shared" si="26"/>
        <v>76248</v>
      </c>
      <c r="S33" s="43">
        <f t="shared" si="12"/>
        <v>60800.607179507861</v>
      </c>
      <c r="T33" s="108">
        <f t="shared" si="13"/>
        <v>6975.3928204921413</v>
      </c>
      <c r="U33" s="47">
        <f t="shared" si="14"/>
        <v>67776</v>
      </c>
      <c r="V33" s="45">
        <f t="shared" si="15"/>
        <v>53200.531282069373</v>
      </c>
      <c r="W33" s="108">
        <f t="shared" si="16"/>
        <v>6103.4687179306229</v>
      </c>
      <c r="X33" s="46">
        <f t="shared" si="17"/>
        <v>59303.999999999993</v>
      </c>
      <c r="Y33" s="43">
        <f t="shared" si="18"/>
        <v>45600.455384630892</v>
      </c>
      <c r="Z33" s="108">
        <f t="shared" si="19"/>
        <v>5231.5446153691055</v>
      </c>
      <c r="AA33" s="46">
        <f t="shared" si="20"/>
        <v>50832</v>
      </c>
    </row>
    <row r="34" spans="1:27" ht="12.75" customHeight="1" thickBot="1">
      <c r="A34" s="305">
        <v>85</v>
      </c>
      <c r="B34" s="300">
        <v>42705</v>
      </c>
      <c r="C34" s="69">
        <f>VLOOKUP(B34,'base(indices)'!$A$4:$C$183,3,FALSE)</f>
        <v>880</v>
      </c>
      <c r="D34" s="272">
        <f>'base(indices)'!G87</f>
        <v>1.2711228999999999</v>
      </c>
      <c r="E34" s="163">
        <f t="shared" si="0"/>
        <v>1118.588152</v>
      </c>
      <c r="F34" s="304">
        <f>'base(indices)'!$I$147</f>
        <v>0.29920000000000002</v>
      </c>
      <c r="G34" s="163">
        <f t="shared" si="1"/>
        <v>334.68157507840004</v>
      </c>
      <c r="H34" s="162">
        <f t="shared" si="2"/>
        <v>1453.2697270784001</v>
      </c>
      <c r="I34" s="313">
        <f t="shared" si="21"/>
        <v>127963.78866300039</v>
      </c>
      <c r="J34" s="57">
        <f>IF((I32)+K32-(H32/2)&gt;$I$137,$I$137-K32,(I32)-(H32/2))</f>
        <v>76000.758974384822</v>
      </c>
      <c r="K34" s="202">
        <f t="shared" si="4"/>
        <v>8719.2410256151761</v>
      </c>
      <c r="L34" s="314">
        <f t="shared" si="5"/>
        <v>84720</v>
      </c>
      <c r="M34" s="282">
        <f t="shared" si="6"/>
        <v>72200.721025665582</v>
      </c>
      <c r="N34" s="202">
        <f t="shared" si="7"/>
        <v>8283.2789743344165</v>
      </c>
      <c r="O34" s="289">
        <f t="shared" si="8"/>
        <v>80484</v>
      </c>
      <c r="P34" s="58">
        <f t="shared" si="25"/>
        <v>68400.683076946341</v>
      </c>
      <c r="Q34" s="91">
        <f t="shared" si="10"/>
        <v>7847.3169230536587</v>
      </c>
      <c r="R34" s="59">
        <f t="shared" si="26"/>
        <v>76248</v>
      </c>
      <c r="S34" s="85">
        <f t="shared" si="12"/>
        <v>60800.607179507861</v>
      </c>
      <c r="T34" s="86">
        <f t="shared" si="13"/>
        <v>6975.3928204921413</v>
      </c>
      <c r="U34" s="107">
        <f t="shared" si="14"/>
        <v>67776</v>
      </c>
      <c r="V34" s="58">
        <f t="shared" si="15"/>
        <v>53200.531282069373</v>
      </c>
      <c r="W34" s="91">
        <f t="shared" si="16"/>
        <v>6103.4687179306229</v>
      </c>
      <c r="X34" s="59">
        <f t="shared" si="17"/>
        <v>59303.999999999993</v>
      </c>
      <c r="Y34" s="85">
        <f t="shared" si="18"/>
        <v>45600.455384630892</v>
      </c>
      <c r="Z34" s="86">
        <f t="shared" si="19"/>
        <v>5231.5446153691055</v>
      </c>
      <c r="AA34" s="165">
        <f t="shared" si="20"/>
        <v>50832</v>
      </c>
    </row>
    <row r="35" spans="1:27" ht="12.75" customHeight="1">
      <c r="A35" s="158">
        <v>84</v>
      </c>
      <c r="B35" s="246">
        <v>42736</v>
      </c>
      <c r="C35" s="273">
        <f>VLOOKUP(B35,'base(indices)'!$A$4:$C$183,3,FALSE)</f>
        <v>937</v>
      </c>
      <c r="D35" s="176">
        <f>'base(indices)'!G88</f>
        <v>1.2687123499999999</v>
      </c>
      <c r="E35" s="154">
        <f t="shared" si="0"/>
        <v>1188.7834719499999</v>
      </c>
      <c r="F35" s="264">
        <f>'base(indices)'!$I$147</f>
        <v>0.29920000000000002</v>
      </c>
      <c r="G35" s="154">
        <f t="shared" si="1"/>
        <v>355.68401480744001</v>
      </c>
      <c r="H35" s="155">
        <f t="shared" si="2"/>
        <v>1544.4674867574399</v>
      </c>
      <c r="I35" s="370">
        <f t="shared" si="21"/>
        <v>126510.51893592199</v>
      </c>
      <c r="J35" s="385">
        <f t="shared" ref="J35:J45" si="27">IF((I35)+K35-(H35/2)&gt;$I$137,$I$137-K35,(I35)-(H35/2))</f>
        <v>76000.758974384822</v>
      </c>
      <c r="K35" s="109">
        <f t="shared" si="4"/>
        <v>8719.2410256151761</v>
      </c>
      <c r="L35" s="293">
        <f t="shared" si="5"/>
        <v>84720</v>
      </c>
      <c r="M35" s="138">
        <f t="shared" si="6"/>
        <v>72200.721025665582</v>
      </c>
      <c r="N35" s="109">
        <f t="shared" si="7"/>
        <v>8283.2789743344165</v>
      </c>
      <c r="O35" s="49">
        <f t="shared" si="8"/>
        <v>80484</v>
      </c>
      <c r="P35" s="119">
        <f t="shared" si="25"/>
        <v>68400.683076946341</v>
      </c>
      <c r="Q35" s="108">
        <f t="shared" si="10"/>
        <v>7847.3169230536587</v>
      </c>
      <c r="R35" s="46">
        <f t="shared" si="26"/>
        <v>76248</v>
      </c>
      <c r="S35" s="283">
        <f t="shared" si="12"/>
        <v>60800.607179507861</v>
      </c>
      <c r="T35" s="156">
        <f t="shared" si="13"/>
        <v>6975.3928204921413</v>
      </c>
      <c r="U35" s="290">
        <f t="shared" si="14"/>
        <v>67776</v>
      </c>
      <c r="V35" s="45">
        <f t="shared" si="15"/>
        <v>53200.531282069373</v>
      </c>
      <c r="W35" s="108">
        <f t="shared" si="16"/>
        <v>6103.4687179306229</v>
      </c>
      <c r="X35" s="46">
        <f t="shared" si="17"/>
        <v>59303.999999999993</v>
      </c>
      <c r="Y35" s="283">
        <f t="shared" si="18"/>
        <v>45600.455384630892</v>
      </c>
      <c r="Z35" s="156">
        <f t="shared" si="19"/>
        <v>5231.5446153691055</v>
      </c>
      <c r="AA35" s="150">
        <f t="shared" si="20"/>
        <v>50832</v>
      </c>
    </row>
    <row r="36" spans="1:27" ht="12.75" customHeight="1">
      <c r="A36" s="105">
        <v>83</v>
      </c>
      <c r="B36" s="50">
        <v>42767</v>
      </c>
      <c r="C36" s="61">
        <f>VLOOKUP(B36,'base(indices)'!$A$4:$C$183,3,FALSE)</f>
        <v>937</v>
      </c>
      <c r="D36" s="159">
        <f>'base(indices)'!G89</f>
        <v>1.2647914899999999</v>
      </c>
      <c r="E36" s="54">
        <f t="shared" si="0"/>
        <v>1185.1096261299999</v>
      </c>
      <c r="F36" s="307">
        <f>'base(indices)'!$I$147</f>
        <v>0.29920000000000002</v>
      </c>
      <c r="G36" s="54">
        <f t="shared" si="1"/>
        <v>354.584800138096</v>
      </c>
      <c r="H36" s="51">
        <f t="shared" si="2"/>
        <v>1539.6944262680959</v>
      </c>
      <c r="I36" s="311">
        <f t="shared" si="21"/>
        <v>124966.05144916456</v>
      </c>
      <c r="J36" s="57">
        <f t="shared" si="27"/>
        <v>76000.758974384822</v>
      </c>
      <c r="K36" s="91">
        <f t="shared" si="4"/>
        <v>8719.2410256151761</v>
      </c>
      <c r="L36" s="294">
        <f t="shared" si="5"/>
        <v>84720</v>
      </c>
      <c r="M36" s="57">
        <f t="shared" si="6"/>
        <v>72200.721025665582</v>
      </c>
      <c r="N36" s="91">
        <f t="shared" si="7"/>
        <v>8283.2789743344165</v>
      </c>
      <c r="O36" s="59">
        <f t="shared" si="8"/>
        <v>80484</v>
      </c>
      <c r="P36" s="58">
        <f t="shared" si="25"/>
        <v>68400.683076946341</v>
      </c>
      <c r="Q36" s="91">
        <f t="shared" si="10"/>
        <v>7847.3169230536587</v>
      </c>
      <c r="R36" s="59">
        <f t="shared" si="26"/>
        <v>76248</v>
      </c>
      <c r="S36" s="57">
        <f t="shared" si="12"/>
        <v>60800.607179507861</v>
      </c>
      <c r="T36" s="91">
        <f t="shared" si="13"/>
        <v>6975.3928204921413</v>
      </c>
      <c r="U36" s="60">
        <f t="shared" si="14"/>
        <v>67776</v>
      </c>
      <c r="V36" s="58">
        <f t="shared" si="15"/>
        <v>53200.531282069373</v>
      </c>
      <c r="W36" s="91">
        <f t="shared" si="16"/>
        <v>6103.4687179306229</v>
      </c>
      <c r="X36" s="59">
        <f t="shared" si="17"/>
        <v>59303.999999999993</v>
      </c>
      <c r="Y36" s="57">
        <f t="shared" si="18"/>
        <v>45600.455384630892</v>
      </c>
      <c r="Z36" s="91">
        <f t="shared" si="19"/>
        <v>5231.5446153691055</v>
      </c>
      <c r="AA36" s="59">
        <f t="shared" si="20"/>
        <v>50832</v>
      </c>
    </row>
    <row r="37" spans="1:27" ht="12.75" customHeight="1">
      <c r="A37" s="105">
        <v>82</v>
      </c>
      <c r="B37" s="50">
        <v>42795</v>
      </c>
      <c r="C37" s="61">
        <f>VLOOKUP(B37,'base(indices)'!$A$4:$C$183,3,FALSE)</f>
        <v>937</v>
      </c>
      <c r="D37" s="159">
        <f>'base(indices)'!G90</f>
        <v>1.2579982999999999</v>
      </c>
      <c r="E37" s="63">
        <f t="shared" si="0"/>
        <v>1178.7444071</v>
      </c>
      <c r="F37" s="307">
        <f>'base(indices)'!$I$147</f>
        <v>0.29920000000000002</v>
      </c>
      <c r="G37" s="63">
        <f t="shared" si="1"/>
        <v>352.68032660432004</v>
      </c>
      <c r="H37" s="61">
        <f t="shared" si="2"/>
        <v>1531.42473370432</v>
      </c>
      <c r="I37" s="312">
        <f t="shared" si="21"/>
        <v>123426.35702289647</v>
      </c>
      <c r="J37" s="66">
        <f t="shared" si="27"/>
        <v>76000.758974384822</v>
      </c>
      <c r="K37" s="108">
        <f t="shared" si="4"/>
        <v>8719.2410256151761</v>
      </c>
      <c r="L37" s="295">
        <f t="shared" si="5"/>
        <v>84720</v>
      </c>
      <c r="M37" s="43">
        <f t="shared" si="6"/>
        <v>72200.721025665582</v>
      </c>
      <c r="N37" s="108">
        <f t="shared" si="7"/>
        <v>8283.2789743344165</v>
      </c>
      <c r="O37" s="46">
        <f t="shared" si="8"/>
        <v>80484</v>
      </c>
      <c r="P37" s="119">
        <f t="shared" si="25"/>
        <v>68400.683076946341</v>
      </c>
      <c r="Q37" s="108">
        <f t="shared" si="10"/>
        <v>7847.3169230536587</v>
      </c>
      <c r="R37" s="46">
        <f t="shared" si="26"/>
        <v>76248</v>
      </c>
      <c r="S37" s="43">
        <f t="shared" si="12"/>
        <v>60800.607179507861</v>
      </c>
      <c r="T37" s="108">
        <f t="shared" si="13"/>
        <v>6975.3928204921413</v>
      </c>
      <c r="U37" s="47">
        <f t="shared" si="14"/>
        <v>67776</v>
      </c>
      <c r="V37" s="45">
        <f t="shared" si="15"/>
        <v>53200.531282069373</v>
      </c>
      <c r="W37" s="108">
        <f t="shared" si="16"/>
        <v>6103.4687179306229</v>
      </c>
      <c r="X37" s="46">
        <f t="shared" si="17"/>
        <v>59303.999999999993</v>
      </c>
      <c r="Y37" s="43">
        <f t="shared" si="18"/>
        <v>45600.455384630892</v>
      </c>
      <c r="Z37" s="108">
        <f t="shared" si="19"/>
        <v>5231.5446153691055</v>
      </c>
      <c r="AA37" s="46">
        <f t="shared" si="20"/>
        <v>50832</v>
      </c>
    </row>
    <row r="38" spans="1:27" ht="12.75" customHeight="1">
      <c r="A38" s="105">
        <v>81</v>
      </c>
      <c r="B38" s="50">
        <v>42826</v>
      </c>
      <c r="C38" s="61">
        <f>VLOOKUP(B38,'base(indices)'!$A$4:$C$183,3,FALSE)</f>
        <v>937</v>
      </c>
      <c r="D38" s="159">
        <f>'base(indices)'!G91</f>
        <v>1.2561141300000001</v>
      </c>
      <c r="E38" s="54">
        <f t="shared" si="0"/>
        <v>1176.9789398100002</v>
      </c>
      <c r="F38" s="307">
        <f>'base(indices)'!$I$147</f>
        <v>0.29920000000000002</v>
      </c>
      <c r="G38" s="54">
        <f t="shared" si="1"/>
        <v>352.15209879115207</v>
      </c>
      <c r="H38" s="51">
        <f t="shared" si="2"/>
        <v>1529.1310386011523</v>
      </c>
      <c r="I38" s="311">
        <f t="shared" si="21"/>
        <v>121894.93228919215</v>
      </c>
      <c r="J38" s="57">
        <f t="shared" si="27"/>
        <v>76000.758974384822</v>
      </c>
      <c r="K38" s="91">
        <f t="shared" si="4"/>
        <v>8719.2410256151761</v>
      </c>
      <c r="L38" s="294">
        <f t="shared" si="5"/>
        <v>84720</v>
      </c>
      <c r="M38" s="57">
        <f t="shared" si="6"/>
        <v>72200.721025665582</v>
      </c>
      <c r="N38" s="91">
        <f t="shared" si="7"/>
        <v>8283.2789743344165</v>
      </c>
      <c r="O38" s="59">
        <f t="shared" si="8"/>
        <v>80484</v>
      </c>
      <c r="P38" s="58">
        <f t="shared" si="25"/>
        <v>68400.683076946341</v>
      </c>
      <c r="Q38" s="91">
        <f t="shared" si="10"/>
        <v>7847.3169230536587</v>
      </c>
      <c r="R38" s="59">
        <f t="shared" si="26"/>
        <v>76248</v>
      </c>
      <c r="S38" s="57">
        <f t="shared" si="12"/>
        <v>60800.607179507861</v>
      </c>
      <c r="T38" s="91">
        <f t="shared" si="13"/>
        <v>6975.3928204921413</v>
      </c>
      <c r="U38" s="60">
        <f t="shared" si="14"/>
        <v>67776</v>
      </c>
      <c r="V38" s="58">
        <f t="shared" si="15"/>
        <v>53200.531282069373</v>
      </c>
      <c r="W38" s="91">
        <f t="shared" si="16"/>
        <v>6103.4687179306229</v>
      </c>
      <c r="X38" s="59">
        <f t="shared" si="17"/>
        <v>59303.999999999993</v>
      </c>
      <c r="Y38" s="57">
        <f t="shared" si="18"/>
        <v>45600.455384630892</v>
      </c>
      <c r="Z38" s="91">
        <f t="shared" si="19"/>
        <v>5231.5446153691055</v>
      </c>
      <c r="AA38" s="59">
        <f t="shared" si="20"/>
        <v>50832</v>
      </c>
    </row>
    <row r="39" spans="1:27" ht="12.75" customHeight="1">
      <c r="A39" s="105">
        <v>80</v>
      </c>
      <c r="B39" s="50">
        <v>42856</v>
      </c>
      <c r="C39" s="61">
        <f>VLOOKUP(B39,'base(indices)'!$A$4:$C$183,3,FALSE)</f>
        <v>937</v>
      </c>
      <c r="D39" s="159">
        <f>'base(indices)'!G92</f>
        <v>1.25348182</v>
      </c>
      <c r="E39" s="63">
        <f t="shared" si="0"/>
        <v>1174.5124653400001</v>
      </c>
      <c r="F39" s="307">
        <f>'base(indices)'!$I$147</f>
        <v>0.29920000000000002</v>
      </c>
      <c r="G39" s="63">
        <f t="shared" si="1"/>
        <v>351.41412962972805</v>
      </c>
      <c r="H39" s="61">
        <f t="shared" si="2"/>
        <v>1525.9265949697281</v>
      </c>
      <c r="I39" s="312">
        <f t="shared" si="21"/>
        <v>120365.801250591</v>
      </c>
      <c r="J39" s="66">
        <f t="shared" si="27"/>
        <v>76000.758974384822</v>
      </c>
      <c r="K39" s="108">
        <f t="shared" si="4"/>
        <v>8719.2410256151761</v>
      </c>
      <c r="L39" s="295">
        <f t="shared" si="5"/>
        <v>84720</v>
      </c>
      <c r="M39" s="43">
        <f t="shared" si="6"/>
        <v>72200.721025665582</v>
      </c>
      <c r="N39" s="108">
        <f t="shared" si="7"/>
        <v>8283.2789743344165</v>
      </c>
      <c r="O39" s="46">
        <f t="shared" si="8"/>
        <v>80484</v>
      </c>
      <c r="P39" s="119">
        <f t="shared" si="25"/>
        <v>68400.683076946341</v>
      </c>
      <c r="Q39" s="108">
        <f t="shared" si="10"/>
        <v>7847.3169230536587</v>
      </c>
      <c r="R39" s="46">
        <f t="shared" si="26"/>
        <v>76248</v>
      </c>
      <c r="S39" s="43">
        <f t="shared" si="12"/>
        <v>60800.607179507861</v>
      </c>
      <c r="T39" s="108">
        <f t="shared" si="13"/>
        <v>6975.3928204921413</v>
      </c>
      <c r="U39" s="47">
        <f t="shared" si="14"/>
        <v>67776</v>
      </c>
      <c r="V39" s="45">
        <f t="shared" si="15"/>
        <v>53200.531282069373</v>
      </c>
      <c r="W39" s="108">
        <f t="shared" si="16"/>
        <v>6103.4687179306229</v>
      </c>
      <c r="X39" s="46">
        <f t="shared" si="17"/>
        <v>59303.999999999993</v>
      </c>
      <c r="Y39" s="43">
        <f t="shared" si="18"/>
        <v>45600.455384630892</v>
      </c>
      <c r="Z39" s="108">
        <f t="shared" si="19"/>
        <v>5231.5446153691055</v>
      </c>
      <c r="AA39" s="46">
        <f t="shared" si="20"/>
        <v>50832</v>
      </c>
    </row>
    <row r="40" spans="1:27" ht="12.75" customHeight="1">
      <c r="A40" s="105">
        <v>79</v>
      </c>
      <c r="B40" s="50">
        <v>42887</v>
      </c>
      <c r="C40" s="61">
        <f>VLOOKUP(B40,'base(indices)'!$A$4:$C$183,3,FALSE)</f>
        <v>937</v>
      </c>
      <c r="D40" s="159">
        <f>'base(indices)'!G93</f>
        <v>1.25048067</v>
      </c>
      <c r="E40" s="54">
        <f t="shared" si="0"/>
        <v>1171.7003877899999</v>
      </c>
      <c r="F40" s="307">
        <f>'base(indices)'!$I$147</f>
        <v>0.29920000000000002</v>
      </c>
      <c r="G40" s="54">
        <f t="shared" si="1"/>
        <v>350.57275602676799</v>
      </c>
      <c r="H40" s="51">
        <f t="shared" si="2"/>
        <v>1522.273143816768</v>
      </c>
      <c r="I40" s="311">
        <f t="shared" si="21"/>
        <v>118839.87465562127</v>
      </c>
      <c r="J40" s="57">
        <f t="shared" si="27"/>
        <v>76000.758974384822</v>
      </c>
      <c r="K40" s="91">
        <f t="shared" si="4"/>
        <v>8719.2410256151761</v>
      </c>
      <c r="L40" s="294">
        <f t="shared" si="5"/>
        <v>84720</v>
      </c>
      <c r="M40" s="57">
        <f t="shared" si="6"/>
        <v>72200.721025665582</v>
      </c>
      <c r="N40" s="91">
        <f t="shared" si="7"/>
        <v>8283.2789743344165</v>
      </c>
      <c r="O40" s="59">
        <f t="shared" si="8"/>
        <v>80484</v>
      </c>
      <c r="P40" s="58">
        <f t="shared" si="25"/>
        <v>68400.683076946341</v>
      </c>
      <c r="Q40" s="91">
        <f t="shared" si="10"/>
        <v>7847.3169230536587</v>
      </c>
      <c r="R40" s="59">
        <f t="shared" si="26"/>
        <v>76248</v>
      </c>
      <c r="S40" s="57">
        <f t="shared" si="12"/>
        <v>60800.607179507861</v>
      </c>
      <c r="T40" s="91">
        <f t="shared" si="13"/>
        <v>6975.3928204921413</v>
      </c>
      <c r="U40" s="60">
        <f t="shared" si="14"/>
        <v>67776</v>
      </c>
      <c r="V40" s="58">
        <f t="shared" si="15"/>
        <v>53200.531282069373</v>
      </c>
      <c r="W40" s="91">
        <f t="shared" si="16"/>
        <v>6103.4687179306229</v>
      </c>
      <c r="X40" s="59">
        <f t="shared" si="17"/>
        <v>59303.999999999993</v>
      </c>
      <c r="Y40" s="57">
        <f t="shared" si="18"/>
        <v>45600.455384630892</v>
      </c>
      <c r="Z40" s="91">
        <f t="shared" si="19"/>
        <v>5231.5446153691055</v>
      </c>
      <c r="AA40" s="59">
        <f t="shared" si="20"/>
        <v>50832</v>
      </c>
    </row>
    <row r="41" spans="1:27" ht="12.75" customHeight="1">
      <c r="A41" s="105">
        <v>78</v>
      </c>
      <c r="B41" s="50">
        <v>42917</v>
      </c>
      <c r="C41" s="61">
        <f>VLOOKUP(B41,'base(indices)'!$A$4:$C$183,3,FALSE)</f>
        <v>937</v>
      </c>
      <c r="D41" s="159">
        <f>'base(indices)'!G94</f>
        <v>1.2484830899999999</v>
      </c>
      <c r="E41" s="63">
        <f t="shared" si="0"/>
        <v>1169.8286553299999</v>
      </c>
      <c r="F41" s="307">
        <f>'base(indices)'!$I$147</f>
        <v>0.29920000000000002</v>
      </c>
      <c r="G41" s="63">
        <f t="shared" si="1"/>
        <v>350.01273367473601</v>
      </c>
      <c r="H41" s="61">
        <f t="shared" si="2"/>
        <v>1519.8413890047359</v>
      </c>
      <c r="I41" s="312">
        <f t="shared" si="21"/>
        <v>117317.6015118045</v>
      </c>
      <c r="J41" s="66">
        <f t="shared" si="27"/>
        <v>76000.758974384822</v>
      </c>
      <c r="K41" s="108">
        <f t="shared" si="4"/>
        <v>8719.2410256151761</v>
      </c>
      <c r="L41" s="295">
        <f t="shared" si="5"/>
        <v>84720</v>
      </c>
      <c r="M41" s="43">
        <f t="shared" si="6"/>
        <v>72200.721025665582</v>
      </c>
      <c r="N41" s="108">
        <f t="shared" si="7"/>
        <v>8283.2789743344165</v>
      </c>
      <c r="O41" s="46">
        <f t="shared" si="8"/>
        <v>80484</v>
      </c>
      <c r="P41" s="119">
        <f t="shared" si="25"/>
        <v>68400.683076946341</v>
      </c>
      <c r="Q41" s="108">
        <f t="shared" si="10"/>
        <v>7847.3169230536587</v>
      </c>
      <c r="R41" s="46">
        <f t="shared" si="26"/>
        <v>76248</v>
      </c>
      <c r="S41" s="43">
        <f t="shared" si="12"/>
        <v>60800.607179507861</v>
      </c>
      <c r="T41" s="108">
        <f t="shared" si="13"/>
        <v>6975.3928204921413</v>
      </c>
      <c r="U41" s="47">
        <f t="shared" si="14"/>
        <v>67776</v>
      </c>
      <c r="V41" s="45">
        <f t="shared" si="15"/>
        <v>53200.531282069373</v>
      </c>
      <c r="W41" s="108">
        <f t="shared" si="16"/>
        <v>6103.4687179306229</v>
      </c>
      <c r="X41" s="46">
        <f t="shared" si="17"/>
        <v>59303.999999999993</v>
      </c>
      <c r="Y41" s="43">
        <f t="shared" si="18"/>
        <v>45600.455384630892</v>
      </c>
      <c r="Z41" s="108">
        <f t="shared" si="19"/>
        <v>5231.5446153691055</v>
      </c>
      <c r="AA41" s="46">
        <f t="shared" si="20"/>
        <v>50832</v>
      </c>
    </row>
    <row r="42" spans="1:27" ht="12.75" customHeight="1">
      <c r="A42" s="105">
        <v>77</v>
      </c>
      <c r="B42" s="50">
        <v>42948</v>
      </c>
      <c r="C42" s="61">
        <f>VLOOKUP(B42,'base(indices)'!$A$4:$C$183,3,FALSE)</f>
        <v>937</v>
      </c>
      <c r="D42" s="159">
        <f>'base(indices)'!G95</f>
        <v>1.2507344199999999</v>
      </c>
      <c r="E42" s="54">
        <f t="shared" si="0"/>
        <v>1171.9381515399998</v>
      </c>
      <c r="F42" s="307">
        <f>'base(indices)'!$I$147</f>
        <v>0.29920000000000002</v>
      </c>
      <c r="G42" s="54">
        <f t="shared" si="1"/>
        <v>350.64389494076795</v>
      </c>
      <c r="H42" s="51">
        <f t="shared" si="2"/>
        <v>1522.5820464807678</v>
      </c>
      <c r="I42" s="311">
        <f t="shared" si="21"/>
        <v>115797.76012279977</v>
      </c>
      <c r="J42" s="57">
        <f t="shared" si="27"/>
        <v>76000.758974384822</v>
      </c>
      <c r="K42" s="91">
        <f t="shared" si="4"/>
        <v>8719.2410256151761</v>
      </c>
      <c r="L42" s="294">
        <f t="shared" si="5"/>
        <v>84720</v>
      </c>
      <c r="M42" s="57">
        <f t="shared" si="6"/>
        <v>72200.721025665582</v>
      </c>
      <c r="N42" s="91">
        <f t="shared" si="7"/>
        <v>8283.2789743344165</v>
      </c>
      <c r="O42" s="59">
        <f t="shared" si="8"/>
        <v>80484</v>
      </c>
      <c r="P42" s="58">
        <f t="shared" si="25"/>
        <v>68400.683076946341</v>
      </c>
      <c r="Q42" s="91">
        <f t="shared" si="10"/>
        <v>7847.3169230536587</v>
      </c>
      <c r="R42" s="59">
        <f t="shared" si="26"/>
        <v>76248</v>
      </c>
      <c r="S42" s="57">
        <f t="shared" si="12"/>
        <v>60800.607179507861</v>
      </c>
      <c r="T42" s="91">
        <f t="shared" si="13"/>
        <v>6975.3928204921413</v>
      </c>
      <c r="U42" s="60">
        <f t="shared" si="14"/>
        <v>67776</v>
      </c>
      <c r="V42" s="58">
        <f t="shared" si="15"/>
        <v>53200.531282069373</v>
      </c>
      <c r="W42" s="91">
        <f t="shared" si="16"/>
        <v>6103.4687179306229</v>
      </c>
      <c r="X42" s="59">
        <f t="shared" si="17"/>
        <v>59303.999999999993</v>
      </c>
      <c r="Y42" s="57">
        <f t="shared" si="18"/>
        <v>45600.455384630892</v>
      </c>
      <c r="Z42" s="91">
        <f t="shared" si="19"/>
        <v>5231.5446153691055</v>
      </c>
      <c r="AA42" s="59">
        <f t="shared" si="20"/>
        <v>50832</v>
      </c>
    </row>
    <row r="43" spans="1:27" ht="12.75" customHeight="1">
      <c r="A43" s="105">
        <v>76</v>
      </c>
      <c r="B43" s="50">
        <v>42979</v>
      </c>
      <c r="C43" s="61">
        <f>VLOOKUP(B43,'base(indices)'!$A$4:$C$183,3,FALSE)</f>
        <v>937</v>
      </c>
      <c r="D43" s="159">
        <f>'base(indices)'!G96</f>
        <v>1.24637211</v>
      </c>
      <c r="E43" s="63">
        <f t="shared" si="0"/>
        <v>1167.8506670700001</v>
      </c>
      <c r="F43" s="307">
        <f>'base(indices)'!$I$147</f>
        <v>0.29920000000000002</v>
      </c>
      <c r="G43" s="63">
        <f t="shared" si="1"/>
        <v>349.42091958734403</v>
      </c>
      <c r="H43" s="61">
        <f t="shared" si="2"/>
        <v>1517.2715866573442</v>
      </c>
      <c r="I43" s="312">
        <f t="shared" si="21"/>
        <v>114275.178076319</v>
      </c>
      <c r="J43" s="66">
        <f t="shared" si="27"/>
        <v>76000.758974384822</v>
      </c>
      <c r="K43" s="108">
        <f t="shared" si="4"/>
        <v>8719.2410256151761</v>
      </c>
      <c r="L43" s="295">
        <f t="shared" si="5"/>
        <v>84720</v>
      </c>
      <c r="M43" s="43">
        <f t="shared" si="6"/>
        <v>72200.721025665582</v>
      </c>
      <c r="N43" s="108">
        <f t="shared" si="7"/>
        <v>8283.2789743344165</v>
      </c>
      <c r="O43" s="46">
        <f t="shared" si="8"/>
        <v>80484</v>
      </c>
      <c r="P43" s="119">
        <f t="shared" si="25"/>
        <v>68400.683076946341</v>
      </c>
      <c r="Q43" s="108">
        <f t="shared" si="10"/>
        <v>7847.3169230536587</v>
      </c>
      <c r="R43" s="46">
        <f t="shared" si="26"/>
        <v>76248</v>
      </c>
      <c r="S43" s="43">
        <f t="shared" si="12"/>
        <v>60800.607179507861</v>
      </c>
      <c r="T43" s="108">
        <f t="shared" si="13"/>
        <v>6975.3928204921413</v>
      </c>
      <c r="U43" s="47">
        <f t="shared" si="14"/>
        <v>67776</v>
      </c>
      <c r="V43" s="45">
        <f t="shared" si="15"/>
        <v>53200.531282069373</v>
      </c>
      <c r="W43" s="108">
        <f t="shared" si="16"/>
        <v>6103.4687179306229</v>
      </c>
      <c r="X43" s="46">
        <f t="shared" si="17"/>
        <v>59303.999999999993</v>
      </c>
      <c r="Y43" s="43">
        <f t="shared" si="18"/>
        <v>45600.455384630892</v>
      </c>
      <c r="Z43" s="108">
        <f t="shared" si="19"/>
        <v>5231.5446153691055</v>
      </c>
      <c r="AA43" s="46">
        <f t="shared" si="20"/>
        <v>50832</v>
      </c>
    </row>
    <row r="44" spans="1:27" ht="12.75" customHeight="1">
      <c r="A44" s="105">
        <v>75</v>
      </c>
      <c r="B44" s="50">
        <v>43009</v>
      </c>
      <c r="C44" s="61">
        <f>VLOOKUP(B44,'base(indices)'!$A$4:$C$183,3,FALSE)</f>
        <v>937</v>
      </c>
      <c r="D44" s="159">
        <f>'base(indices)'!G97</f>
        <v>1.24500261</v>
      </c>
      <c r="E44" s="54">
        <f t="shared" si="0"/>
        <v>1166.56744557</v>
      </c>
      <c r="F44" s="307">
        <f>'base(indices)'!$I$147</f>
        <v>0.29920000000000002</v>
      </c>
      <c r="G44" s="54">
        <f t="shared" si="1"/>
        <v>349.03697971454403</v>
      </c>
      <c r="H44" s="51">
        <f t="shared" si="2"/>
        <v>1515.604425284544</v>
      </c>
      <c r="I44" s="311">
        <f t="shared" si="21"/>
        <v>112757.90648966166</v>
      </c>
      <c r="J44" s="57">
        <f t="shared" si="27"/>
        <v>76000.758974384822</v>
      </c>
      <c r="K44" s="91">
        <f t="shared" si="4"/>
        <v>8719.2410256151761</v>
      </c>
      <c r="L44" s="294">
        <f t="shared" si="5"/>
        <v>84720</v>
      </c>
      <c r="M44" s="57">
        <f t="shared" si="6"/>
        <v>72200.721025665582</v>
      </c>
      <c r="N44" s="91">
        <f t="shared" si="7"/>
        <v>8283.2789743344165</v>
      </c>
      <c r="O44" s="59">
        <f t="shared" si="8"/>
        <v>80484</v>
      </c>
      <c r="P44" s="58">
        <f t="shared" si="25"/>
        <v>68400.683076946341</v>
      </c>
      <c r="Q44" s="91">
        <f t="shared" si="10"/>
        <v>7847.3169230536587</v>
      </c>
      <c r="R44" s="59">
        <f t="shared" si="26"/>
        <v>76248</v>
      </c>
      <c r="S44" s="57">
        <f t="shared" si="12"/>
        <v>60800.607179507861</v>
      </c>
      <c r="T44" s="91">
        <f t="shared" si="13"/>
        <v>6975.3928204921413</v>
      </c>
      <c r="U44" s="60">
        <f t="shared" si="14"/>
        <v>67776</v>
      </c>
      <c r="V44" s="58">
        <f t="shared" si="15"/>
        <v>53200.531282069373</v>
      </c>
      <c r="W44" s="91">
        <f t="shared" si="16"/>
        <v>6103.4687179306229</v>
      </c>
      <c r="X44" s="59">
        <f t="shared" si="17"/>
        <v>59303.999999999993</v>
      </c>
      <c r="Y44" s="57">
        <f t="shared" si="18"/>
        <v>45600.455384630892</v>
      </c>
      <c r="Z44" s="91">
        <f t="shared" si="19"/>
        <v>5231.5446153691055</v>
      </c>
      <c r="AA44" s="59">
        <f t="shared" si="20"/>
        <v>50832</v>
      </c>
    </row>
    <row r="45" spans="1:27" ht="12.75" customHeight="1">
      <c r="A45" s="105">
        <v>74</v>
      </c>
      <c r="B45" s="50">
        <v>43040</v>
      </c>
      <c r="C45" s="61">
        <f>VLOOKUP(B45,'base(indices)'!$A$4:$C$183,3,FALSE)</f>
        <v>937</v>
      </c>
      <c r="D45" s="159">
        <f>'base(indices)'!G98</f>
        <v>1.24078394</v>
      </c>
      <c r="E45" s="63">
        <f t="shared" si="0"/>
        <v>1162.6145517800001</v>
      </c>
      <c r="F45" s="307">
        <f>'base(indices)'!$I$147</f>
        <v>0.29920000000000002</v>
      </c>
      <c r="G45" s="63">
        <f t="shared" si="1"/>
        <v>347.85427389257603</v>
      </c>
      <c r="H45" s="61">
        <f t="shared" si="2"/>
        <v>1510.468825672576</v>
      </c>
      <c r="I45" s="312">
        <f t="shared" si="21"/>
        <v>111242.30206437712</v>
      </c>
      <c r="J45" s="66">
        <f t="shared" si="27"/>
        <v>76000.758974384822</v>
      </c>
      <c r="K45" s="108">
        <f t="shared" si="4"/>
        <v>8719.2410256151761</v>
      </c>
      <c r="L45" s="295">
        <f t="shared" si="5"/>
        <v>84720</v>
      </c>
      <c r="M45" s="43">
        <f t="shared" si="6"/>
        <v>72200.721025665582</v>
      </c>
      <c r="N45" s="108">
        <f t="shared" si="7"/>
        <v>8283.2789743344165</v>
      </c>
      <c r="O45" s="46">
        <f t="shared" si="8"/>
        <v>80484</v>
      </c>
      <c r="P45" s="119">
        <f t="shared" si="25"/>
        <v>68400.683076946341</v>
      </c>
      <c r="Q45" s="108">
        <f t="shared" si="10"/>
        <v>7847.3169230536587</v>
      </c>
      <c r="R45" s="46">
        <f t="shared" si="26"/>
        <v>76248</v>
      </c>
      <c r="S45" s="43">
        <f t="shared" si="12"/>
        <v>60800.607179507861</v>
      </c>
      <c r="T45" s="108">
        <f t="shared" si="13"/>
        <v>6975.3928204921413</v>
      </c>
      <c r="U45" s="47">
        <f t="shared" si="14"/>
        <v>67776</v>
      </c>
      <c r="V45" s="45">
        <f t="shared" si="15"/>
        <v>53200.531282069373</v>
      </c>
      <c r="W45" s="108">
        <f t="shared" si="16"/>
        <v>6103.4687179306229</v>
      </c>
      <c r="X45" s="46">
        <f t="shared" si="17"/>
        <v>59303.999999999993</v>
      </c>
      <c r="Y45" s="43">
        <f t="shared" si="18"/>
        <v>45600.455384630892</v>
      </c>
      <c r="Z45" s="108">
        <f t="shared" si="19"/>
        <v>5231.5446153691055</v>
      </c>
      <c r="AA45" s="46">
        <f t="shared" si="20"/>
        <v>50832</v>
      </c>
    </row>
    <row r="46" spans="1:27" ht="12.75" customHeight="1" thickBot="1">
      <c r="A46" s="161">
        <v>73</v>
      </c>
      <c r="B46" s="247">
        <v>43070</v>
      </c>
      <c r="C46" s="142">
        <f>VLOOKUP(B46,'base(indices)'!$A$4:$C$183,3,FALSE)</f>
        <v>937</v>
      </c>
      <c r="D46" s="274">
        <f>'base(indices)'!G99</f>
        <v>1.2368261</v>
      </c>
      <c r="E46" s="170">
        <f t="shared" si="0"/>
        <v>1158.9060557</v>
      </c>
      <c r="F46" s="307">
        <f>'base(indices)'!$I$147</f>
        <v>0.29920000000000002</v>
      </c>
      <c r="G46" s="170">
        <f t="shared" si="1"/>
        <v>346.74469186544002</v>
      </c>
      <c r="H46" s="141">
        <f t="shared" si="2"/>
        <v>1505.65074756544</v>
      </c>
      <c r="I46" s="369">
        <f t="shared" si="21"/>
        <v>109731.83323870454</v>
      </c>
      <c r="J46" s="57">
        <f>IF((I44)+K44-(H44/2)&gt;$I$137,$I$137-K44,(I44)-(H44/2))</f>
        <v>76000.758974384822</v>
      </c>
      <c r="K46" s="86">
        <f t="shared" si="4"/>
        <v>8719.2410256151761</v>
      </c>
      <c r="L46" s="296">
        <f t="shared" si="5"/>
        <v>84720</v>
      </c>
      <c r="M46" s="85">
        <f t="shared" si="6"/>
        <v>72200.721025665582</v>
      </c>
      <c r="N46" s="86">
        <f t="shared" si="7"/>
        <v>8283.2789743344165</v>
      </c>
      <c r="O46" s="165">
        <f t="shared" si="8"/>
        <v>80484</v>
      </c>
      <c r="P46" s="58">
        <f t="shared" si="25"/>
        <v>68400.683076946341</v>
      </c>
      <c r="Q46" s="91">
        <f t="shared" si="10"/>
        <v>7847.3169230536587</v>
      </c>
      <c r="R46" s="59">
        <f t="shared" si="26"/>
        <v>76248</v>
      </c>
      <c r="S46" s="282">
        <f t="shared" si="12"/>
        <v>60800.607179507861</v>
      </c>
      <c r="T46" s="202">
        <f t="shared" si="13"/>
        <v>6975.3928204921413</v>
      </c>
      <c r="U46" s="289">
        <f t="shared" si="14"/>
        <v>67776</v>
      </c>
      <c r="V46" s="58">
        <f t="shared" si="15"/>
        <v>53200.531282069373</v>
      </c>
      <c r="W46" s="91">
        <f t="shared" si="16"/>
        <v>6103.4687179306229</v>
      </c>
      <c r="X46" s="59">
        <f t="shared" si="17"/>
        <v>59303.999999999993</v>
      </c>
      <c r="Y46" s="282">
        <f t="shared" si="18"/>
        <v>45600.455384630892</v>
      </c>
      <c r="Z46" s="202">
        <f t="shared" si="19"/>
        <v>5231.5446153691055</v>
      </c>
      <c r="AA46" s="203">
        <f t="shared" si="20"/>
        <v>50832</v>
      </c>
    </row>
    <row r="47" spans="1:27" ht="12.75" customHeight="1">
      <c r="A47" s="217">
        <v>72</v>
      </c>
      <c r="B47" s="136">
        <v>43101</v>
      </c>
      <c r="C47" s="120">
        <f>VLOOKUP(B47,'base(indices)'!$A$4:$C$183,3,FALSE)</f>
        <v>954</v>
      </c>
      <c r="D47" s="270">
        <f>'base(indices)'!G100</f>
        <v>1.2325123099999999</v>
      </c>
      <c r="E47" s="78">
        <f t="shared" si="0"/>
        <v>1175.81674374</v>
      </c>
      <c r="F47" s="371">
        <f>'base(indices)'!$I$147</f>
        <v>0.29920000000000002</v>
      </c>
      <c r="G47" s="78">
        <f t="shared" si="1"/>
        <v>351.80436972700801</v>
      </c>
      <c r="H47" s="41">
        <f t="shared" si="2"/>
        <v>1527.6211134670079</v>
      </c>
      <c r="I47" s="310">
        <f t="shared" si="21"/>
        <v>108226.1824911391</v>
      </c>
      <c r="J47" s="385">
        <f t="shared" ref="J47:J58" si="28">IF((I47)+K47-(H47/2)&gt;$I$137,$I$137-K47,(I47)-(H47/2))</f>
        <v>76000.758974384822</v>
      </c>
      <c r="K47" s="156">
        <f t="shared" si="4"/>
        <v>8719.2410256151761</v>
      </c>
      <c r="L47" s="315">
        <f t="shared" si="5"/>
        <v>84720</v>
      </c>
      <c r="M47" s="283">
        <f t="shared" si="6"/>
        <v>72200.721025665582</v>
      </c>
      <c r="N47" s="156">
        <f t="shared" si="7"/>
        <v>8283.2789743344165</v>
      </c>
      <c r="O47" s="290">
        <f t="shared" si="8"/>
        <v>80484</v>
      </c>
      <c r="P47" s="119">
        <f t="shared" si="25"/>
        <v>68400.683076946341</v>
      </c>
      <c r="Q47" s="108">
        <f t="shared" si="10"/>
        <v>7847.3169230536587</v>
      </c>
      <c r="R47" s="46">
        <f t="shared" si="26"/>
        <v>76248</v>
      </c>
      <c r="S47" s="138">
        <f t="shared" si="12"/>
        <v>60800.607179507861</v>
      </c>
      <c r="T47" s="109">
        <f t="shared" si="13"/>
        <v>6975.3928204921413</v>
      </c>
      <c r="U47" s="139">
        <f t="shared" si="14"/>
        <v>67776</v>
      </c>
      <c r="V47" s="45">
        <f t="shared" si="15"/>
        <v>53200.531282069373</v>
      </c>
      <c r="W47" s="108">
        <f t="shared" si="16"/>
        <v>6103.4687179306229</v>
      </c>
      <c r="X47" s="46">
        <f t="shared" si="17"/>
        <v>59303.999999999993</v>
      </c>
      <c r="Y47" s="138">
        <f t="shared" si="18"/>
        <v>45600.455384630892</v>
      </c>
      <c r="Z47" s="109">
        <f t="shared" si="19"/>
        <v>5231.5446153691055</v>
      </c>
      <c r="AA47" s="49">
        <f t="shared" si="20"/>
        <v>50832</v>
      </c>
    </row>
    <row r="48" spans="1:27" ht="12.75" customHeight="1">
      <c r="A48" s="187">
        <v>71</v>
      </c>
      <c r="B48" s="50">
        <v>43132</v>
      </c>
      <c r="C48" s="61">
        <f>VLOOKUP(B48,'base(indices)'!$A$4:$C$183,3,FALSE)</f>
        <v>954</v>
      </c>
      <c r="D48" s="159">
        <f>'base(indices)'!G101</f>
        <v>1.2277241800000001</v>
      </c>
      <c r="E48" s="54">
        <f t="shared" si="0"/>
        <v>1171.2488677200001</v>
      </c>
      <c r="F48" s="307">
        <f>'base(indices)'!$I$147</f>
        <v>0.29920000000000002</v>
      </c>
      <c r="G48" s="54">
        <f t="shared" si="1"/>
        <v>350.43766122182404</v>
      </c>
      <c r="H48" s="51">
        <f t="shared" si="2"/>
        <v>1521.6865289418242</v>
      </c>
      <c r="I48" s="311">
        <f t="shared" si="21"/>
        <v>106698.5613776721</v>
      </c>
      <c r="J48" s="57">
        <f t="shared" si="28"/>
        <v>76000.758974384822</v>
      </c>
      <c r="K48" s="91">
        <f t="shared" si="4"/>
        <v>8719.2410256151761</v>
      </c>
      <c r="L48" s="294">
        <f t="shared" si="5"/>
        <v>84720</v>
      </c>
      <c r="M48" s="57">
        <f t="shared" si="6"/>
        <v>72200.721025665582</v>
      </c>
      <c r="N48" s="91">
        <f t="shared" si="7"/>
        <v>8283.2789743344165</v>
      </c>
      <c r="O48" s="60">
        <f t="shared" si="8"/>
        <v>80484</v>
      </c>
      <c r="P48" s="58">
        <f>J48*$P$9</f>
        <v>68400.683076946341</v>
      </c>
      <c r="Q48" s="91">
        <f t="shared" si="10"/>
        <v>7847.3169230536587</v>
      </c>
      <c r="R48" s="59">
        <f t="shared" si="26"/>
        <v>76248</v>
      </c>
      <c r="S48" s="57">
        <f t="shared" si="12"/>
        <v>60800.607179507861</v>
      </c>
      <c r="T48" s="91">
        <f t="shared" si="13"/>
        <v>6975.3928204921413</v>
      </c>
      <c r="U48" s="60">
        <f t="shared" si="14"/>
        <v>67776</v>
      </c>
      <c r="V48" s="58">
        <f t="shared" si="15"/>
        <v>53200.531282069373</v>
      </c>
      <c r="W48" s="91">
        <f t="shared" si="16"/>
        <v>6103.4687179306229</v>
      </c>
      <c r="X48" s="59">
        <f t="shared" si="17"/>
        <v>59303.999999999993</v>
      </c>
      <c r="Y48" s="57">
        <f t="shared" si="18"/>
        <v>45600.455384630892</v>
      </c>
      <c r="Z48" s="91">
        <f t="shared" si="19"/>
        <v>5231.5446153691055</v>
      </c>
      <c r="AA48" s="59">
        <f t="shared" si="20"/>
        <v>50832</v>
      </c>
    </row>
    <row r="49" spans="1:27" ht="12.75" customHeight="1">
      <c r="A49" s="187">
        <v>70</v>
      </c>
      <c r="B49" s="50">
        <v>43160</v>
      </c>
      <c r="C49" s="61">
        <f>VLOOKUP(B49,'base(indices)'!$A$4:$C$183,3,FALSE)</f>
        <v>954</v>
      </c>
      <c r="D49" s="159">
        <f>'base(indices)'!G102</f>
        <v>1.22307649</v>
      </c>
      <c r="E49" s="63">
        <f t="shared" si="0"/>
        <v>1166.8149714599999</v>
      </c>
      <c r="F49" s="307">
        <f>'base(indices)'!$I$147</f>
        <v>0.29920000000000002</v>
      </c>
      <c r="G49" s="63">
        <f t="shared" si="1"/>
        <v>349.11103946083199</v>
      </c>
      <c r="H49" s="61">
        <f t="shared" si="2"/>
        <v>1515.9260109208319</v>
      </c>
      <c r="I49" s="312">
        <f t="shared" si="21"/>
        <v>105176.87484873028</v>
      </c>
      <c r="J49" s="66">
        <f t="shared" si="28"/>
        <v>76000.758974384822</v>
      </c>
      <c r="K49" s="108">
        <f t="shared" si="4"/>
        <v>8719.2410256151761</v>
      </c>
      <c r="L49" s="295">
        <f t="shared" si="5"/>
        <v>84720</v>
      </c>
      <c r="M49" s="43">
        <f t="shared" si="6"/>
        <v>72200.721025665582</v>
      </c>
      <c r="N49" s="108">
        <f t="shared" si="7"/>
        <v>8283.2789743344165</v>
      </c>
      <c r="O49" s="47">
        <f t="shared" si="8"/>
        <v>80484</v>
      </c>
      <c r="P49" s="119">
        <f>J49*$P$9</f>
        <v>68400.683076946341</v>
      </c>
      <c r="Q49" s="108">
        <f t="shared" si="10"/>
        <v>7847.3169230536587</v>
      </c>
      <c r="R49" s="46">
        <f t="shared" si="26"/>
        <v>76248</v>
      </c>
      <c r="S49" s="43">
        <f t="shared" si="12"/>
        <v>60800.607179507861</v>
      </c>
      <c r="T49" s="108">
        <f t="shared" si="13"/>
        <v>6975.3928204921413</v>
      </c>
      <c r="U49" s="47">
        <f t="shared" si="14"/>
        <v>67776</v>
      </c>
      <c r="V49" s="45">
        <f t="shared" si="15"/>
        <v>53200.531282069373</v>
      </c>
      <c r="W49" s="108">
        <f t="shared" si="16"/>
        <v>6103.4687179306229</v>
      </c>
      <c r="X49" s="46">
        <f t="shared" si="17"/>
        <v>59303.999999999993</v>
      </c>
      <c r="Y49" s="43">
        <f t="shared" si="18"/>
        <v>45600.455384630892</v>
      </c>
      <c r="Z49" s="108">
        <f t="shared" si="19"/>
        <v>5231.5446153691055</v>
      </c>
      <c r="AA49" s="46">
        <f t="shared" si="20"/>
        <v>50832</v>
      </c>
    </row>
    <row r="50" spans="1:27" ht="12.75" customHeight="1">
      <c r="A50" s="187">
        <v>69</v>
      </c>
      <c r="B50" s="50">
        <v>43191</v>
      </c>
      <c r="C50" s="61">
        <f>VLOOKUP(B50,'base(indices)'!$A$4:$C$183,3,FALSE)</f>
        <v>954</v>
      </c>
      <c r="D50" s="159">
        <f>'base(indices)'!G103</f>
        <v>1.2218546400000001</v>
      </c>
      <c r="E50" s="54">
        <f t="shared" si="0"/>
        <v>1165.6493265600002</v>
      </c>
      <c r="F50" s="307">
        <f>'base(indices)'!$I$147</f>
        <v>0.29920000000000002</v>
      </c>
      <c r="G50" s="54">
        <f t="shared" si="1"/>
        <v>348.76227850675207</v>
      </c>
      <c r="H50" s="51">
        <f t="shared" si="2"/>
        <v>1514.4116050667521</v>
      </c>
      <c r="I50" s="311">
        <f t="shared" si="21"/>
        <v>103660.94883780945</v>
      </c>
      <c r="J50" s="57">
        <f t="shared" si="28"/>
        <v>76000.758974384822</v>
      </c>
      <c r="K50" s="91">
        <f t="shared" si="4"/>
        <v>8719.2410256151761</v>
      </c>
      <c r="L50" s="294">
        <f t="shared" si="5"/>
        <v>84720</v>
      </c>
      <c r="M50" s="57">
        <f t="shared" si="6"/>
        <v>72200.721025665582</v>
      </c>
      <c r="N50" s="91">
        <f t="shared" si="7"/>
        <v>8283.2789743344165</v>
      </c>
      <c r="O50" s="60">
        <f t="shared" si="8"/>
        <v>80484</v>
      </c>
      <c r="P50" s="58">
        <f t="shared" ref="P50:P63" si="29">J50*$P$9</f>
        <v>68400.683076946341</v>
      </c>
      <c r="Q50" s="91">
        <f t="shared" si="10"/>
        <v>7847.3169230536587</v>
      </c>
      <c r="R50" s="59">
        <f>P50+Q50</f>
        <v>76248</v>
      </c>
      <c r="S50" s="57">
        <f t="shared" si="12"/>
        <v>60800.607179507861</v>
      </c>
      <c r="T50" s="91">
        <f t="shared" si="13"/>
        <v>6975.3928204921413</v>
      </c>
      <c r="U50" s="60">
        <f t="shared" si="14"/>
        <v>67776</v>
      </c>
      <c r="V50" s="58">
        <f t="shared" si="15"/>
        <v>53200.531282069373</v>
      </c>
      <c r="W50" s="91">
        <f t="shared" si="16"/>
        <v>6103.4687179306229</v>
      </c>
      <c r="X50" s="59">
        <f t="shared" si="17"/>
        <v>59303.999999999993</v>
      </c>
      <c r="Y50" s="57">
        <f t="shared" si="18"/>
        <v>45600.455384630892</v>
      </c>
      <c r="Z50" s="91">
        <f t="shared" si="19"/>
        <v>5231.5446153691055</v>
      </c>
      <c r="AA50" s="59">
        <f t="shared" si="20"/>
        <v>50832</v>
      </c>
    </row>
    <row r="51" spans="1:27" ht="12.75" customHeight="1">
      <c r="A51" s="187">
        <v>68</v>
      </c>
      <c r="B51" s="50">
        <v>43221</v>
      </c>
      <c r="C51" s="61">
        <f>VLOOKUP(B51,'base(indices)'!$A$4:$C$183,3,FALSE)</f>
        <v>954</v>
      </c>
      <c r="D51" s="159">
        <f>'base(indices)'!G104</f>
        <v>1.21929412</v>
      </c>
      <c r="E51" s="63">
        <f t="shared" si="0"/>
        <v>1163.2065904799999</v>
      </c>
      <c r="F51" s="307">
        <f>'base(indices)'!$I$147</f>
        <v>0.29920000000000002</v>
      </c>
      <c r="G51" s="63">
        <f t="shared" si="1"/>
        <v>348.031411871616</v>
      </c>
      <c r="H51" s="61">
        <f t="shared" si="2"/>
        <v>1511.2380023516159</v>
      </c>
      <c r="I51" s="312">
        <f t="shared" si="21"/>
        <v>102146.5372327427</v>
      </c>
      <c r="J51" s="66">
        <f t="shared" si="28"/>
        <v>76000.758974384822</v>
      </c>
      <c r="K51" s="108">
        <f t="shared" si="4"/>
        <v>8719.2410256151761</v>
      </c>
      <c r="L51" s="295">
        <f t="shared" si="5"/>
        <v>84720</v>
      </c>
      <c r="M51" s="43">
        <f t="shared" si="6"/>
        <v>72200.721025665582</v>
      </c>
      <c r="N51" s="108">
        <f t="shared" si="7"/>
        <v>8283.2789743344165</v>
      </c>
      <c r="O51" s="47">
        <f t="shared" si="8"/>
        <v>80484</v>
      </c>
      <c r="P51" s="119">
        <f t="shared" si="29"/>
        <v>68400.683076946341</v>
      </c>
      <c r="Q51" s="108">
        <f t="shared" si="10"/>
        <v>7847.3169230536587</v>
      </c>
      <c r="R51" s="46">
        <f t="shared" ref="R51:R93" si="30">P51+Q51</f>
        <v>76248</v>
      </c>
      <c r="S51" s="43">
        <f t="shared" si="12"/>
        <v>60800.607179507861</v>
      </c>
      <c r="T51" s="108">
        <f t="shared" si="13"/>
        <v>6975.3928204921413</v>
      </c>
      <c r="U51" s="47">
        <f t="shared" si="14"/>
        <v>67776</v>
      </c>
      <c r="V51" s="45">
        <f t="shared" si="15"/>
        <v>53200.531282069373</v>
      </c>
      <c r="W51" s="108">
        <f t="shared" si="16"/>
        <v>6103.4687179306229</v>
      </c>
      <c r="X51" s="46">
        <f t="shared" si="17"/>
        <v>59303.999999999993</v>
      </c>
      <c r="Y51" s="43">
        <f t="shared" si="18"/>
        <v>45600.455384630892</v>
      </c>
      <c r="Z51" s="108">
        <f t="shared" si="19"/>
        <v>5231.5446153691055</v>
      </c>
      <c r="AA51" s="46">
        <f t="shared" si="20"/>
        <v>50832</v>
      </c>
    </row>
    <row r="52" spans="1:27" ht="12.75" customHeight="1">
      <c r="A52" s="187">
        <v>67</v>
      </c>
      <c r="B52" s="50">
        <v>43252</v>
      </c>
      <c r="C52" s="61">
        <f>VLOOKUP(B52,'base(indices)'!$A$4:$C$183,3,FALSE)</f>
        <v>954</v>
      </c>
      <c r="D52" s="159">
        <f>'base(indices)'!G105</f>
        <v>1.2175895000000001</v>
      </c>
      <c r="E52" s="54">
        <f t="shared" si="0"/>
        <v>1161.5803830000002</v>
      </c>
      <c r="F52" s="307">
        <f>'base(indices)'!$I$147</f>
        <v>0.29920000000000002</v>
      </c>
      <c r="G52" s="54">
        <f t="shared" si="1"/>
        <v>347.54485059360007</v>
      </c>
      <c r="H52" s="51">
        <f t="shared" si="2"/>
        <v>1509.1252335936003</v>
      </c>
      <c r="I52" s="311">
        <f t="shared" si="21"/>
        <v>100635.29923039109</v>
      </c>
      <c r="J52" s="57">
        <f t="shared" si="28"/>
        <v>76000.758974384822</v>
      </c>
      <c r="K52" s="91">
        <f t="shared" si="4"/>
        <v>8719.2410256151761</v>
      </c>
      <c r="L52" s="294">
        <f t="shared" si="5"/>
        <v>84720</v>
      </c>
      <c r="M52" s="57">
        <f t="shared" si="6"/>
        <v>72200.721025665582</v>
      </c>
      <c r="N52" s="91">
        <f t="shared" si="7"/>
        <v>8283.2789743344165</v>
      </c>
      <c r="O52" s="60">
        <f t="shared" si="8"/>
        <v>80484</v>
      </c>
      <c r="P52" s="58">
        <f t="shared" si="29"/>
        <v>68400.683076946341</v>
      </c>
      <c r="Q52" s="91">
        <f t="shared" si="10"/>
        <v>7847.3169230536587</v>
      </c>
      <c r="R52" s="59">
        <f t="shared" si="30"/>
        <v>76248</v>
      </c>
      <c r="S52" s="57">
        <f t="shared" si="12"/>
        <v>60800.607179507861</v>
      </c>
      <c r="T52" s="91">
        <f t="shared" si="13"/>
        <v>6975.3928204921413</v>
      </c>
      <c r="U52" s="60">
        <f t="shared" si="14"/>
        <v>67776</v>
      </c>
      <c r="V52" s="58">
        <f t="shared" si="15"/>
        <v>53200.531282069373</v>
      </c>
      <c r="W52" s="91">
        <f t="shared" si="16"/>
        <v>6103.4687179306229</v>
      </c>
      <c r="X52" s="59">
        <f t="shared" si="17"/>
        <v>59303.999999999993</v>
      </c>
      <c r="Y52" s="57">
        <f t="shared" si="18"/>
        <v>45600.455384630892</v>
      </c>
      <c r="Z52" s="91">
        <f t="shared" si="19"/>
        <v>5231.5446153691055</v>
      </c>
      <c r="AA52" s="59">
        <f t="shared" si="20"/>
        <v>50832</v>
      </c>
    </row>
    <row r="53" spans="1:27" ht="12.75" customHeight="1">
      <c r="A53" s="187">
        <v>66</v>
      </c>
      <c r="B53" s="50">
        <v>43282</v>
      </c>
      <c r="C53" s="61">
        <f>VLOOKUP(B53,'base(indices)'!$A$4:$C$183,3,FALSE)</f>
        <v>954</v>
      </c>
      <c r="D53" s="159">
        <f>'base(indices)'!G106</f>
        <v>1.2042226199999999</v>
      </c>
      <c r="E53" s="63">
        <f t="shared" si="0"/>
        <v>1148.82837948</v>
      </c>
      <c r="F53" s="307">
        <f>'base(indices)'!$I$147</f>
        <v>0.29920000000000002</v>
      </c>
      <c r="G53" s="63">
        <f t="shared" si="1"/>
        <v>343.72945114041602</v>
      </c>
      <c r="H53" s="61">
        <f t="shared" si="2"/>
        <v>1492.5578306204161</v>
      </c>
      <c r="I53" s="312">
        <f t="shared" si="21"/>
        <v>99126.173996797486</v>
      </c>
      <c r="J53" s="66">
        <f t="shared" si="28"/>
        <v>76000.758974384822</v>
      </c>
      <c r="K53" s="108">
        <f t="shared" si="4"/>
        <v>8719.2410256151761</v>
      </c>
      <c r="L53" s="295">
        <f t="shared" si="5"/>
        <v>84720</v>
      </c>
      <c r="M53" s="43">
        <f t="shared" si="6"/>
        <v>72200.721025665582</v>
      </c>
      <c r="N53" s="108">
        <f t="shared" si="7"/>
        <v>8283.2789743344165</v>
      </c>
      <c r="O53" s="47">
        <f t="shared" si="8"/>
        <v>80484</v>
      </c>
      <c r="P53" s="119">
        <f t="shared" si="29"/>
        <v>68400.683076946341</v>
      </c>
      <c r="Q53" s="108">
        <f t="shared" si="10"/>
        <v>7847.3169230536587</v>
      </c>
      <c r="R53" s="46">
        <f t="shared" si="30"/>
        <v>76248</v>
      </c>
      <c r="S53" s="43">
        <f t="shared" si="12"/>
        <v>60800.607179507861</v>
      </c>
      <c r="T53" s="108">
        <f t="shared" si="13"/>
        <v>6975.3928204921413</v>
      </c>
      <c r="U53" s="47">
        <f t="shared" si="14"/>
        <v>67776</v>
      </c>
      <c r="V53" s="45">
        <f t="shared" si="15"/>
        <v>53200.531282069373</v>
      </c>
      <c r="W53" s="108">
        <f t="shared" si="16"/>
        <v>6103.4687179306229</v>
      </c>
      <c r="X53" s="46">
        <f t="shared" si="17"/>
        <v>59303.999999999993</v>
      </c>
      <c r="Y53" s="43">
        <f t="shared" si="18"/>
        <v>45600.455384630892</v>
      </c>
      <c r="Z53" s="108">
        <f t="shared" si="19"/>
        <v>5231.5446153691055</v>
      </c>
      <c r="AA53" s="46">
        <f t="shared" si="20"/>
        <v>50832</v>
      </c>
    </row>
    <row r="54" spans="1:27" ht="12.75" customHeight="1">
      <c r="A54" s="187">
        <v>65</v>
      </c>
      <c r="B54" s="50">
        <v>43313</v>
      </c>
      <c r="C54" s="61">
        <f>VLOOKUP(B54,'base(indices)'!$A$4:$C$183,3,FALSE)</f>
        <v>954</v>
      </c>
      <c r="D54" s="159">
        <f>'base(indices)'!G107</f>
        <v>1.19656461</v>
      </c>
      <c r="E54" s="54">
        <f t="shared" si="0"/>
        <v>1141.5226379400001</v>
      </c>
      <c r="F54" s="307">
        <f>'base(indices)'!$I$147</f>
        <v>0.29920000000000002</v>
      </c>
      <c r="G54" s="54">
        <f t="shared" si="1"/>
        <v>341.54357327164803</v>
      </c>
      <c r="H54" s="51">
        <f t="shared" si="2"/>
        <v>1483.0662112116481</v>
      </c>
      <c r="I54" s="311">
        <f t="shared" si="21"/>
        <v>97633.616166177075</v>
      </c>
      <c r="J54" s="57">
        <f t="shared" si="28"/>
        <v>76000.758974384822</v>
      </c>
      <c r="K54" s="91">
        <f t="shared" si="4"/>
        <v>8719.2410256151761</v>
      </c>
      <c r="L54" s="294">
        <f t="shared" si="5"/>
        <v>84720</v>
      </c>
      <c r="M54" s="57">
        <f t="shared" si="6"/>
        <v>72200.721025665582</v>
      </c>
      <c r="N54" s="91">
        <f t="shared" si="7"/>
        <v>8283.2789743344165</v>
      </c>
      <c r="O54" s="60">
        <f t="shared" si="8"/>
        <v>80484</v>
      </c>
      <c r="P54" s="58">
        <f t="shared" si="29"/>
        <v>68400.683076946341</v>
      </c>
      <c r="Q54" s="91">
        <f t="shared" si="10"/>
        <v>7847.3169230536587</v>
      </c>
      <c r="R54" s="59">
        <f t="shared" si="30"/>
        <v>76248</v>
      </c>
      <c r="S54" s="57">
        <f t="shared" si="12"/>
        <v>60800.607179507861</v>
      </c>
      <c r="T54" s="91">
        <f t="shared" si="13"/>
        <v>6975.3928204921413</v>
      </c>
      <c r="U54" s="60">
        <f t="shared" si="14"/>
        <v>67776</v>
      </c>
      <c r="V54" s="58">
        <f t="shared" si="15"/>
        <v>53200.531282069373</v>
      </c>
      <c r="W54" s="91">
        <f t="shared" si="16"/>
        <v>6103.4687179306229</v>
      </c>
      <c r="X54" s="59">
        <f t="shared" si="17"/>
        <v>59303.999999999993</v>
      </c>
      <c r="Y54" s="57">
        <f t="shared" si="18"/>
        <v>45600.455384630892</v>
      </c>
      <c r="Z54" s="91">
        <f t="shared" si="19"/>
        <v>5231.5446153691055</v>
      </c>
      <c r="AA54" s="59">
        <f t="shared" si="20"/>
        <v>50832</v>
      </c>
    </row>
    <row r="55" spans="1:27" ht="12.75" customHeight="1">
      <c r="A55" s="187">
        <v>64</v>
      </c>
      <c r="B55" s="50">
        <v>43344</v>
      </c>
      <c r="C55" s="61">
        <f>VLOOKUP(B55,'base(indices)'!$A$4:$C$183,3,FALSE)</f>
        <v>954</v>
      </c>
      <c r="D55" s="159">
        <f>'base(indices)'!G108</f>
        <v>1.1950111000000001</v>
      </c>
      <c r="E55" s="63">
        <f t="shared" si="0"/>
        <v>1140.0405894</v>
      </c>
      <c r="F55" s="307">
        <f>'base(indices)'!$I$147</f>
        <v>0.29920000000000002</v>
      </c>
      <c r="G55" s="63">
        <f t="shared" si="1"/>
        <v>341.10014434848006</v>
      </c>
      <c r="H55" s="61">
        <f t="shared" si="2"/>
        <v>1481.1407337484802</v>
      </c>
      <c r="I55" s="312">
        <f t="shared" si="21"/>
        <v>96150.54995496542</v>
      </c>
      <c r="J55" s="66">
        <f t="shared" si="28"/>
        <v>76000.758974384822</v>
      </c>
      <c r="K55" s="108">
        <f t="shared" si="4"/>
        <v>8719.2410256151761</v>
      </c>
      <c r="L55" s="295">
        <f t="shared" si="5"/>
        <v>84720</v>
      </c>
      <c r="M55" s="43">
        <f t="shared" si="6"/>
        <v>72200.721025665582</v>
      </c>
      <c r="N55" s="108">
        <f t="shared" si="7"/>
        <v>8283.2789743344165</v>
      </c>
      <c r="O55" s="47">
        <f t="shared" si="8"/>
        <v>80484</v>
      </c>
      <c r="P55" s="119">
        <f t="shared" si="29"/>
        <v>68400.683076946341</v>
      </c>
      <c r="Q55" s="108">
        <f t="shared" si="10"/>
        <v>7847.3169230536587</v>
      </c>
      <c r="R55" s="46">
        <f t="shared" si="30"/>
        <v>76248</v>
      </c>
      <c r="S55" s="43">
        <f t="shared" si="12"/>
        <v>60800.607179507861</v>
      </c>
      <c r="T55" s="108">
        <f t="shared" si="13"/>
        <v>6975.3928204921413</v>
      </c>
      <c r="U55" s="47">
        <f t="shared" si="14"/>
        <v>67776</v>
      </c>
      <c r="V55" s="45">
        <f t="shared" si="15"/>
        <v>53200.531282069373</v>
      </c>
      <c r="W55" s="108">
        <f t="shared" si="16"/>
        <v>6103.4687179306229</v>
      </c>
      <c r="X55" s="46">
        <f t="shared" si="17"/>
        <v>59303.999999999993</v>
      </c>
      <c r="Y55" s="43">
        <f t="shared" si="18"/>
        <v>45600.455384630892</v>
      </c>
      <c r="Z55" s="108">
        <f t="shared" si="19"/>
        <v>5231.5446153691055</v>
      </c>
      <c r="AA55" s="46">
        <f t="shared" si="20"/>
        <v>50832</v>
      </c>
    </row>
    <row r="56" spans="1:27" ht="12.75" customHeight="1">
      <c r="A56" s="187">
        <v>63</v>
      </c>
      <c r="B56" s="50">
        <v>43374</v>
      </c>
      <c r="C56" s="61">
        <f>VLOOKUP(B56,'base(indices)'!$A$4:$C$183,3,FALSE)</f>
        <v>954</v>
      </c>
      <c r="D56" s="159">
        <f>'base(indices)'!G109</f>
        <v>1.1939365500000001</v>
      </c>
      <c r="E56" s="54">
        <f t="shared" si="0"/>
        <v>1139.0154687000002</v>
      </c>
      <c r="F56" s="307">
        <f>'base(indices)'!$I$147</f>
        <v>0.29920000000000002</v>
      </c>
      <c r="G56" s="54">
        <f t="shared" si="1"/>
        <v>340.7934282350401</v>
      </c>
      <c r="H56" s="51">
        <f t="shared" si="2"/>
        <v>1479.8088969350401</v>
      </c>
      <c r="I56" s="311">
        <f t="shared" si="21"/>
        <v>94669.409221216934</v>
      </c>
      <c r="J56" s="57">
        <f t="shared" si="28"/>
        <v>76000.758974384822</v>
      </c>
      <c r="K56" s="91">
        <f t="shared" si="4"/>
        <v>8719.2410256151761</v>
      </c>
      <c r="L56" s="294">
        <f t="shared" si="5"/>
        <v>84720</v>
      </c>
      <c r="M56" s="57">
        <f t="shared" si="6"/>
        <v>72200.721025665582</v>
      </c>
      <c r="N56" s="91">
        <f t="shared" si="7"/>
        <v>8283.2789743344165</v>
      </c>
      <c r="O56" s="60">
        <f t="shared" si="8"/>
        <v>80484</v>
      </c>
      <c r="P56" s="58">
        <f t="shared" si="29"/>
        <v>68400.683076946341</v>
      </c>
      <c r="Q56" s="91">
        <f t="shared" si="10"/>
        <v>7847.3169230536587</v>
      </c>
      <c r="R56" s="59">
        <f t="shared" si="30"/>
        <v>76248</v>
      </c>
      <c r="S56" s="57">
        <f t="shared" si="12"/>
        <v>60800.607179507861</v>
      </c>
      <c r="T56" s="91">
        <f t="shared" si="13"/>
        <v>6975.3928204921413</v>
      </c>
      <c r="U56" s="60">
        <f t="shared" si="14"/>
        <v>67776</v>
      </c>
      <c r="V56" s="58">
        <f t="shared" si="15"/>
        <v>53200.531282069373</v>
      </c>
      <c r="W56" s="91">
        <f t="shared" si="16"/>
        <v>6103.4687179306229</v>
      </c>
      <c r="X56" s="59">
        <f t="shared" si="17"/>
        <v>59303.999999999993</v>
      </c>
      <c r="Y56" s="57">
        <f t="shared" si="18"/>
        <v>45600.455384630892</v>
      </c>
      <c r="Z56" s="91">
        <f t="shared" si="19"/>
        <v>5231.5446153691055</v>
      </c>
      <c r="AA56" s="59">
        <f t="shared" si="20"/>
        <v>50832</v>
      </c>
    </row>
    <row r="57" spans="1:27" ht="12.75" customHeight="1">
      <c r="A57" s="187">
        <v>62</v>
      </c>
      <c r="B57" s="50">
        <v>43405</v>
      </c>
      <c r="C57" s="61">
        <f>VLOOKUP(B57,'base(indices)'!$A$4:$C$183,3,FALSE)</f>
        <v>954</v>
      </c>
      <c r="D57" s="159">
        <f>'base(indices)'!G110</f>
        <v>1.1870516499999999</v>
      </c>
      <c r="E57" s="63">
        <f t="shared" si="0"/>
        <v>1132.4472741</v>
      </c>
      <c r="F57" s="307">
        <f>'base(indices)'!$I$147</f>
        <v>0.29920000000000002</v>
      </c>
      <c r="G57" s="63">
        <f t="shared" si="1"/>
        <v>338.82822441072</v>
      </c>
      <c r="H57" s="61">
        <f t="shared" si="2"/>
        <v>1471.2754985107199</v>
      </c>
      <c r="I57" s="312">
        <f t="shared" si="21"/>
        <v>93189.600324281899</v>
      </c>
      <c r="J57" s="66">
        <f t="shared" si="28"/>
        <v>76000.758974384822</v>
      </c>
      <c r="K57" s="108">
        <f t="shared" si="4"/>
        <v>8719.2410256151761</v>
      </c>
      <c r="L57" s="295">
        <f t="shared" si="5"/>
        <v>84720</v>
      </c>
      <c r="M57" s="43">
        <f t="shared" si="6"/>
        <v>72200.721025665582</v>
      </c>
      <c r="N57" s="108">
        <f t="shared" si="7"/>
        <v>8283.2789743344165</v>
      </c>
      <c r="O57" s="47">
        <f t="shared" si="8"/>
        <v>80484</v>
      </c>
      <c r="P57" s="119">
        <f t="shared" si="29"/>
        <v>68400.683076946341</v>
      </c>
      <c r="Q57" s="108">
        <f t="shared" si="10"/>
        <v>7847.3169230536587</v>
      </c>
      <c r="R57" s="46">
        <f t="shared" si="30"/>
        <v>76248</v>
      </c>
      <c r="S57" s="43">
        <f t="shared" si="12"/>
        <v>60800.607179507861</v>
      </c>
      <c r="T57" s="108">
        <f t="shared" si="13"/>
        <v>6975.3928204921413</v>
      </c>
      <c r="U57" s="47">
        <f t="shared" si="14"/>
        <v>67776</v>
      </c>
      <c r="V57" s="45">
        <f t="shared" si="15"/>
        <v>53200.531282069373</v>
      </c>
      <c r="W57" s="108">
        <f t="shared" si="16"/>
        <v>6103.4687179306229</v>
      </c>
      <c r="X57" s="46">
        <f t="shared" si="17"/>
        <v>59303.999999999993</v>
      </c>
      <c r="Y57" s="43">
        <f t="shared" si="18"/>
        <v>45600.455384630892</v>
      </c>
      <c r="Z57" s="108">
        <f t="shared" si="19"/>
        <v>5231.5446153691055</v>
      </c>
      <c r="AA57" s="46">
        <f t="shared" si="20"/>
        <v>50832</v>
      </c>
    </row>
    <row r="58" spans="1:27" ht="12.75" customHeight="1" thickBot="1">
      <c r="A58" s="305">
        <v>61</v>
      </c>
      <c r="B58" s="68">
        <v>43435</v>
      </c>
      <c r="C58" s="69">
        <f>VLOOKUP(B58,'base(indices)'!$A$4:$C$183,3,FALSE)</f>
        <v>954</v>
      </c>
      <c r="D58" s="272">
        <f>'base(indices)'!G111</f>
        <v>1.18480053</v>
      </c>
      <c r="E58" s="163">
        <f t="shared" si="0"/>
        <v>1130.2997056199999</v>
      </c>
      <c r="F58" s="304">
        <f>'base(indices)'!$I$147</f>
        <v>0.29920000000000002</v>
      </c>
      <c r="G58" s="163">
        <f t="shared" si="1"/>
        <v>338.18567192150402</v>
      </c>
      <c r="H58" s="162">
        <f t="shared" si="2"/>
        <v>1468.485377541504</v>
      </c>
      <c r="I58" s="313">
        <f t="shared" si="21"/>
        <v>91718.324825771182</v>
      </c>
      <c r="J58" s="57">
        <f t="shared" si="28"/>
        <v>76000.758974384822</v>
      </c>
      <c r="K58" s="202">
        <f t="shared" si="4"/>
        <v>8719.2410256151761</v>
      </c>
      <c r="L58" s="314">
        <f t="shared" si="5"/>
        <v>84720</v>
      </c>
      <c r="M58" s="282">
        <f t="shared" si="6"/>
        <v>72200.721025665582</v>
      </c>
      <c r="N58" s="202">
        <f t="shared" si="7"/>
        <v>8283.2789743344165</v>
      </c>
      <c r="O58" s="289">
        <f t="shared" si="8"/>
        <v>80484</v>
      </c>
      <c r="P58" s="58">
        <f t="shared" si="29"/>
        <v>68400.683076946341</v>
      </c>
      <c r="Q58" s="91">
        <f t="shared" si="10"/>
        <v>7847.3169230536587</v>
      </c>
      <c r="R58" s="59">
        <f t="shared" si="30"/>
        <v>76248</v>
      </c>
      <c r="S58" s="85">
        <f t="shared" si="12"/>
        <v>60800.607179507861</v>
      </c>
      <c r="T58" s="86">
        <f t="shared" si="13"/>
        <v>6975.3928204921413</v>
      </c>
      <c r="U58" s="107">
        <f t="shared" si="14"/>
        <v>67776</v>
      </c>
      <c r="V58" s="58">
        <f t="shared" si="15"/>
        <v>53200.531282069373</v>
      </c>
      <c r="W58" s="91">
        <f t="shared" si="16"/>
        <v>6103.4687179306229</v>
      </c>
      <c r="X58" s="59">
        <f t="shared" si="17"/>
        <v>59303.999999999993</v>
      </c>
      <c r="Y58" s="85">
        <f t="shared" si="18"/>
        <v>45600.455384630892</v>
      </c>
      <c r="Z58" s="86">
        <f t="shared" si="19"/>
        <v>5231.5446153691055</v>
      </c>
      <c r="AA58" s="165">
        <f t="shared" si="20"/>
        <v>50832</v>
      </c>
    </row>
    <row r="59" spans="1:27" ht="12.75" customHeight="1">
      <c r="A59" s="190">
        <v>60</v>
      </c>
      <c r="B59" s="246">
        <v>43466</v>
      </c>
      <c r="C59" s="273">
        <f>VLOOKUP(B59,'base(indices)'!$A$4:$C$183,3,FALSE)</f>
        <v>998</v>
      </c>
      <c r="D59" s="176">
        <f>'base(indices)'!G112</f>
        <v>1.18669925</v>
      </c>
      <c r="E59" s="154">
        <f t="shared" si="0"/>
        <v>1184.3258515</v>
      </c>
      <c r="F59" s="264">
        <f>'base(indices)'!$I$147</f>
        <v>0.29920000000000002</v>
      </c>
      <c r="G59" s="154">
        <f t="shared" si="1"/>
        <v>354.35029476880004</v>
      </c>
      <c r="H59" s="155">
        <f t="shared" si="2"/>
        <v>1538.6761462688</v>
      </c>
      <c r="I59" s="370">
        <f t="shared" si="21"/>
        <v>90249.839448229672</v>
      </c>
      <c r="J59" s="419">
        <f t="shared" ref="J59:J64" si="31">IF((I59)+K59-(H59/2)&gt;$I$137,$I$137-K59,(I59)-(H59/2))</f>
        <v>76000.758974384822</v>
      </c>
      <c r="K59" s="109">
        <f t="shared" si="4"/>
        <v>8719.2410256151761</v>
      </c>
      <c r="L59" s="293">
        <f t="shared" si="5"/>
        <v>84720</v>
      </c>
      <c r="M59" s="138">
        <f t="shared" si="6"/>
        <v>72200.721025665582</v>
      </c>
      <c r="N59" s="109">
        <f t="shared" si="7"/>
        <v>8283.2789743344165</v>
      </c>
      <c r="O59" s="49">
        <f t="shared" si="8"/>
        <v>80484</v>
      </c>
      <c r="P59" s="119">
        <f t="shared" si="29"/>
        <v>68400.683076946341</v>
      </c>
      <c r="Q59" s="108">
        <f t="shared" si="10"/>
        <v>7847.3169230536587</v>
      </c>
      <c r="R59" s="46">
        <f t="shared" si="30"/>
        <v>76248</v>
      </c>
      <c r="S59" s="283">
        <f t="shared" si="12"/>
        <v>60800.607179507861</v>
      </c>
      <c r="T59" s="156">
        <f t="shared" si="13"/>
        <v>6975.3928204921413</v>
      </c>
      <c r="U59" s="290">
        <f t="shared" si="14"/>
        <v>67776</v>
      </c>
      <c r="V59" s="45">
        <f t="shared" si="15"/>
        <v>53200.531282069373</v>
      </c>
      <c r="W59" s="108">
        <f t="shared" si="16"/>
        <v>6103.4687179306229</v>
      </c>
      <c r="X59" s="46">
        <f t="shared" si="17"/>
        <v>59303.999999999993</v>
      </c>
      <c r="Y59" s="283">
        <f t="shared" si="18"/>
        <v>45600.455384630892</v>
      </c>
      <c r="Z59" s="156">
        <f t="shared" si="19"/>
        <v>5231.5446153691055</v>
      </c>
      <c r="AA59" s="150">
        <f t="shared" si="20"/>
        <v>50832</v>
      </c>
    </row>
    <row r="60" spans="1:27" ht="12.75" customHeight="1">
      <c r="A60" s="187">
        <v>59</v>
      </c>
      <c r="B60" s="50">
        <v>43497</v>
      </c>
      <c r="C60" s="61">
        <f>VLOOKUP(B60,'base(indices)'!$A$4:$C$183,3,FALSE)</f>
        <v>998</v>
      </c>
      <c r="D60" s="159">
        <f>'base(indices)'!G113</f>
        <v>1.1831498</v>
      </c>
      <c r="E60" s="54">
        <f t="shared" si="0"/>
        <v>1180.7835004000001</v>
      </c>
      <c r="F60" s="307">
        <f>'base(indices)'!$I$147</f>
        <v>0.29920000000000002</v>
      </c>
      <c r="G60" s="54">
        <f t="shared" si="1"/>
        <v>353.29042331968003</v>
      </c>
      <c r="H60" s="51">
        <f t="shared" si="2"/>
        <v>1534.0739237196801</v>
      </c>
      <c r="I60" s="311">
        <f t="shared" si="21"/>
        <v>88711.163301960871</v>
      </c>
      <c r="J60" s="58">
        <f t="shared" si="31"/>
        <v>76000.758974384822</v>
      </c>
      <c r="K60" s="91">
        <f t="shared" si="4"/>
        <v>8719.2410256151761</v>
      </c>
      <c r="L60" s="294">
        <f t="shared" si="5"/>
        <v>84720</v>
      </c>
      <c r="M60" s="57">
        <f t="shared" si="6"/>
        <v>72200.721025665582</v>
      </c>
      <c r="N60" s="91">
        <f t="shared" si="7"/>
        <v>8283.2789743344165</v>
      </c>
      <c r="O60" s="59">
        <f t="shared" si="8"/>
        <v>80484</v>
      </c>
      <c r="P60" s="58">
        <f t="shared" si="29"/>
        <v>68400.683076946341</v>
      </c>
      <c r="Q60" s="91">
        <f t="shared" si="10"/>
        <v>7847.3169230536587</v>
      </c>
      <c r="R60" s="59">
        <f t="shared" si="30"/>
        <v>76248</v>
      </c>
      <c r="S60" s="57">
        <f t="shared" si="12"/>
        <v>60800.607179507861</v>
      </c>
      <c r="T60" s="91">
        <f t="shared" si="13"/>
        <v>6975.3928204921413</v>
      </c>
      <c r="U60" s="60">
        <f t="shared" si="14"/>
        <v>67776</v>
      </c>
      <c r="V60" s="58">
        <f t="shared" si="15"/>
        <v>53200.531282069373</v>
      </c>
      <c r="W60" s="91">
        <f t="shared" si="16"/>
        <v>6103.4687179306229</v>
      </c>
      <c r="X60" s="59">
        <f t="shared" si="17"/>
        <v>59303.999999999993</v>
      </c>
      <c r="Y60" s="57">
        <f t="shared" si="18"/>
        <v>45600.455384630892</v>
      </c>
      <c r="Z60" s="91">
        <f t="shared" si="19"/>
        <v>5231.5446153691055</v>
      </c>
      <c r="AA60" s="59">
        <f t="shared" si="20"/>
        <v>50832</v>
      </c>
    </row>
    <row r="61" spans="1:27" ht="12.75" customHeight="1">
      <c r="A61" s="187">
        <v>58</v>
      </c>
      <c r="B61" s="50">
        <v>43525</v>
      </c>
      <c r="C61" s="61">
        <f>VLOOKUP(B61,'base(indices)'!$A$4:$C$183,3,FALSE)</f>
        <v>998</v>
      </c>
      <c r="D61" s="159">
        <f>'base(indices)'!G114</f>
        <v>1.1791407199999999</v>
      </c>
      <c r="E61" s="63">
        <f t="shared" si="0"/>
        <v>1176.7824385599999</v>
      </c>
      <c r="F61" s="307">
        <f>'base(indices)'!$I$147</f>
        <v>0.29920000000000002</v>
      </c>
      <c r="G61" s="63">
        <f t="shared" si="1"/>
        <v>352.093305617152</v>
      </c>
      <c r="H61" s="61">
        <f t="shared" si="2"/>
        <v>1528.875744177152</v>
      </c>
      <c r="I61" s="312">
        <f t="shared" si="21"/>
        <v>87177.089378241188</v>
      </c>
      <c r="J61" s="119">
        <f t="shared" si="31"/>
        <v>76000.758974384822</v>
      </c>
      <c r="K61" s="108">
        <f t="shared" si="4"/>
        <v>8719.2410256151761</v>
      </c>
      <c r="L61" s="295">
        <f t="shared" si="5"/>
        <v>84720</v>
      </c>
      <c r="M61" s="43">
        <f t="shared" si="6"/>
        <v>72200.721025665582</v>
      </c>
      <c r="N61" s="108">
        <f t="shared" si="7"/>
        <v>8283.2789743344165</v>
      </c>
      <c r="O61" s="46">
        <f t="shared" si="8"/>
        <v>80484</v>
      </c>
      <c r="P61" s="119">
        <f t="shared" si="29"/>
        <v>68400.683076946341</v>
      </c>
      <c r="Q61" s="108">
        <f t="shared" si="10"/>
        <v>7847.3169230536587</v>
      </c>
      <c r="R61" s="46">
        <f t="shared" si="30"/>
        <v>76248</v>
      </c>
      <c r="S61" s="43">
        <f t="shared" si="12"/>
        <v>60800.607179507861</v>
      </c>
      <c r="T61" s="108">
        <f t="shared" si="13"/>
        <v>6975.3928204921413</v>
      </c>
      <c r="U61" s="47">
        <f t="shared" si="14"/>
        <v>67776</v>
      </c>
      <c r="V61" s="45">
        <f t="shared" si="15"/>
        <v>53200.531282069373</v>
      </c>
      <c r="W61" s="108">
        <f t="shared" si="16"/>
        <v>6103.4687179306229</v>
      </c>
      <c r="X61" s="46">
        <f t="shared" si="17"/>
        <v>59303.999999999993</v>
      </c>
      <c r="Y61" s="43">
        <f t="shared" si="18"/>
        <v>45600.455384630892</v>
      </c>
      <c r="Z61" s="108">
        <f t="shared" si="19"/>
        <v>5231.5446153691055</v>
      </c>
      <c r="AA61" s="46">
        <f t="shared" si="20"/>
        <v>50832</v>
      </c>
    </row>
    <row r="62" spans="1:27" ht="12.75" customHeight="1">
      <c r="A62" s="187">
        <v>57</v>
      </c>
      <c r="B62" s="50">
        <v>43556</v>
      </c>
      <c r="C62" s="61">
        <f>VLOOKUP(B62,'base(indices)'!$A$4:$C$183,3,FALSE)</f>
        <v>998</v>
      </c>
      <c r="D62" s="159">
        <f>'base(indices)'!G115</f>
        <v>1.1728075600000001</v>
      </c>
      <c r="E62" s="54">
        <f t="shared" si="0"/>
        <v>1170.4619448800001</v>
      </c>
      <c r="F62" s="307">
        <f>'base(indices)'!$I$147</f>
        <v>0.29920000000000002</v>
      </c>
      <c r="G62" s="54">
        <f t="shared" si="1"/>
        <v>350.20221390809604</v>
      </c>
      <c r="H62" s="51">
        <f t="shared" si="2"/>
        <v>1520.6641587880963</v>
      </c>
      <c r="I62" s="311">
        <f t="shared" si="21"/>
        <v>85648.213634064043</v>
      </c>
      <c r="J62" s="58">
        <f t="shared" si="31"/>
        <v>76000.758974384822</v>
      </c>
      <c r="K62" s="91">
        <f t="shared" si="4"/>
        <v>8719.2410256151761</v>
      </c>
      <c r="L62" s="294">
        <f t="shared" si="5"/>
        <v>84720</v>
      </c>
      <c r="M62" s="57">
        <f t="shared" si="6"/>
        <v>72200.721025665582</v>
      </c>
      <c r="N62" s="91">
        <f t="shared" si="7"/>
        <v>8283.2789743344165</v>
      </c>
      <c r="O62" s="59">
        <f t="shared" si="8"/>
        <v>80484</v>
      </c>
      <c r="P62" s="58">
        <f t="shared" si="29"/>
        <v>68400.683076946341</v>
      </c>
      <c r="Q62" s="91">
        <f t="shared" si="10"/>
        <v>7847.3169230536587</v>
      </c>
      <c r="R62" s="59">
        <f t="shared" si="30"/>
        <v>76248</v>
      </c>
      <c r="S62" s="57">
        <f t="shared" si="12"/>
        <v>60800.607179507861</v>
      </c>
      <c r="T62" s="91">
        <f t="shared" si="13"/>
        <v>6975.3928204921413</v>
      </c>
      <c r="U62" s="60">
        <f t="shared" si="14"/>
        <v>67776</v>
      </c>
      <c r="V62" s="58">
        <f t="shared" si="15"/>
        <v>53200.531282069373</v>
      </c>
      <c r="W62" s="91">
        <f t="shared" si="16"/>
        <v>6103.4687179306229</v>
      </c>
      <c r="X62" s="59">
        <f t="shared" si="17"/>
        <v>59303.999999999993</v>
      </c>
      <c r="Y62" s="57">
        <f t="shared" si="18"/>
        <v>45600.455384630892</v>
      </c>
      <c r="Z62" s="91">
        <f t="shared" si="19"/>
        <v>5231.5446153691055</v>
      </c>
      <c r="AA62" s="59">
        <f t="shared" si="20"/>
        <v>50832</v>
      </c>
    </row>
    <row r="63" spans="1:27" ht="12.75" customHeight="1">
      <c r="A63" s="187">
        <v>56</v>
      </c>
      <c r="B63" s="50">
        <v>43586</v>
      </c>
      <c r="C63" s="61">
        <f>VLOOKUP(B63,'base(indices)'!$A$4:$C$183,3,FALSE)</f>
        <v>998</v>
      </c>
      <c r="D63" s="159">
        <f>'base(indices)'!G116</f>
        <v>1.1644237099999999</v>
      </c>
      <c r="E63" s="63">
        <f t="shared" si="0"/>
        <v>1162.0948625799999</v>
      </c>
      <c r="F63" s="307">
        <f>'base(indices)'!$I$147</f>
        <v>0.29920000000000002</v>
      </c>
      <c r="G63" s="63">
        <f t="shared" si="1"/>
        <v>347.69878288393602</v>
      </c>
      <c r="H63" s="61">
        <f t="shared" si="2"/>
        <v>1509.7936454639359</v>
      </c>
      <c r="I63" s="312">
        <f t="shared" si="21"/>
        <v>84127.54947527594</v>
      </c>
      <c r="J63" s="119">
        <f t="shared" si="31"/>
        <v>76000.758974384822</v>
      </c>
      <c r="K63" s="108">
        <f t="shared" si="4"/>
        <v>8719.2410256151761</v>
      </c>
      <c r="L63" s="295">
        <f t="shared" si="5"/>
        <v>84720</v>
      </c>
      <c r="M63" s="43">
        <f t="shared" si="6"/>
        <v>72200.721025665582</v>
      </c>
      <c r="N63" s="108">
        <f t="shared" si="7"/>
        <v>8283.2789743344165</v>
      </c>
      <c r="O63" s="46">
        <f t="shared" si="8"/>
        <v>80484</v>
      </c>
      <c r="P63" s="119">
        <f t="shared" si="29"/>
        <v>68400.683076946341</v>
      </c>
      <c r="Q63" s="108">
        <f t="shared" si="10"/>
        <v>7847.3169230536587</v>
      </c>
      <c r="R63" s="46">
        <f t="shared" si="30"/>
        <v>76248</v>
      </c>
      <c r="S63" s="43">
        <f t="shared" si="12"/>
        <v>60800.607179507861</v>
      </c>
      <c r="T63" s="108">
        <f t="shared" si="13"/>
        <v>6975.3928204921413</v>
      </c>
      <c r="U63" s="47">
        <f t="shared" si="14"/>
        <v>67776</v>
      </c>
      <c r="V63" s="45">
        <f t="shared" si="15"/>
        <v>53200.531282069373</v>
      </c>
      <c r="W63" s="108">
        <f t="shared" si="16"/>
        <v>6103.4687179306229</v>
      </c>
      <c r="X63" s="46">
        <f t="shared" si="17"/>
        <v>59303.999999999993</v>
      </c>
      <c r="Y63" s="43">
        <f t="shared" si="18"/>
        <v>45600.455384630892</v>
      </c>
      <c r="Z63" s="108">
        <f t="shared" si="19"/>
        <v>5231.5446153691055</v>
      </c>
      <c r="AA63" s="46">
        <f t="shared" si="20"/>
        <v>50832</v>
      </c>
    </row>
    <row r="64" spans="1:27" ht="12.75" customHeight="1">
      <c r="A64" s="187">
        <v>55</v>
      </c>
      <c r="B64" s="50">
        <v>43617</v>
      </c>
      <c r="C64" s="61">
        <f>VLOOKUP(B64,'base(indices)'!$A$4:$C$183,3,FALSE)</f>
        <v>998</v>
      </c>
      <c r="D64" s="159">
        <f>'base(indices)'!G117</f>
        <v>1.1603624400000001</v>
      </c>
      <c r="E64" s="54">
        <f t="shared" si="0"/>
        <v>1158.0417151200002</v>
      </c>
      <c r="F64" s="307">
        <f>'base(indices)'!$I$147</f>
        <v>0.29920000000000002</v>
      </c>
      <c r="G64" s="54">
        <f t="shared" si="1"/>
        <v>346.48608116390409</v>
      </c>
      <c r="H64" s="51">
        <f t="shared" si="2"/>
        <v>1504.5277962839043</v>
      </c>
      <c r="I64" s="311">
        <f t="shared" si="21"/>
        <v>82617.755829811998</v>
      </c>
      <c r="J64" s="58">
        <f t="shared" si="31"/>
        <v>76000.758974384822</v>
      </c>
      <c r="K64" s="91">
        <f t="shared" si="4"/>
        <v>8719.2410256151761</v>
      </c>
      <c r="L64" s="294">
        <f t="shared" si="5"/>
        <v>84720</v>
      </c>
      <c r="M64" s="57">
        <f t="shared" si="6"/>
        <v>72200.721025665582</v>
      </c>
      <c r="N64" s="91">
        <f t="shared" si="7"/>
        <v>8283.2789743344165</v>
      </c>
      <c r="O64" s="59">
        <f t="shared" si="8"/>
        <v>80484</v>
      </c>
      <c r="P64" s="58">
        <f>J64*$P$9</f>
        <v>68400.683076946341</v>
      </c>
      <c r="Q64" s="91">
        <f t="shared" si="10"/>
        <v>7847.3169230536587</v>
      </c>
      <c r="R64" s="59">
        <f t="shared" si="30"/>
        <v>76248</v>
      </c>
      <c r="S64" s="57">
        <f t="shared" si="12"/>
        <v>60800.607179507861</v>
      </c>
      <c r="T64" s="91">
        <f t="shared" si="13"/>
        <v>6975.3928204921413</v>
      </c>
      <c r="U64" s="60">
        <f t="shared" si="14"/>
        <v>67776</v>
      </c>
      <c r="V64" s="58">
        <f t="shared" si="15"/>
        <v>53200.531282069373</v>
      </c>
      <c r="W64" s="91">
        <f t="shared" si="16"/>
        <v>6103.4687179306229</v>
      </c>
      <c r="X64" s="59">
        <f t="shared" si="17"/>
        <v>59303.999999999993</v>
      </c>
      <c r="Y64" s="57">
        <f t="shared" si="18"/>
        <v>45600.455384630892</v>
      </c>
      <c r="Z64" s="91">
        <f t="shared" si="19"/>
        <v>5231.5446153691055</v>
      </c>
      <c r="AA64" s="59">
        <f t="shared" si="20"/>
        <v>50832</v>
      </c>
    </row>
    <row r="65" spans="1:27" ht="12.75" customHeight="1">
      <c r="A65" s="187">
        <v>54</v>
      </c>
      <c r="B65" s="50">
        <v>43647</v>
      </c>
      <c r="C65" s="61">
        <f>VLOOKUP(B65,'base(indices)'!$A$4:$C$183,3,FALSE)</f>
        <v>998</v>
      </c>
      <c r="D65" s="159">
        <f>'base(indices)'!G118</f>
        <v>1.15966664</v>
      </c>
      <c r="E65" s="63">
        <f t="shared" si="0"/>
        <v>1157.34730672</v>
      </c>
      <c r="F65" s="307">
        <f>'base(indices)'!$I$147</f>
        <v>0.29920000000000002</v>
      </c>
      <c r="G65" s="63">
        <f t="shared" si="1"/>
        <v>346.27831417062401</v>
      </c>
      <c r="H65" s="61">
        <f t="shared" si="2"/>
        <v>1503.6256208906241</v>
      </c>
      <c r="I65" s="312">
        <f t="shared" si="21"/>
        <v>81113.228033528096</v>
      </c>
      <c r="J65" s="119">
        <f t="shared" ref="J65:J71" si="32">IF((I65)+K65-(H65/2)&gt;$I$137,$I$137-K65,(I65)-(H65/2))</f>
        <v>76000.758974384822</v>
      </c>
      <c r="K65" s="108">
        <f t="shared" si="4"/>
        <v>8719.2410256151761</v>
      </c>
      <c r="L65" s="295">
        <f t="shared" si="5"/>
        <v>84720</v>
      </c>
      <c r="M65" s="43">
        <f t="shared" si="6"/>
        <v>72200.721025665582</v>
      </c>
      <c r="N65" s="108">
        <f t="shared" si="7"/>
        <v>8283.2789743344165</v>
      </c>
      <c r="O65" s="46">
        <f t="shared" si="8"/>
        <v>80484</v>
      </c>
      <c r="P65" s="119">
        <f>J65*$P$9</f>
        <v>68400.683076946341</v>
      </c>
      <c r="Q65" s="108">
        <f t="shared" si="10"/>
        <v>7847.3169230536587</v>
      </c>
      <c r="R65" s="46">
        <f t="shared" si="30"/>
        <v>76248</v>
      </c>
      <c r="S65" s="43">
        <f t="shared" si="12"/>
        <v>60800.607179507861</v>
      </c>
      <c r="T65" s="108">
        <f t="shared" si="13"/>
        <v>6975.3928204921413</v>
      </c>
      <c r="U65" s="47">
        <f t="shared" si="14"/>
        <v>67776</v>
      </c>
      <c r="V65" s="45">
        <f t="shared" si="15"/>
        <v>53200.531282069373</v>
      </c>
      <c r="W65" s="108">
        <f t="shared" si="16"/>
        <v>6103.4687179306229</v>
      </c>
      <c r="X65" s="46">
        <f t="shared" si="17"/>
        <v>59303.999999999993</v>
      </c>
      <c r="Y65" s="43">
        <f t="shared" si="18"/>
        <v>45600.455384630892</v>
      </c>
      <c r="Z65" s="108">
        <f t="shared" si="19"/>
        <v>5231.5446153691055</v>
      </c>
      <c r="AA65" s="46">
        <f t="shared" si="20"/>
        <v>50832</v>
      </c>
    </row>
    <row r="66" spans="1:27" ht="12.75" customHeight="1">
      <c r="A66" s="187">
        <v>53</v>
      </c>
      <c r="B66" s="50">
        <v>43678</v>
      </c>
      <c r="C66" s="61">
        <f>VLOOKUP(B66,'base(indices)'!$A$4:$C$183,3,FALSE)</f>
        <v>998</v>
      </c>
      <c r="D66" s="159">
        <f>'base(indices)'!G119</f>
        <v>1.1586238799999999</v>
      </c>
      <c r="E66" s="54">
        <f t="shared" si="0"/>
        <v>1156.30663224</v>
      </c>
      <c r="F66" s="307">
        <f>'base(indices)'!$I$147</f>
        <v>0.29920000000000002</v>
      </c>
      <c r="G66" s="54">
        <f t="shared" si="1"/>
        <v>345.966944366208</v>
      </c>
      <c r="H66" s="51">
        <f t="shared" si="2"/>
        <v>1502.2735766062081</v>
      </c>
      <c r="I66" s="311">
        <f t="shared" si="21"/>
        <v>79609.602412637469</v>
      </c>
      <c r="J66" s="58">
        <f t="shared" si="32"/>
        <v>76000.758974384822</v>
      </c>
      <c r="K66" s="91">
        <f t="shared" si="4"/>
        <v>8719.2410256151761</v>
      </c>
      <c r="L66" s="294">
        <f t="shared" si="5"/>
        <v>84720</v>
      </c>
      <c r="M66" s="57">
        <f t="shared" si="6"/>
        <v>72200.721025665582</v>
      </c>
      <c r="N66" s="91">
        <f t="shared" si="7"/>
        <v>8283.2789743344165</v>
      </c>
      <c r="O66" s="59">
        <f t="shared" si="8"/>
        <v>80484</v>
      </c>
      <c r="P66" s="58">
        <f t="shared" ref="P66:P93" si="33">J66*$P$9</f>
        <v>68400.683076946341</v>
      </c>
      <c r="Q66" s="91">
        <f t="shared" si="10"/>
        <v>7847.3169230536587</v>
      </c>
      <c r="R66" s="59">
        <f t="shared" si="30"/>
        <v>76248</v>
      </c>
      <c r="S66" s="57">
        <f t="shared" si="12"/>
        <v>60800.607179507861</v>
      </c>
      <c r="T66" s="91">
        <f t="shared" si="13"/>
        <v>6975.3928204921413</v>
      </c>
      <c r="U66" s="60">
        <f t="shared" si="14"/>
        <v>67776</v>
      </c>
      <c r="V66" s="58">
        <f t="shared" si="15"/>
        <v>53200.531282069373</v>
      </c>
      <c r="W66" s="91">
        <f t="shared" si="16"/>
        <v>6103.4687179306229</v>
      </c>
      <c r="X66" s="59">
        <f t="shared" si="17"/>
        <v>59303.999999999993</v>
      </c>
      <c r="Y66" s="57">
        <f t="shared" si="18"/>
        <v>45600.455384630892</v>
      </c>
      <c r="Z66" s="91">
        <f t="shared" si="19"/>
        <v>5231.5446153691055</v>
      </c>
      <c r="AA66" s="59">
        <f t="shared" si="20"/>
        <v>50832</v>
      </c>
    </row>
    <row r="67" spans="1:27" ht="12.75" customHeight="1">
      <c r="A67" s="187">
        <v>52</v>
      </c>
      <c r="B67" s="50">
        <v>43709</v>
      </c>
      <c r="C67" s="61">
        <f>VLOOKUP(B67,'base(indices)'!$A$4:$C$183,3,FALSE)</f>
        <v>998</v>
      </c>
      <c r="D67" s="159">
        <f>'base(indices)'!G120</f>
        <v>1.15769772</v>
      </c>
      <c r="E67" s="63">
        <f t="shared" si="0"/>
        <v>1155.3823245600001</v>
      </c>
      <c r="F67" s="307">
        <f>'base(indices)'!$I$147</f>
        <v>0.29920000000000002</v>
      </c>
      <c r="G67" s="63">
        <f t="shared" si="1"/>
        <v>345.69039150835209</v>
      </c>
      <c r="H67" s="61">
        <f t="shared" si="2"/>
        <v>1501.0727160683523</v>
      </c>
      <c r="I67" s="312">
        <f t="shared" si="21"/>
        <v>78107.328836031258</v>
      </c>
      <c r="J67" s="119">
        <f t="shared" si="32"/>
        <v>76000.758974384822</v>
      </c>
      <c r="K67" s="108">
        <f t="shared" si="4"/>
        <v>8719.2410256151761</v>
      </c>
      <c r="L67" s="295">
        <f t="shared" si="5"/>
        <v>84720</v>
      </c>
      <c r="M67" s="43">
        <f t="shared" si="6"/>
        <v>72200.721025665582</v>
      </c>
      <c r="N67" s="108">
        <f t="shared" si="7"/>
        <v>8283.2789743344165</v>
      </c>
      <c r="O67" s="46">
        <f t="shared" si="8"/>
        <v>80484</v>
      </c>
      <c r="P67" s="119">
        <f t="shared" si="33"/>
        <v>68400.683076946341</v>
      </c>
      <c r="Q67" s="108">
        <f t="shared" si="10"/>
        <v>7847.3169230536587</v>
      </c>
      <c r="R67" s="46">
        <f t="shared" si="30"/>
        <v>76248</v>
      </c>
      <c r="S67" s="43">
        <f t="shared" si="12"/>
        <v>60800.607179507861</v>
      </c>
      <c r="T67" s="108">
        <f t="shared" si="13"/>
        <v>6975.3928204921413</v>
      </c>
      <c r="U67" s="47">
        <f t="shared" si="14"/>
        <v>67776</v>
      </c>
      <c r="V67" s="45">
        <f t="shared" si="15"/>
        <v>53200.531282069373</v>
      </c>
      <c r="W67" s="108">
        <f t="shared" si="16"/>
        <v>6103.4687179306229</v>
      </c>
      <c r="X67" s="46">
        <f t="shared" si="17"/>
        <v>59303.999999999993</v>
      </c>
      <c r="Y67" s="43">
        <f t="shared" si="18"/>
        <v>45600.455384630892</v>
      </c>
      <c r="Z67" s="108">
        <f t="shared" si="19"/>
        <v>5231.5446153691055</v>
      </c>
      <c r="AA67" s="46">
        <f t="shared" si="20"/>
        <v>50832</v>
      </c>
    </row>
    <row r="68" spans="1:27" ht="12.75" customHeight="1">
      <c r="A68" s="187">
        <v>51</v>
      </c>
      <c r="B68" s="50">
        <v>43739</v>
      </c>
      <c r="C68" s="61">
        <f>VLOOKUP(B68,'base(indices)'!$A$4:$C$183,3,FALSE)</f>
        <v>998</v>
      </c>
      <c r="D68" s="159">
        <f>'base(indices)'!G121</f>
        <v>1.1566567299999999</v>
      </c>
      <c r="E68" s="54">
        <f t="shared" si="0"/>
        <v>1154.3434165399999</v>
      </c>
      <c r="F68" s="307">
        <f>'base(indices)'!$I$147</f>
        <v>0.29920000000000002</v>
      </c>
      <c r="G68" s="54">
        <f t="shared" si="1"/>
        <v>345.37955022876798</v>
      </c>
      <c r="H68" s="51">
        <f t="shared" si="2"/>
        <v>1499.7229667687679</v>
      </c>
      <c r="I68" s="311">
        <f t="shared" si="21"/>
        <v>76606.256119962913</v>
      </c>
      <c r="J68" s="58">
        <f t="shared" si="32"/>
        <v>75856.394636578523</v>
      </c>
      <c r="K68" s="91">
        <f t="shared" si="4"/>
        <v>8719.2410256151761</v>
      </c>
      <c r="L68" s="294">
        <f t="shared" si="5"/>
        <v>84575.635662193701</v>
      </c>
      <c r="M68" s="57">
        <f t="shared" si="6"/>
        <v>72063.574904749592</v>
      </c>
      <c r="N68" s="91">
        <f t="shared" si="7"/>
        <v>8283.2789743344165</v>
      </c>
      <c r="O68" s="59">
        <f t="shared" si="8"/>
        <v>80346.85387908401</v>
      </c>
      <c r="P68" s="58">
        <f t="shared" si="33"/>
        <v>68270.755172920675</v>
      </c>
      <c r="Q68" s="91">
        <f t="shared" si="10"/>
        <v>7847.3169230536587</v>
      </c>
      <c r="R68" s="59">
        <f t="shared" si="30"/>
        <v>76118.072095974334</v>
      </c>
      <c r="S68" s="57">
        <f t="shared" si="12"/>
        <v>60685.11570926282</v>
      </c>
      <c r="T68" s="91">
        <f t="shared" si="13"/>
        <v>6975.3928204921413</v>
      </c>
      <c r="U68" s="60">
        <f t="shared" si="14"/>
        <v>67660.508529754967</v>
      </c>
      <c r="V68" s="58">
        <f t="shared" si="15"/>
        <v>53099.476245604965</v>
      </c>
      <c r="W68" s="91">
        <f t="shared" si="16"/>
        <v>6103.4687179306229</v>
      </c>
      <c r="X68" s="59">
        <f t="shared" si="17"/>
        <v>59202.944963535585</v>
      </c>
      <c r="Y68" s="57">
        <f t="shared" si="18"/>
        <v>45513.83678194711</v>
      </c>
      <c r="Z68" s="91">
        <f t="shared" si="19"/>
        <v>5231.5446153691055</v>
      </c>
      <c r="AA68" s="59">
        <f t="shared" si="20"/>
        <v>50745.381397316218</v>
      </c>
    </row>
    <row r="69" spans="1:27" ht="12.75" customHeight="1">
      <c r="A69" s="187">
        <v>50</v>
      </c>
      <c r="B69" s="50">
        <v>43770</v>
      </c>
      <c r="C69" s="61">
        <f>VLOOKUP(B69,'base(indices)'!$A$4:$C$183,3,FALSE)</f>
        <v>998</v>
      </c>
      <c r="D69" s="159">
        <f>'base(indices)'!G122</f>
        <v>1.1556166800000001</v>
      </c>
      <c r="E69" s="63">
        <f t="shared" si="0"/>
        <v>1153.3054466400001</v>
      </c>
      <c r="F69" s="307">
        <f>'base(indices)'!$I$147</f>
        <v>0.29920000000000002</v>
      </c>
      <c r="G69" s="63">
        <f t="shared" si="1"/>
        <v>345.06898963468808</v>
      </c>
      <c r="H69" s="61">
        <f t="shared" si="2"/>
        <v>1498.3744362746882</v>
      </c>
      <c r="I69" s="312">
        <f t="shared" si="21"/>
        <v>75106.533153194148</v>
      </c>
      <c r="J69" s="119">
        <f t="shared" si="32"/>
        <v>74357.345935056801</v>
      </c>
      <c r="K69" s="108">
        <f t="shared" si="4"/>
        <v>8719.2410256151761</v>
      </c>
      <c r="L69" s="295">
        <f t="shared" si="5"/>
        <v>83076.586960671979</v>
      </c>
      <c r="M69" s="43">
        <f t="shared" si="6"/>
        <v>70639.478638303961</v>
      </c>
      <c r="N69" s="108">
        <f t="shared" si="7"/>
        <v>8283.2789743344165</v>
      </c>
      <c r="O69" s="46">
        <f t="shared" si="8"/>
        <v>78922.757612638379</v>
      </c>
      <c r="P69" s="119">
        <f t="shared" si="33"/>
        <v>66921.611341551121</v>
      </c>
      <c r="Q69" s="108">
        <f t="shared" si="10"/>
        <v>7847.3169230536587</v>
      </c>
      <c r="R69" s="46">
        <f t="shared" si="30"/>
        <v>74768.92826460478</v>
      </c>
      <c r="S69" s="43">
        <f t="shared" si="12"/>
        <v>59485.876748045441</v>
      </c>
      <c r="T69" s="108">
        <f t="shared" si="13"/>
        <v>6975.3928204921413</v>
      </c>
      <c r="U69" s="47">
        <f t="shared" si="14"/>
        <v>66461.26956853758</v>
      </c>
      <c r="V69" s="45">
        <f t="shared" si="15"/>
        <v>52050.142154539761</v>
      </c>
      <c r="W69" s="108">
        <f t="shared" si="16"/>
        <v>6103.4687179306229</v>
      </c>
      <c r="X69" s="46">
        <f t="shared" si="17"/>
        <v>58153.610872470381</v>
      </c>
      <c r="Y69" s="43">
        <f t="shared" si="18"/>
        <v>44614.407561034081</v>
      </c>
      <c r="Z69" s="108">
        <f t="shared" si="19"/>
        <v>5231.5446153691055</v>
      </c>
      <c r="AA69" s="46">
        <f t="shared" si="20"/>
        <v>49845.952176403189</v>
      </c>
    </row>
    <row r="70" spans="1:27" ht="12.75" customHeight="1" thickBot="1">
      <c r="A70" s="188">
        <v>49</v>
      </c>
      <c r="B70" s="247">
        <v>43800</v>
      </c>
      <c r="C70" s="142">
        <f>VLOOKUP(B70,'base(indices)'!$A$4:$C$183,3,FALSE)</f>
        <v>998</v>
      </c>
      <c r="D70" s="274">
        <f>'base(indices)'!G123</f>
        <v>1.15400108</v>
      </c>
      <c r="E70" s="170">
        <f t="shared" si="0"/>
        <v>1151.6930778400001</v>
      </c>
      <c r="F70" s="307">
        <f>'base(indices)'!$I$147</f>
        <v>0.29920000000000002</v>
      </c>
      <c r="G70" s="170">
        <f t="shared" si="1"/>
        <v>344.58656888972808</v>
      </c>
      <c r="H70" s="141">
        <f t="shared" si="2"/>
        <v>1496.2796467297283</v>
      </c>
      <c r="I70" s="369">
        <f t="shared" si="21"/>
        <v>73608.158716919454</v>
      </c>
      <c r="J70" s="175">
        <f t="shared" si="32"/>
        <v>72860.018893554588</v>
      </c>
      <c r="K70" s="86">
        <f t="shared" si="4"/>
        <v>8719.2410256151761</v>
      </c>
      <c r="L70" s="296">
        <f t="shared" si="5"/>
        <v>81579.259919169766</v>
      </c>
      <c r="M70" s="85">
        <f t="shared" si="6"/>
        <v>69217.017948876863</v>
      </c>
      <c r="N70" s="86">
        <f t="shared" si="7"/>
        <v>8283.2789743344165</v>
      </c>
      <c r="O70" s="165">
        <f t="shared" si="8"/>
        <v>77500.296923211281</v>
      </c>
      <c r="P70" s="58">
        <f t="shared" si="33"/>
        <v>65574.017004199137</v>
      </c>
      <c r="Q70" s="91">
        <f t="shared" si="10"/>
        <v>7847.3169230536587</v>
      </c>
      <c r="R70" s="59">
        <f t="shared" si="30"/>
        <v>73421.333927252796</v>
      </c>
      <c r="S70" s="282">
        <f t="shared" si="12"/>
        <v>58288.015114843671</v>
      </c>
      <c r="T70" s="202">
        <f t="shared" si="13"/>
        <v>6975.3928204921413</v>
      </c>
      <c r="U70" s="289">
        <f t="shared" si="14"/>
        <v>65263.40793533581</v>
      </c>
      <c r="V70" s="58">
        <f t="shared" si="15"/>
        <v>51002.013225488212</v>
      </c>
      <c r="W70" s="91">
        <f t="shared" si="16"/>
        <v>6103.4687179306229</v>
      </c>
      <c r="X70" s="59">
        <f t="shared" si="17"/>
        <v>57105.481943418832</v>
      </c>
      <c r="Y70" s="282">
        <f t="shared" si="18"/>
        <v>43716.011336132753</v>
      </c>
      <c r="Z70" s="202">
        <f t="shared" si="19"/>
        <v>5231.5446153691055</v>
      </c>
      <c r="AA70" s="203">
        <f t="shared" si="20"/>
        <v>48947.555951501861</v>
      </c>
    </row>
    <row r="71" spans="1:27" ht="12.75" customHeight="1">
      <c r="A71" s="217">
        <v>48</v>
      </c>
      <c r="B71" s="136">
        <v>43831</v>
      </c>
      <c r="C71" s="120">
        <f>VLOOKUP(B71,'base(indices)'!$A$4:$C$183,3,FALSE)</f>
        <v>1039</v>
      </c>
      <c r="D71" s="270">
        <f>'base(indices)'!G124</f>
        <v>1.1420099699999999</v>
      </c>
      <c r="E71" s="186">
        <f t="shared" si="0"/>
        <v>1186.5483588299999</v>
      </c>
      <c r="F71" s="371">
        <f>'base(indices)'!$I$147</f>
        <v>0.29920000000000002</v>
      </c>
      <c r="G71" s="186">
        <f t="shared" si="1"/>
        <v>355.01526896193599</v>
      </c>
      <c r="H71" s="275">
        <f t="shared" si="2"/>
        <v>1541.5636277919359</v>
      </c>
      <c r="I71" s="310">
        <f t="shared" si="21"/>
        <v>72111.879070189723</v>
      </c>
      <c r="J71" s="418">
        <f t="shared" si="32"/>
        <v>71341.097256293753</v>
      </c>
      <c r="K71" s="156">
        <f t="shared" si="4"/>
        <v>8719.2410256151761</v>
      </c>
      <c r="L71" s="315">
        <f t="shared" si="5"/>
        <v>80060.338281908931</v>
      </c>
      <c r="M71" s="283">
        <f t="shared" si="6"/>
        <v>67774.04239347906</v>
      </c>
      <c r="N71" s="156">
        <f t="shared" si="7"/>
        <v>8283.2789743344165</v>
      </c>
      <c r="O71" s="290">
        <f t="shared" si="8"/>
        <v>76057.321367813478</v>
      </c>
      <c r="P71" s="119">
        <f t="shared" si="33"/>
        <v>64206.987530664381</v>
      </c>
      <c r="Q71" s="108">
        <f t="shared" si="10"/>
        <v>7847.3169230536587</v>
      </c>
      <c r="R71" s="46">
        <f t="shared" si="30"/>
        <v>72054.304453718039</v>
      </c>
      <c r="S71" s="138">
        <f t="shared" si="12"/>
        <v>57072.877805035008</v>
      </c>
      <c r="T71" s="109">
        <f t="shared" si="13"/>
        <v>6975.3928204921413</v>
      </c>
      <c r="U71" s="139">
        <f t="shared" si="14"/>
        <v>64048.270625527148</v>
      </c>
      <c r="V71" s="45">
        <f t="shared" si="15"/>
        <v>49938.768079405621</v>
      </c>
      <c r="W71" s="108">
        <f t="shared" si="16"/>
        <v>6103.4687179306229</v>
      </c>
      <c r="X71" s="46">
        <f t="shared" si="17"/>
        <v>56042.236797336242</v>
      </c>
      <c r="Y71" s="138">
        <f t="shared" si="18"/>
        <v>42804.658353776249</v>
      </c>
      <c r="Z71" s="109">
        <f t="shared" si="19"/>
        <v>5231.5446153691055</v>
      </c>
      <c r="AA71" s="49">
        <f t="shared" si="20"/>
        <v>48036.202969145357</v>
      </c>
    </row>
    <row r="72" spans="1:27" ht="12.75" customHeight="1">
      <c r="A72" s="187">
        <v>47</v>
      </c>
      <c r="B72" s="50">
        <v>43862</v>
      </c>
      <c r="C72" s="61">
        <f>VLOOKUP(B72,'base(indices)'!$A$4:$C$183,3,FALSE)</f>
        <v>1045</v>
      </c>
      <c r="D72" s="159">
        <f>'base(indices)'!G125</f>
        <v>1.1339588599999999</v>
      </c>
      <c r="E72" s="54">
        <f t="shared" si="0"/>
        <v>1184.9870086999999</v>
      </c>
      <c r="F72" s="307">
        <f>'base(indices)'!$I$147</f>
        <v>0.29920000000000002</v>
      </c>
      <c r="G72" s="54">
        <f t="shared" si="1"/>
        <v>354.54811300303999</v>
      </c>
      <c r="H72" s="51">
        <f t="shared" si="2"/>
        <v>1539.53512170304</v>
      </c>
      <c r="I72" s="311">
        <f t="shared" si="21"/>
        <v>70570.315442397783</v>
      </c>
      <c r="J72" s="57">
        <f t="shared" ref="J72:J118" si="34">IF((I72)+K72-(H72/2)&gt;$I$137,$I$137-K72,(I72)-(H72/2))</f>
        <v>69800.54788154627</v>
      </c>
      <c r="K72" s="91">
        <f t="shared" si="4"/>
        <v>8719.2410256151761</v>
      </c>
      <c r="L72" s="294">
        <f t="shared" si="5"/>
        <v>78519.788907161448</v>
      </c>
      <c r="M72" s="57">
        <f t="shared" si="6"/>
        <v>66310.520487468952</v>
      </c>
      <c r="N72" s="91">
        <f t="shared" si="7"/>
        <v>8283.2789743344165</v>
      </c>
      <c r="O72" s="60">
        <f t="shared" si="8"/>
        <v>74593.79946180337</v>
      </c>
      <c r="P72" s="58">
        <f t="shared" si="33"/>
        <v>62820.493093391648</v>
      </c>
      <c r="Q72" s="91">
        <f t="shared" si="10"/>
        <v>7847.3169230536587</v>
      </c>
      <c r="R72" s="59">
        <f t="shared" si="30"/>
        <v>70667.810016445306</v>
      </c>
      <c r="S72" s="57">
        <f t="shared" si="12"/>
        <v>55840.438305237018</v>
      </c>
      <c r="T72" s="91">
        <f t="shared" si="13"/>
        <v>6975.3928204921413</v>
      </c>
      <c r="U72" s="60">
        <f t="shared" si="14"/>
        <v>62815.831125729157</v>
      </c>
      <c r="V72" s="58">
        <f t="shared" si="15"/>
        <v>48860.383517082388</v>
      </c>
      <c r="W72" s="91">
        <f t="shared" si="16"/>
        <v>6103.4687179306229</v>
      </c>
      <c r="X72" s="59">
        <f t="shared" si="17"/>
        <v>54963.852235013008</v>
      </c>
      <c r="Y72" s="57">
        <f t="shared" si="18"/>
        <v>41880.328728927758</v>
      </c>
      <c r="Z72" s="91">
        <f t="shared" si="19"/>
        <v>5231.5446153691055</v>
      </c>
      <c r="AA72" s="59">
        <f t="shared" si="20"/>
        <v>47111.873344296866</v>
      </c>
    </row>
    <row r="73" spans="1:27" ht="12.75" customHeight="1">
      <c r="A73" s="187">
        <v>46</v>
      </c>
      <c r="B73" s="50">
        <v>43891</v>
      </c>
      <c r="C73" s="61">
        <f>VLOOKUP(B73,'base(indices)'!$A$4:$C$183,3,FALSE)</f>
        <v>1045</v>
      </c>
      <c r="D73" s="159">
        <f>'base(indices)'!G126</f>
        <v>1.13146963</v>
      </c>
      <c r="E73" s="54">
        <f t="shared" si="0"/>
        <v>1182.3857633499999</v>
      </c>
      <c r="F73" s="307">
        <f>'base(indices)'!$I$147</f>
        <v>0.29920000000000002</v>
      </c>
      <c r="G73" s="54">
        <f t="shared" si="1"/>
        <v>353.76982039431999</v>
      </c>
      <c r="H73" s="51">
        <f t="shared" si="2"/>
        <v>1536.15558374432</v>
      </c>
      <c r="I73" s="312">
        <f t="shared" si="21"/>
        <v>69030.780320694743</v>
      </c>
      <c r="J73" s="66">
        <f t="shared" si="34"/>
        <v>68262.702528822585</v>
      </c>
      <c r="K73" s="108">
        <f t="shared" si="4"/>
        <v>8719.2410256151761</v>
      </c>
      <c r="L73" s="295">
        <f t="shared" si="5"/>
        <v>76981.943554437763</v>
      </c>
      <c r="M73" s="43">
        <f t="shared" si="6"/>
        <v>64849.56740238145</v>
      </c>
      <c r="N73" s="108">
        <f t="shared" si="7"/>
        <v>8283.2789743344165</v>
      </c>
      <c r="O73" s="47">
        <f t="shared" si="8"/>
        <v>73132.846376715868</v>
      </c>
      <c r="P73" s="119">
        <f t="shared" si="33"/>
        <v>61436.432275940329</v>
      </c>
      <c r="Q73" s="108">
        <f t="shared" si="10"/>
        <v>7847.3169230536587</v>
      </c>
      <c r="R73" s="46">
        <f t="shared" si="30"/>
        <v>69283.749198993988</v>
      </c>
      <c r="S73" s="43">
        <f t="shared" si="12"/>
        <v>54610.162023058074</v>
      </c>
      <c r="T73" s="108">
        <f t="shared" si="13"/>
        <v>6975.3928204921413</v>
      </c>
      <c r="U73" s="47">
        <f t="shared" si="14"/>
        <v>61585.554843550213</v>
      </c>
      <c r="V73" s="45">
        <f t="shared" si="15"/>
        <v>47783.891770175804</v>
      </c>
      <c r="W73" s="108">
        <f t="shared" si="16"/>
        <v>6103.4687179306229</v>
      </c>
      <c r="X73" s="46">
        <f t="shared" si="17"/>
        <v>53887.360488106424</v>
      </c>
      <c r="Y73" s="43">
        <f t="shared" si="18"/>
        <v>40957.621517293548</v>
      </c>
      <c r="Z73" s="108">
        <f t="shared" si="19"/>
        <v>5231.5446153691055</v>
      </c>
      <c r="AA73" s="46">
        <f t="shared" si="20"/>
        <v>46189.166132662656</v>
      </c>
    </row>
    <row r="74" spans="1:27" ht="12.75" customHeight="1">
      <c r="A74" s="187">
        <v>45</v>
      </c>
      <c r="B74" s="50">
        <v>43922</v>
      </c>
      <c r="C74" s="61">
        <f>VLOOKUP(B74,'base(indices)'!$A$4:$C$183,3,FALSE)</f>
        <v>1045</v>
      </c>
      <c r="D74" s="159">
        <f>'base(indices)'!G127</f>
        <v>1.1312433799999999</v>
      </c>
      <c r="E74" s="54">
        <f t="shared" si="0"/>
        <v>1182.1493320999998</v>
      </c>
      <c r="F74" s="307">
        <f>'base(indices)'!$I$147</f>
        <v>0.29920000000000002</v>
      </c>
      <c r="G74" s="54">
        <f t="shared" si="1"/>
        <v>353.69908016431998</v>
      </c>
      <c r="H74" s="51">
        <f t="shared" si="2"/>
        <v>1535.8484122643199</v>
      </c>
      <c r="I74" s="311">
        <f t="shared" si="21"/>
        <v>67494.624736950427</v>
      </c>
      <c r="J74" s="57">
        <f t="shared" si="34"/>
        <v>66726.700530818271</v>
      </c>
      <c r="K74" s="91">
        <f t="shared" si="4"/>
        <v>8719.2410256151761</v>
      </c>
      <c r="L74" s="294">
        <f t="shared" si="5"/>
        <v>75445.941556433449</v>
      </c>
      <c r="M74" s="57">
        <f t="shared" si="6"/>
        <v>63390.365504277353</v>
      </c>
      <c r="N74" s="91">
        <f t="shared" si="7"/>
        <v>8283.2789743344165</v>
      </c>
      <c r="O74" s="60">
        <f t="shared" si="8"/>
        <v>71673.644478611764</v>
      </c>
      <c r="P74" s="58">
        <f t="shared" si="33"/>
        <v>60054.030477736444</v>
      </c>
      <c r="Q74" s="91">
        <f t="shared" si="10"/>
        <v>7847.3169230536587</v>
      </c>
      <c r="R74" s="59">
        <f t="shared" si="30"/>
        <v>67901.34740079011</v>
      </c>
      <c r="S74" s="57">
        <f t="shared" si="12"/>
        <v>53381.360424654617</v>
      </c>
      <c r="T74" s="91">
        <f t="shared" si="13"/>
        <v>6975.3928204921413</v>
      </c>
      <c r="U74" s="60">
        <f t="shared" si="14"/>
        <v>60356.753245146756</v>
      </c>
      <c r="V74" s="58">
        <f t="shared" si="15"/>
        <v>46708.690371572789</v>
      </c>
      <c r="W74" s="91">
        <f t="shared" si="16"/>
        <v>6103.4687179306229</v>
      </c>
      <c r="X74" s="59">
        <f t="shared" si="17"/>
        <v>52812.15908950341</v>
      </c>
      <c r="Y74" s="57">
        <f t="shared" si="18"/>
        <v>40036.020318490962</v>
      </c>
      <c r="Z74" s="91">
        <f t="shared" si="19"/>
        <v>5231.5446153691055</v>
      </c>
      <c r="AA74" s="59">
        <f t="shared" si="20"/>
        <v>45267.564933860071</v>
      </c>
    </row>
    <row r="75" spans="1:27" ht="12.75" customHeight="1">
      <c r="A75" s="187">
        <v>44</v>
      </c>
      <c r="B75" s="50">
        <v>43952</v>
      </c>
      <c r="C75" s="61">
        <f>VLOOKUP(B75,'base(indices)'!$A$4:$C$183,3,FALSE)</f>
        <v>1045</v>
      </c>
      <c r="D75" s="159">
        <f>'base(indices)'!G128</f>
        <v>1.13135652</v>
      </c>
      <c r="E75" s="54">
        <f t="shared" ref="E75:E106" si="35">C75*D75</f>
        <v>1182.2675634</v>
      </c>
      <c r="F75" s="307">
        <f>'base(indices)'!$I$147</f>
        <v>0.29920000000000002</v>
      </c>
      <c r="G75" s="54">
        <f t="shared" ref="G75:G106" si="36">E75*F75</f>
        <v>353.73445496928002</v>
      </c>
      <c r="H75" s="51">
        <f t="shared" ref="H75:H106" si="37">E75+G75</f>
        <v>1536.00201836928</v>
      </c>
      <c r="I75" s="312">
        <f t="shared" si="21"/>
        <v>65958.776324686114</v>
      </c>
      <c r="J75" s="66">
        <f t="shared" si="34"/>
        <v>65190.775315501473</v>
      </c>
      <c r="K75" s="108">
        <f t="shared" ref="K75:K106" si="38">I$136</f>
        <v>8719.2410256151761</v>
      </c>
      <c r="L75" s="295">
        <f t="shared" ref="L75:L93" si="39">J75+K75</f>
        <v>73910.016341116643</v>
      </c>
      <c r="M75" s="43">
        <f t="shared" ref="M75:M93" si="40">J75*M$9</f>
        <v>61931.236549726396</v>
      </c>
      <c r="N75" s="108">
        <f t="shared" ref="N75:N93" si="41">K75*M$9</f>
        <v>8283.2789743344165</v>
      </c>
      <c r="O75" s="47">
        <f t="shared" ref="O75:O93" si="42">M75+N75</f>
        <v>70214.515524060815</v>
      </c>
      <c r="P75" s="119">
        <f t="shared" si="33"/>
        <v>58671.697783951327</v>
      </c>
      <c r="Q75" s="108">
        <f t="shared" ref="Q75:Q93" si="43">K75*P$9</f>
        <v>7847.3169230536587</v>
      </c>
      <c r="R75" s="46">
        <f t="shared" si="30"/>
        <v>66519.014707004986</v>
      </c>
      <c r="S75" s="43">
        <f t="shared" ref="S75:S93" si="44">J75*S$9</f>
        <v>52152.620252401182</v>
      </c>
      <c r="T75" s="108">
        <f t="shared" ref="T75:T93" si="45">K75*S$9</f>
        <v>6975.3928204921413</v>
      </c>
      <c r="U75" s="47">
        <f t="shared" ref="U75:U93" si="46">S75+T75</f>
        <v>59128.013072893322</v>
      </c>
      <c r="V75" s="45">
        <f t="shared" ref="V75:V93" si="47">J75*V$9</f>
        <v>45633.54272085103</v>
      </c>
      <c r="W75" s="108">
        <f t="shared" ref="W75:W93" si="48">K75*V$9</f>
        <v>6103.4687179306229</v>
      </c>
      <c r="X75" s="46">
        <f t="shared" ref="X75:X93" si="49">V75+W75</f>
        <v>51737.01143878165</v>
      </c>
      <c r="Y75" s="43">
        <f t="shared" ref="Y75:Y106" si="50">J75*Y$9</f>
        <v>39114.465189300885</v>
      </c>
      <c r="Z75" s="108">
        <f t="shared" ref="Z75:Z106" si="51">K75*Y$9</f>
        <v>5231.5446153691055</v>
      </c>
      <c r="AA75" s="46">
        <f t="shared" ref="AA75:AA106" si="52">Y75+Z75</f>
        <v>44346.009804669993</v>
      </c>
    </row>
    <row r="76" spans="1:27" ht="12.75" customHeight="1">
      <c r="A76" s="187">
        <v>43</v>
      </c>
      <c r="B76" s="50">
        <v>43983</v>
      </c>
      <c r="C76" s="61">
        <f>VLOOKUP(B76,'base(indices)'!$A$4:$C$183,3,FALSE)</f>
        <v>1045</v>
      </c>
      <c r="D76" s="159">
        <f>'base(indices)'!G129</f>
        <v>1.1380711400000001</v>
      </c>
      <c r="E76" s="54">
        <f t="shared" si="35"/>
        <v>1189.2843413000001</v>
      </c>
      <c r="F76" s="307">
        <f>'base(indices)'!$I$147</f>
        <v>0.29920000000000002</v>
      </c>
      <c r="G76" s="54">
        <f t="shared" si="36"/>
        <v>355.83387491696004</v>
      </c>
      <c r="H76" s="51">
        <f t="shared" si="37"/>
        <v>1545.11821621696</v>
      </c>
      <c r="I76" s="311">
        <f t="shared" ref="I76:I93" si="53">I75-H75</f>
        <v>64422.774306316831</v>
      </c>
      <c r="J76" s="57">
        <f t="shared" si="34"/>
        <v>63650.215198208352</v>
      </c>
      <c r="K76" s="91">
        <f t="shared" si="38"/>
        <v>8719.2410256151761</v>
      </c>
      <c r="L76" s="294">
        <f t="shared" si="39"/>
        <v>72369.456223823523</v>
      </c>
      <c r="M76" s="57">
        <f t="shared" si="40"/>
        <v>60467.704438297929</v>
      </c>
      <c r="N76" s="91">
        <f t="shared" si="41"/>
        <v>8283.2789743344165</v>
      </c>
      <c r="O76" s="60">
        <f t="shared" si="42"/>
        <v>68750.98341263234</v>
      </c>
      <c r="P76" s="58">
        <f>J76*$P$9</f>
        <v>57285.193678387521</v>
      </c>
      <c r="Q76" s="91">
        <f t="shared" si="43"/>
        <v>7847.3169230536587</v>
      </c>
      <c r="R76" s="59">
        <f t="shared" si="30"/>
        <v>65132.510601441179</v>
      </c>
      <c r="S76" s="57">
        <f t="shared" si="44"/>
        <v>50920.172158566682</v>
      </c>
      <c r="T76" s="91">
        <f t="shared" si="45"/>
        <v>6975.3928204921413</v>
      </c>
      <c r="U76" s="60">
        <f t="shared" si="46"/>
        <v>57895.564979058821</v>
      </c>
      <c r="V76" s="58">
        <f t="shared" si="47"/>
        <v>44555.150638745843</v>
      </c>
      <c r="W76" s="91">
        <f t="shared" si="48"/>
        <v>6103.4687179306229</v>
      </c>
      <c r="X76" s="59">
        <f t="shared" si="49"/>
        <v>50658.619356676463</v>
      </c>
      <c r="Y76" s="57">
        <f t="shared" si="50"/>
        <v>38190.129118925011</v>
      </c>
      <c r="Z76" s="91">
        <f t="shared" si="51"/>
        <v>5231.5446153691055</v>
      </c>
      <c r="AA76" s="59">
        <f t="shared" si="52"/>
        <v>43421.67373429412</v>
      </c>
    </row>
    <row r="77" spans="1:27" ht="12.75" customHeight="1">
      <c r="A77" s="187">
        <v>42</v>
      </c>
      <c r="B77" s="50">
        <v>44013</v>
      </c>
      <c r="C77" s="61">
        <f>VLOOKUP(B77,'base(indices)'!$A$4:$C$183,3,FALSE)</f>
        <v>1045</v>
      </c>
      <c r="D77" s="159">
        <f>'base(indices)'!G130</f>
        <v>1.13784357</v>
      </c>
      <c r="E77" s="54">
        <f t="shared" si="35"/>
        <v>1189.04653065</v>
      </c>
      <c r="F77" s="307">
        <f>'base(indices)'!$I$147</f>
        <v>0.29920000000000002</v>
      </c>
      <c r="G77" s="54">
        <f t="shared" si="36"/>
        <v>355.76272197048002</v>
      </c>
      <c r="H77" s="51">
        <f t="shared" si="37"/>
        <v>1544.80925262048</v>
      </c>
      <c r="I77" s="312">
        <f t="shared" si="53"/>
        <v>62877.656090099874</v>
      </c>
      <c r="J77" s="66">
        <f t="shared" si="34"/>
        <v>62105.251463789631</v>
      </c>
      <c r="K77" s="108">
        <f t="shared" si="38"/>
        <v>8719.2410256151761</v>
      </c>
      <c r="L77" s="295">
        <f t="shared" si="39"/>
        <v>70824.492489404802</v>
      </c>
      <c r="M77" s="43">
        <f t="shared" si="40"/>
        <v>58999.988890600143</v>
      </c>
      <c r="N77" s="108">
        <f t="shared" si="41"/>
        <v>8283.2789743344165</v>
      </c>
      <c r="O77" s="47">
        <f t="shared" si="42"/>
        <v>67283.267864934562</v>
      </c>
      <c r="P77" s="119">
        <f>J77*$P$9</f>
        <v>55894.72631741067</v>
      </c>
      <c r="Q77" s="108">
        <f t="shared" si="43"/>
        <v>7847.3169230536587</v>
      </c>
      <c r="R77" s="46">
        <f t="shared" si="30"/>
        <v>63742.043240464329</v>
      </c>
      <c r="S77" s="43">
        <f t="shared" si="44"/>
        <v>49684.201171031709</v>
      </c>
      <c r="T77" s="108">
        <f t="shared" si="45"/>
        <v>6975.3928204921413</v>
      </c>
      <c r="U77" s="47">
        <f t="shared" si="46"/>
        <v>56659.593991523849</v>
      </c>
      <c r="V77" s="45">
        <f t="shared" si="47"/>
        <v>43473.676024652741</v>
      </c>
      <c r="W77" s="108">
        <f t="shared" si="48"/>
        <v>6103.4687179306229</v>
      </c>
      <c r="X77" s="46">
        <f t="shared" si="49"/>
        <v>49577.144742583361</v>
      </c>
      <c r="Y77" s="43">
        <f t="shared" si="50"/>
        <v>37263.15087827378</v>
      </c>
      <c r="Z77" s="108">
        <f t="shared" si="51"/>
        <v>5231.5446153691055</v>
      </c>
      <c r="AA77" s="46">
        <f t="shared" si="52"/>
        <v>42494.695493642888</v>
      </c>
    </row>
    <row r="78" spans="1:27" ht="12.75" customHeight="1">
      <c r="A78" s="187">
        <v>41</v>
      </c>
      <c r="B78" s="50">
        <v>44044</v>
      </c>
      <c r="C78" s="61">
        <f>VLOOKUP(B78,'base(indices)'!$A$4:$C$183,3,FALSE)</f>
        <v>1045</v>
      </c>
      <c r="D78" s="159">
        <f>'base(indices)'!G131</f>
        <v>1.1344402499999999</v>
      </c>
      <c r="E78" s="54">
        <f t="shared" si="35"/>
        <v>1185.4900612499998</v>
      </c>
      <c r="F78" s="307">
        <f>'base(indices)'!$I$147</f>
        <v>0.29920000000000002</v>
      </c>
      <c r="G78" s="54">
        <f t="shared" si="36"/>
        <v>354.69862632599995</v>
      </c>
      <c r="H78" s="51">
        <f t="shared" si="37"/>
        <v>1540.1886875759997</v>
      </c>
      <c r="I78" s="311">
        <f t="shared" si="53"/>
        <v>61332.846837479396</v>
      </c>
      <c r="J78" s="57">
        <f t="shared" si="34"/>
        <v>60562.752493691398</v>
      </c>
      <c r="K78" s="91">
        <f t="shared" si="38"/>
        <v>8719.2410256151761</v>
      </c>
      <c r="L78" s="294">
        <f t="shared" si="39"/>
        <v>69281.993519306576</v>
      </c>
      <c r="M78" s="57">
        <f t="shared" si="40"/>
        <v>57534.614869006822</v>
      </c>
      <c r="N78" s="91">
        <f t="shared" si="41"/>
        <v>8283.2789743344165</v>
      </c>
      <c r="O78" s="60">
        <f t="shared" si="42"/>
        <v>65817.89384334124</v>
      </c>
      <c r="P78" s="58">
        <f t="shared" ref="P78:P82" si="54">J78*$P$9</f>
        <v>54506.477244322261</v>
      </c>
      <c r="Q78" s="91">
        <f t="shared" si="43"/>
        <v>7847.3169230536587</v>
      </c>
      <c r="R78" s="59">
        <f t="shared" si="30"/>
        <v>62353.79416737592</v>
      </c>
      <c r="S78" s="57">
        <f t="shared" si="44"/>
        <v>48450.201994953124</v>
      </c>
      <c r="T78" s="91">
        <f t="shared" si="45"/>
        <v>6975.3928204921413</v>
      </c>
      <c r="U78" s="60">
        <f t="shared" si="46"/>
        <v>55425.594815445264</v>
      </c>
      <c r="V78" s="58">
        <f t="shared" si="47"/>
        <v>42393.926745583973</v>
      </c>
      <c r="W78" s="91">
        <f t="shared" si="48"/>
        <v>6103.4687179306229</v>
      </c>
      <c r="X78" s="59">
        <f t="shared" si="49"/>
        <v>48497.395463514593</v>
      </c>
      <c r="Y78" s="57">
        <f t="shared" si="50"/>
        <v>36337.651496214836</v>
      </c>
      <c r="Z78" s="91">
        <f t="shared" si="51"/>
        <v>5231.5446153691055</v>
      </c>
      <c r="AA78" s="59">
        <f t="shared" si="52"/>
        <v>41569.196111583944</v>
      </c>
    </row>
    <row r="79" spans="1:27" ht="12.75" customHeight="1">
      <c r="A79" s="187">
        <v>40</v>
      </c>
      <c r="B79" s="50">
        <v>44075</v>
      </c>
      <c r="C79" s="61">
        <f>VLOOKUP(B79,'base(indices)'!$A$4:$C$183,3,FALSE)</f>
        <v>1045</v>
      </c>
      <c r="D79" s="159">
        <f>'base(indices)'!G132</f>
        <v>1.1318370200000001</v>
      </c>
      <c r="E79" s="54">
        <f t="shared" si="35"/>
        <v>1182.7696859</v>
      </c>
      <c r="F79" s="307">
        <f>'base(indices)'!$I$147</f>
        <v>0.29920000000000002</v>
      </c>
      <c r="G79" s="54">
        <f t="shared" si="36"/>
        <v>353.88469002128005</v>
      </c>
      <c r="H79" s="51">
        <f t="shared" si="37"/>
        <v>1536.65437592128</v>
      </c>
      <c r="I79" s="312">
        <f t="shared" si="53"/>
        <v>59792.658149903393</v>
      </c>
      <c r="J79" s="66">
        <f t="shared" si="34"/>
        <v>59024.330961942753</v>
      </c>
      <c r="K79" s="108">
        <f t="shared" si="38"/>
        <v>8719.2410256151761</v>
      </c>
      <c r="L79" s="295">
        <f t="shared" si="39"/>
        <v>67743.571987557923</v>
      </c>
      <c r="M79" s="43">
        <f t="shared" si="40"/>
        <v>56073.114413845615</v>
      </c>
      <c r="N79" s="108">
        <f t="shared" si="41"/>
        <v>8283.2789743344165</v>
      </c>
      <c r="O79" s="47">
        <f t="shared" si="42"/>
        <v>64356.393388180033</v>
      </c>
      <c r="P79" s="119">
        <f t="shared" si="54"/>
        <v>53121.897865748477</v>
      </c>
      <c r="Q79" s="108">
        <f t="shared" si="43"/>
        <v>7847.3169230536587</v>
      </c>
      <c r="R79" s="46">
        <f t="shared" si="30"/>
        <v>60969.214788802135</v>
      </c>
      <c r="S79" s="43">
        <f t="shared" si="44"/>
        <v>47219.464769554208</v>
      </c>
      <c r="T79" s="108">
        <f t="shared" si="45"/>
        <v>6975.3928204921413</v>
      </c>
      <c r="U79" s="47">
        <f t="shared" si="46"/>
        <v>54194.857590046347</v>
      </c>
      <c r="V79" s="45">
        <f t="shared" si="47"/>
        <v>41317.031673359925</v>
      </c>
      <c r="W79" s="108">
        <f t="shared" si="48"/>
        <v>6103.4687179306229</v>
      </c>
      <c r="X79" s="46">
        <f t="shared" si="49"/>
        <v>47420.500391290545</v>
      </c>
      <c r="Y79" s="43">
        <f t="shared" si="50"/>
        <v>35414.598577165649</v>
      </c>
      <c r="Z79" s="108">
        <f t="shared" si="51"/>
        <v>5231.5446153691055</v>
      </c>
      <c r="AA79" s="46">
        <f t="shared" si="52"/>
        <v>40646.143192534757</v>
      </c>
    </row>
    <row r="80" spans="1:27" ht="12.75" customHeight="1">
      <c r="A80" s="187">
        <v>39</v>
      </c>
      <c r="B80" s="50">
        <v>44105</v>
      </c>
      <c r="C80" s="61">
        <f>VLOOKUP(B80,'base(indices)'!$A$4:$C$183,3,FALSE)</f>
        <v>1045</v>
      </c>
      <c r="D80" s="159">
        <f>'base(indices)'!G133</f>
        <v>1.12676657</v>
      </c>
      <c r="E80" s="54">
        <f t="shared" si="35"/>
        <v>1177.4710656500001</v>
      </c>
      <c r="F80" s="307">
        <f>'base(indices)'!$I$147</f>
        <v>0.29920000000000002</v>
      </c>
      <c r="G80" s="54">
        <f t="shared" si="36"/>
        <v>352.29934284248009</v>
      </c>
      <c r="H80" s="51">
        <f t="shared" si="37"/>
        <v>1529.7704084924803</v>
      </c>
      <c r="I80" s="311">
        <f t="shared" si="53"/>
        <v>58256.003773982113</v>
      </c>
      <c r="J80" s="57">
        <f t="shared" si="34"/>
        <v>57491.118569735874</v>
      </c>
      <c r="K80" s="91">
        <f t="shared" si="38"/>
        <v>8719.2410256151761</v>
      </c>
      <c r="L80" s="294">
        <f t="shared" si="39"/>
        <v>66210.359595351052</v>
      </c>
      <c r="M80" s="57">
        <f t="shared" si="40"/>
        <v>54616.562641249075</v>
      </c>
      <c r="N80" s="91">
        <f t="shared" si="41"/>
        <v>8283.2789743344165</v>
      </c>
      <c r="O80" s="60">
        <f t="shared" si="42"/>
        <v>62899.841615583493</v>
      </c>
      <c r="P80" s="58">
        <f t="shared" si="54"/>
        <v>51742.00671276229</v>
      </c>
      <c r="Q80" s="91">
        <f t="shared" si="43"/>
        <v>7847.3169230536587</v>
      </c>
      <c r="R80" s="59">
        <f t="shared" si="30"/>
        <v>59589.323635815948</v>
      </c>
      <c r="S80" s="57">
        <f t="shared" si="44"/>
        <v>45992.894855788705</v>
      </c>
      <c r="T80" s="91">
        <f t="shared" si="45"/>
        <v>6975.3928204921413</v>
      </c>
      <c r="U80" s="60">
        <f t="shared" si="46"/>
        <v>52968.287676280845</v>
      </c>
      <c r="V80" s="58">
        <f t="shared" si="47"/>
        <v>40243.782998815106</v>
      </c>
      <c r="W80" s="91">
        <f t="shared" si="48"/>
        <v>6103.4687179306229</v>
      </c>
      <c r="X80" s="59">
        <f t="shared" si="49"/>
        <v>46347.251716745726</v>
      </c>
      <c r="Y80" s="57">
        <f t="shared" si="50"/>
        <v>34494.671141841522</v>
      </c>
      <c r="Z80" s="91">
        <f t="shared" si="51"/>
        <v>5231.5446153691055</v>
      </c>
      <c r="AA80" s="59">
        <f t="shared" si="52"/>
        <v>39726.21575721063</v>
      </c>
    </row>
    <row r="81" spans="1:27" ht="12.75" customHeight="1">
      <c r="A81" s="187">
        <v>38</v>
      </c>
      <c r="B81" s="50">
        <v>44136</v>
      </c>
      <c r="C81" s="61">
        <f>VLOOKUP(B81,'base(indices)'!$A$4:$C$183,3,FALSE)</f>
        <v>1045</v>
      </c>
      <c r="D81" s="159">
        <f>'base(indices)'!G134</f>
        <v>1.1162736</v>
      </c>
      <c r="E81" s="54">
        <f t="shared" si="35"/>
        <v>1166.5059120000001</v>
      </c>
      <c r="F81" s="307">
        <f>'base(indices)'!$I$147</f>
        <v>0.29920000000000002</v>
      </c>
      <c r="G81" s="54">
        <f t="shared" si="36"/>
        <v>349.01856887040003</v>
      </c>
      <c r="H81" s="51">
        <f t="shared" si="37"/>
        <v>1515.5244808704001</v>
      </c>
      <c r="I81" s="312">
        <f t="shared" si="53"/>
        <v>56726.233365489636</v>
      </c>
      <c r="J81" s="66">
        <f t="shared" si="34"/>
        <v>55968.471125054435</v>
      </c>
      <c r="K81" s="108">
        <f t="shared" si="38"/>
        <v>8719.2410256151761</v>
      </c>
      <c r="L81" s="295">
        <f t="shared" si="39"/>
        <v>64687.712150669613</v>
      </c>
      <c r="M81" s="43">
        <f t="shared" si="40"/>
        <v>53170.04756880171</v>
      </c>
      <c r="N81" s="108">
        <f t="shared" si="41"/>
        <v>8283.2789743344165</v>
      </c>
      <c r="O81" s="47">
        <f t="shared" si="42"/>
        <v>61453.326543136129</v>
      </c>
      <c r="P81" s="119">
        <f t="shared" si="54"/>
        <v>50371.624012548993</v>
      </c>
      <c r="Q81" s="108">
        <f t="shared" si="43"/>
        <v>7847.3169230536587</v>
      </c>
      <c r="R81" s="46">
        <f t="shared" si="30"/>
        <v>58218.940935602652</v>
      </c>
      <c r="S81" s="43">
        <f t="shared" si="44"/>
        <v>44774.776900043551</v>
      </c>
      <c r="T81" s="108">
        <f t="shared" si="45"/>
        <v>6975.3928204921413</v>
      </c>
      <c r="U81" s="47">
        <f t="shared" si="46"/>
        <v>51750.16972053569</v>
      </c>
      <c r="V81" s="45">
        <f t="shared" si="47"/>
        <v>39177.929787538102</v>
      </c>
      <c r="W81" s="108">
        <f t="shared" si="48"/>
        <v>6103.4687179306229</v>
      </c>
      <c r="X81" s="46">
        <f t="shared" si="49"/>
        <v>45281.398505468722</v>
      </c>
      <c r="Y81" s="43">
        <f t="shared" si="50"/>
        <v>33581.08267503266</v>
      </c>
      <c r="Z81" s="108">
        <f t="shared" si="51"/>
        <v>5231.5446153691055</v>
      </c>
      <c r="AA81" s="46">
        <f t="shared" si="52"/>
        <v>38812.627290401768</v>
      </c>
    </row>
    <row r="82" spans="1:27" ht="12.75" customHeight="1" thickBot="1">
      <c r="A82" s="188">
        <v>37</v>
      </c>
      <c r="B82" s="68">
        <v>44166</v>
      </c>
      <c r="C82" s="69">
        <f>VLOOKUP(B82,'base(indices)'!$A$4:$C$183,3,FALSE)</f>
        <v>1045</v>
      </c>
      <c r="D82" s="272">
        <f>'base(indices)'!G135</f>
        <v>1.1073044400000001</v>
      </c>
      <c r="E82" s="163">
        <f t="shared" si="35"/>
        <v>1157.1331398</v>
      </c>
      <c r="F82" s="304">
        <f>'base(indices)'!$I$147</f>
        <v>0.29920000000000002</v>
      </c>
      <c r="G82" s="163">
        <f t="shared" si="36"/>
        <v>346.21423542816001</v>
      </c>
      <c r="H82" s="162">
        <f t="shared" si="37"/>
        <v>1503.34737522816</v>
      </c>
      <c r="I82" s="313">
        <f t="shared" si="53"/>
        <v>55210.708884619235</v>
      </c>
      <c r="J82" s="57">
        <f t="shared" si="34"/>
        <v>54459.035197005156</v>
      </c>
      <c r="K82" s="202">
        <f t="shared" si="38"/>
        <v>8719.2410256151761</v>
      </c>
      <c r="L82" s="314">
        <f t="shared" si="39"/>
        <v>63178.276222620334</v>
      </c>
      <c r="M82" s="282">
        <f t="shared" si="40"/>
        <v>51736.083437154899</v>
      </c>
      <c r="N82" s="202">
        <f t="shared" si="41"/>
        <v>8283.2789743344165</v>
      </c>
      <c r="O82" s="289">
        <f t="shared" si="42"/>
        <v>60019.362411489317</v>
      </c>
      <c r="P82" s="58">
        <f t="shared" si="54"/>
        <v>49013.131677304642</v>
      </c>
      <c r="Q82" s="91">
        <f t="shared" si="43"/>
        <v>7847.3169230536587</v>
      </c>
      <c r="R82" s="59">
        <f t="shared" si="30"/>
        <v>56860.448600358301</v>
      </c>
      <c r="S82" s="85">
        <f t="shared" si="44"/>
        <v>43567.228157604128</v>
      </c>
      <c r="T82" s="86">
        <f t="shared" si="45"/>
        <v>6975.3928204921413</v>
      </c>
      <c r="U82" s="107">
        <f t="shared" si="46"/>
        <v>50542.620978096267</v>
      </c>
      <c r="V82" s="58">
        <f t="shared" si="47"/>
        <v>38121.324637903606</v>
      </c>
      <c r="W82" s="91">
        <f t="shared" si="48"/>
        <v>6103.4687179306229</v>
      </c>
      <c r="X82" s="59">
        <f t="shared" si="49"/>
        <v>44224.793355834227</v>
      </c>
      <c r="Y82" s="85">
        <f t="shared" si="50"/>
        <v>32675.421118203092</v>
      </c>
      <c r="Z82" s="86">
        <f t="shared" si="51"/>
        <v>5231.5446153691055</v>
      </c>
      <c r="AA82" s="165">
        <f t="shared" si="52"/>
        <v>37906.9657335722</v>
      </c>
    </row>
    <row r="83" spans="1:27" ht="13.5" customHeight="1">
      <c r="A83" s="217">
        <v>36</v>
      </c>
      <c r="B83" s="246">
        <v>44197</v>
      </c>
      <c r="C83" s="273">
        <f>VLOOKUP(B83,'base(indices)'!$A$4:$C$183,3,FALSE)</f>
        <v>1100</v>
      </c>
      <c r="D83" s="176">
        <f>'base(indices)'!G136</f>
        <v>1.09569012</v>
      </c>
      <c r="E83" s="154">
        <f t="shared" si="35"/>
        <v>1205.2591319999999</v>
      </c>
      <c r="F83" s="264">
        <f>'base(indices)'!$I$147</f>
        <v>0.29920000000000002</v>
      </c>
      <c r="G83" s="154">
        <f t="shared" si="36"/>
        <v>360.61353229439999</v>
      </c>
      <c r="H83" s="155">
        <f t="shared" si="37"/>
        <v>1565.8726642943998</v>
      </c>
      <c r="I83" s="370">
        <f t="shared" si="53"/>
        <v>53707.361509391078</v>
      </c>
      <c r="J83" s="385">
        <f t="shared" si="34"/>
        <v>52924.42517724388</v>
      </c>
      <c r="K83" s="109">
        <f t="shared" si="38"/>
        <v>8719.2410256151761</v>
      </c>
      <c r="L83" s="293">
        <f t="shared" si="39"/>
        <v>61643.666202859058</v>
      </c>
      <c r="M83" s="138">
        <f t="shared" si="40"/>
        <v>50278.203918381681</v>
      </c>
      <c r="N83" s="109">
        <f t="shared" si="41"/>
        <v>8283.2789743344165</v>
      </c>
      <c r="O83" s="49">
        <f t="shared" si="42"/>
        <v>58561.4828927161</v>
      </c>
      <c r="P83" s="119">
        <f t="shared" si="33"/>
        <v>47631.98265951949</v>
      </c>
      <c r="Q83" s="108">
        <f t="shared" si="43"/>
        <v>7847.3169230536587</v>
      </c>
      <c r="R83" s="46">
        <f t="shared" si="30"/>
        <v>55479.299582573149</v>
      </c>
      <c r="S83" s="283">
        <f t="shared" si="44"/>
        <v>42339.540141795107</v>
      </c>
      <c r="T83" s="156">
        <f t="shared" si="45"/>
        <v>6975.3928204921413</v>
      </c>
      <c r="U83" s="290">
        <f t="shared" si="46"/>
        <v>49314.932962287246</v>
      </c>
      <c r="V83" s="45">
        <f t="shared" si="47"/>
        <v>37047.097624070717</v>
      </c>
      <c r="W83" s="108">
        <f t="shared" si="48"/>
        <v>6103.4687179306229</v>
      </c>
      <c r="X83" s="46">
        <f t="shared" si="49"/>
        <v>43150.566342001337</v>
      </c>
      <c r="Y83" s="283">
        <f t="shared" si="50"/>
        <v>31754.655106346327</v>
      </c>
      <c r="Z83" s="156">
        <f t="shared" si="51"/>
        <v>5231.5446153691055</v>
      </c>
      <c r="AA83" s="150">
        <f t="shared" si="52"/>
        <v>36986.199721715435</v>
      </c>
    </row>
    <row r="84" spans="1:27" ht="13.5" customHeight="1">
      <c r="A84" s="187">
        <v>35</v>
      </c>
      <c r="B84" s="50">
        <v>44228</v>
      </c>
      <c r="C84" s="61">
        <f>VLOOKUP(B84,'base(indices)'!$A$4:$C$183,3,FALSE)</f>
        <v>1100</v>
      </c>
      <c r="D84" s="159">
        <f>'base(indices)'!G137</f>
        <v>1.0872098800000001</v>
      </c>
      <c r="E84" s="54">
        <f t="shared" si="35"/>
        <v>1195.9308680000001</v>
      </c>
      <c r="F84" s="307">
        <f>'base(indices)'!$I$147</f>
        <v>0.29920000000000002</v>
      </c>
      <c r="G84" s="54">
        <f t="shared" si="36"/>
        <v>357.8225157056001</v>
      </c>
      <c r="H84" s="51">
        <f t="shared" si="37"/>
        <v>1553.7533837056003</v>
      </c>
      <c r="I84" s="311">
        <f t="shared" si="53"/>
        <v>52141.488845096676</v>
      </c>
      <c r="J84" s="57">
        <f t="shared" si="34"/>
        <v>51364.612153243877</v>
      </c>
      <c r="K84" s="91">
        <f t="shared" si="38"/>
        <v>8719.2410256151761</v>
      </c>
      <c r="L84" s="294">
        <f t="shared" si="39"/>
        <v>60083.853178859055</v>
      </c>
      <c r="M84" s="57">
        <f t="shared" si="40"/>
        <v>48796.38154558168</v>
      </c>
      <c r="N84" s="91">
        <f t="shared" si="41"/>
        <v>8283.2789743344165</v>
      </c>
      <c r="O84" s="59">
        <f t="shared" si="42"/>
        <v>57079.660519916099</v>
      </c>
      <c r="P84" s="58">
        <f t="shared" si="33"/>
        <v>46228.15093791949</v>
      </c>
      <c r="Q84" s="91">
        <f t="shared" si="43"/>
        <v>7847.3169230536587</v>
      </c>
      <c r="R84" s="59">
        <f t="shared" si="30"/>
        <v>54075.467860973149</v>
      </c>
      <c r="S84" s="57">
        <f t="shared" si="44"/>
        <v>41091.689722595103</v>
      </c>
      <c r="T84" s="91">
        <f t="shared" si="45"/>
        <v>6975.3928204921413</v>
      </c>
      <c r="U84" s="60">
        <f t="shared" si="46"/>
        <v>48067.082543087243</v>
      </c>
      <c r="V84" s="58">
        <f t="shared" si="47"/>
        <v>35955.228507270709</v>
      </c>
      <c r="W84" s="91">
        <f t="shared" si="48"/>
        <v>6103.4687179306229</v>
      </c>
      <c r="X84" s="59">
        <f t="shared" si="49"/>
        <v>42058.697225201329</v>
      </c>
      <c r="Y84" s="57">
        <f t="shared" si="50"/>
        <v>30818.767291946326</v>
      </c>
      <c r="Z84" s="91">
        <f t="shared" si="51"/>
        <v>5231.5446153691055</v>
      </c>
      <c r="AA84" s="59">
        <f t="shared" si="52"/>
        <v>36050.31190731543</v>
      </c>
    </row>
    <row r="85" spans="1:27" ht="13.5" customHeight="1">
      <c r="A85" s="187">
        <v>34</v>
      </c>
      <c r="B85" s="50">
        <v>44256</v>
      </c>
      <c r="C85" s="61">
        <f>VLOOKUP(B85,'base(indices)'!$A$4:$C$183,3,FALSE)</f>
        <v>1100</v>
      </c>
      <c r="D85" s="159">
        <f>'base(indices)'!G138</f>
        <v>1.0820162099999999</v>
      </c>
      <c r="E85" s="63">
        <f t="shared" si="35"/>
        <v>1190.2178309999999</v>
      </c>
      <c r="F85" s="307">
        <f>'base(indices)'!$I$147</f>
        <v>0.29920000000000002</v>
      </c>
      <c r="G85" s="63">
        <f t="shared" si="36"/>
        <v>356.11317503520002</v>
      </c>
      <c r="H85" s="61">
        <f t="shared" si="37"/>
        <v>1546.3310060352001</v>
      </c>
      <c r="I85" s="312">
        <f t="shared" si="53"/>
        <v>50587.735461391072</v>
      </c>
      <c r="J85" s="66">
        <f t="shared" si="34"/>
        <v>49814.569958373475</v>
      </c>
      <c r="K85" s="108">
        <f t="shared" si="38"/>
        <v>8719.2410256151761</v>
      </c>
      <c r="L85" s="295">
        <f t="shared" si="39"/>
        <v>58533.810983988653</v>
      </c>
      <c r="M85" s="43">
        <f t="shared" si="40"/>
        <v>47323.841460454802</v>
      </c>
      <c r="N85" s="108">
        <f t="shared" si="41"/>
        <v>8283.2789743344165</v>
      </c>
      <c r="O85" s="46">
        <f t="shared" si="42"/>
        <v>55607.12043478922</v>
      </c>
      <c r="P85" s="119">
        <f t="shared" si="33"/>
        <v>44833.112962536128</v>
      </c>
      <c r="Q85" s="108">
        <f t="shared" si="43"/>
        <v>7847.3169230536587</v>
      </c>
      <c r="R85" s="46">
        <f t="shared" si="30"/>
        <v>52680.429885589787</v>
      </c>
      <c r="S85" s="43">
        <f t="shared" si="44"/>
        <v>39851.655966698781</v>
      </c>
      <c r="T85" s="108">
        <f t="shared" si="45"/>
        <v>6975.3928204921413</v>
      </c>
      <c r="U85" s="47">
        <f t="shared" si="46"/>
        <v>46827.048787190921</v>
      </c>
      <c r="V85" s="45">
        <f t="shared" si="47"/>
        <v>34870.198970861427</v>
      </c>
      <c r="W85" s="108">
        <f t="shared" si="48"/>
        <v>6103.4687179306229</v>
      </c>
      <c r="X85" s="46">
        <f t="shared" si="49"/>
        <v>40973.667688792048</v>
      </c>
      <c r="Y85" s="43">
        <f t="shared" si="50"/>
        <v>29888.741975024084</v>
      </c>
      <c r="Z85" s="108">
        <f t="shared" si="51"/>
        <v>5231.5446153691055</v>
      </c>
      <c r="AA85" s="46">
        <f t="shared" si="52"/>
        <v>35120.286590393189</v>
      </c>
    </row>
    <row r="86" spans="1:27" ht="13.5" customHeight="1">
      <c r="A86" s="187">
        <v>33</v>
      </c>
      <c r="B86" s="50">
        <v>44287</v>
      </c>
      <c r="C86" s="61">
        <f>VLOOKUP(B86,'base(indices)'!$A$4:$C$183,3,FALSE)</f>
        <v>1100</v>
      </c>
      <c r="D86" s="159">
        <f>'base(indices)'!G139</f>
        <v>1.0720461800000001</v>
      </c>
      <c r="E86" s="54">
        <f t="shared" si="35"/>
        <v>1179.250798</v>
      </c>
      <c r="F86" s="307">
        <f>'base(indices)'!$I$147</f>
        <v>0.29920000000000002</v>
      </c>
      <c r="G86" s="54">
        <f t="shared" si="36"/>
        <v>352.83183876160001</v>
      </c>
      <c r="H86" s="51">
        <f t="shared" si="37"/>
        <v>1532.0826367616</v>
      </c>
      <c r="I86" s="311">
        <f t="shared" si="53"/>
        <v>49041.404455355871</v>
      </c>
      <c r="J86" s="57">
        <f t="shared" si="34"/>
        <v>48275.363136975073</v>
      </c>
      <c r="K86" s="91">
        <f t="shared" si="38"/>
        <v>8719.2410256151761</v>
      </c>
      <c r="L86" s="294">
        <f t="shared" si="39"/>
        <v>56994.604162590251</v>
      </c>
      <c r="M86" s="57">
        <f t="shared" si="40"/>
        <v>45861.59498012632</v>
      </c>
      <c r="N86" s="91">
        <f t="shared" si="41"/>
        <v>8283.2789743344165</v>
      </c>
      <c r="O86" s="59">
        <f t="shared" si="42"/>
        <v>54144.873954460738</v>
      </c>
      <c r="P86" s="58">
        <f t="shared" si="33"/>
        <v>43447.826823277566</v>
      </c>
      <c r="Q86" s="91">
        <f t="shared" si="43"/>
        <v>7847.3169230536587</v>
      </c>
      <c r="R86" s="59">
        <f t="shared" si="30"/>
        <v>51295.143746331225</v>
      </c>
      <c r="S86" s="57">
        <f t="shared" si="44"/>
        <v>38620.29050958006</v>
      </c>
      <c r="T86" s="91">
        <f t="shared" si="45"/>
        <v>6975.3928204921413</v>
      </c>
      <c r="U86" s="60">
        <f t="shared" si="46"/>
        <v>45595.683330072199</v>
      </c>
      <c r="V86" s="58">
        <f t="shared" si="47"/>
        <v>33792.754195882546</v>
      </c>
      <c r="W86" s="91">
        <f t="shared" si="48"/>
        <v>6103.4687179306229</v>
      </c>
      <c r="X86" s="59">
        <f t="shared" si="49"/>
        <v>39896.222913813166</v>
      </c>
      <c r="Y86" s="57">
        <f t="shared" si="50"/>
        <v>28965.217882185043</v>
      </c>
      <c r="Z86" s="91">
        <f t="shared" si="51"/>
        <v>5231.5446153691055</v>
      </c>
      <c r="AA86" s="59">
        <f t="shared" si="52"/>
        <v>34196.762497554148</v>
      </c>
    </row>
    <row r="87" spans="1:27" ht="13.5" customHeight="1">
      <c r="A87" s="187">
        <v>32</v>
      </c>
      <c r="B87" s="50">
        <v>44317</v>
      </c>
      <c r="C87" s="61">
        <f>VLOOKUP(B87,'base(indices)'!$A$4:$C$183,3,FALSE)</f>
        <v>1100</v>
      </c>
      <c r="D87" s="159">
        <f>'base(indices)'!G140</f>
        <v>1.06565226</v>
      </c>
      <c r="E87" s="63">
        <f t="shared" si="35"/>
        <v>1172.217486</v>
      </c>
      <c r="F87" s="307">
        <f>'base(indices)'!$I$147</f>
        <v>0.29920000000000002</v>
      </c>
      <c r="G87" s="63">
        <f t="shared" si="36"/>
        <v>350.72747181120002</v>
      </c>
      <c r="H87" s="61">
        <f t="shared" si="37"/>
        <v>1522.9449578112001</v>
      </c>
      <c r="I87" s="312">
        <f t="shared" si="53"/>
        <v>47509.321818594268</v>
      </c>
      <c r="J87" s="66">
        <f t="shared" si="34"/>
        <v>46747.84933968867</v>
      </c>
      <c r="K87" s="108">
        <f t="shared" si="38"/>
        <v>8719.2410256151761</v>
      </c>
      <c r="L87" s="295">
        <f t="shared" si="39"/>
        <v>55467.090365303848</v>
      </c>
      <c r="M87" s="43">
        <f t="shared" si="40"/>
        <v>44410.456872704235</v>
      </c>
      <c r="N87" s="108">
        <f t="shared" si="41"/>
        <v>8283.2789743344165</v>
      </c>
      <c r="O87" s="46">
        <f t="shared" si="42"/>
        <v>52693.735847038653</v>
      </c>
      <c r="P87" s="119">
        <f t="shared" si="33"/>
        <v>42073.064405719801</v>
      </c>
      <c r="Q87" s="108">
        <f t="shared" si="43"/>
        <v>7847.3169230536587</v>
      </c>
      <c r="R87" s="46">
        <f t="shared" si="30"/>
        <v>49920.381328773459</v>
      </c>
      <c r="S87" s="43">
        <f t="shared" si="44"/>
        <v>37398.279471750939</v>
      </c>
      <c r="T87" s="108">
        <f t="shared" si="45"/>
        <v>6975.3928204921413</v>
      </c>
      <c r="U87" s="47">
        <f t="shared" si="46"/>
        <v>44373.672292243078</v>
      </c>
      <c r="V87" s="45">
        <f t="shared" si="47"/>
        <v>32723.494537782066</v>
      </c>
      <c r="W87" s="108">
        <f t="shared" si="48"/>
        <v>6103.4687179306229</v>
      </c>
      <c r="X87" s="46">
        <f t="shared" si="49"/>
        <v>38826.96325571269</v>
      </c>
      <c r="Y87" s="43">
        <f t="shared" si="50"/>
        <v>28048.7096038132</v>
      </c>
      <c r="Z87" s="108">
        <f t="shared" si="51"/>
        <v>5231.5446153691055</v>
      </c>
      <c r="AA87" s="46">
        <f t="shared" si="52"/>
        <v>33280.254219182309</v>
      </c>
    </row>
    <row r="88" spans="1:27" ht="13.5" customHeight="1">
      <c r="A88" s="187">
        <v>31</v>
      </c>
      <c r="B88" s="50">
        <v>44348</v>
      </c>
      <c r="C88" s="61">
        <f>VLOOKUP(B88,'base(indices)'!$A$4:$C$183,3,FALSE)</f>
        <v>1100</v>
      </c>
      <c r="D88" s="159">
        <f>'base(indices)'!G141</f>
        <v>1.0609839299999999</v>
      </c>
      <c r="E88" s="54">
        <f t="shared" si="35"/>
        <v>1167.0823229999999</v>
      </c>
      <c r="F88" s="307">
        <f>'base(indices)'!$I$147</f>
        <v>0.29920000000000002</v>
      </c>
      <c r="G88" s="54">
        <f t="shared" si="36"/>
        <v>349.19103104159996</v>
      </c>
      <c r="H88" s="51">
        <f t="shared" si="37"/>
        <v>1516.2733540415998</v>
      </c>
      <c r="I88" s="311">
        <f t="shared" si="53"/>
        <v>45986.376860783064</v>
      </c>
      <c r="J88" s="57">
        <f t="shared" si="34"/>
        <v>45228.240183762267</v>
      </c>
      <c r="K88" s="91">
        <f t="shared" si="38"/>
        <v>8719.2410256151761</v>
      </c>
      <c r="L88" s="294">
        <f t="shared" si="39"/>
        <v>53947.481209377445</v>
      </c>
      <c r="M88" s="57">
        <f t="shared" si="40"/>
        <v>42966.828174574155</v>
      </c>
      <c r="N88" s="91">
        <f t="shared" si="41"/>
        <v>8283.2789743344165</v>
      </c>
      <c r="O88" s="59">
        <f t="shared" si="42"/>
        <v>51250.107148908573</v>
      </c>
      <c r="P88" s="58">
        <f t="shared" si="33"/>
        <v>40705.416165386043</v>
      </c>
      <c r="Q88" s="91">
        <f t="shared" si="43"/>
        <v>7847.3169230536587</v>
      </c>
      <c r="R88" s="59">
        <f t="shared" si="30"/>
        <v>48552.733088439702</v>
      </c>
      <c r="S88" s="57">
        <f t="shared" si="44"/>
        <v>36182.592147009818</v>
      </c>
      <c r="T88" s="91">
        <f t="shared" si="45"/>
        <v>6975.3928204921413</v>
      </c>
      <c r="U88" s="60">
        <f t="shared" si="46"/>
        <v>43157.984967501958</v>
      </c>
      <c r="V88" s="58">
        <f t="shared" si="47"/>
        <v>31659.768128633586</v>
      </c>
      <c r="W88" s="91">
        <f t="shared" si="48"/>
        <v>6103.4687179306229</v>
      </c>
      <c r="X88" s="59">
        <f t="shared" si="49"/>
        <v>37763.236846564207</v>
      </c>
      <c r="Y88" s="57">
        <f t="shared" si="50"/>
        <v>27136.944110257358</v>
      </c>
      <c r="Z88" s="91">
        <f t="shared" si="51"/>
        <v>5231.5446153691055</v>
      </c>
      <c r="AA88" s="59">
        <f t="shared" si="52"/>
        <v>32368.488725626463</v>
      </c>
    </row>
    <row r="89" spans="1:27" ht="13.5" customHeight="1">
      <c r="A89" s="187">
        <v>30</v>
      </c>
      <c r="B89" s="50">
        <v>44378</v>
      </c>
      <c r="C89" s="61">
        <f>VLOOKUP(B89,'base(indices)'!$A$4:$C$183,3,FALSE)</f>
        <v>1100</v>
      </c>
      <c r="D89" s="159">
        <f>'base(indices)'!G142</f>
        <v>1.0522502600000001</v>
      </c>
      <c r="E89" s="63">
        <f t="shared" si="35"/>
        <v>1157.4752860000001</v>
      </c>
      <c r="F89" s="307">
        <f>'base(indices)'!$I$147</f>
        <v>0.29920000000000002</v>
      </c>
      <c r="G89" s="63">
        <f t="shared" si="36"/>
        <v>346.31660557120006</v>
      </c>
      <c r="H89" s="61">
        <f t="shared" si="37"/>
        <v>1503.7918915712003</v>
      </c>
      <c r="I89" s="312">
        <f t="shared" si="53"/>
        <v>44470.103506741463</v>
      </c>
      <c r="J89" s="66">
        <f t="shared" si="34"/>
        <v>43718.20756095586</v>
      </c>
      <c r="K89" s="108">
        <f t="shared" si="38"/>
        <v>8719.2410256151761</v>
      </c>
      <c r="L89" s="295">
        <f t="shared" si="39"/>
        <v>52437.448586571038</v>
      </c>
      <c r="M89" s="43">
        <f t="shared" si="40"/>
        <v>41532.297182908063</v>
      </c>
      <c r="N89" s="108">
        <f t="shared" si="41"/>
        <v>8283.2789743344165</v>
      </c>
      <c r="O89" s="46">
        <f t="shared" si="42"/>
        <v>49815.576157242482</v>
      </c>
      <c r="P89" s="119">
        <f t="shared" si="33"/>
        <v>39346.386804860274</v>
      </c>
      <c r="Q89" s="108">
        <f t="shared" si="43"/>
        <v>7847.3169230536587</v>
      </c>
      <c r="R89" s="46">
        <f t="shared" si="30"/>
        <v>47193.703727913933</v>
      </c>
      <c r="S89" s="43">
        <f t="shared" si="44"/>
        <v>34974.566048764689</v>
      </c>
      <c r="T89" s="108">
        <f t="shared" si="45"/>
        <v>6975.3928204921413</v>
      </c>
      <c r="U89" s="47">
        <f t="shared" si="46"/>
        <v>41949.958869256829</v>
      </c>
      <c r="V89" s="45">
        <f t="shared" si="47"/>
        <v>30602.7452926691</v>
      </c>
      <c r="W89" s="108">
        <f t="shared" si="48"/>
        <v>6103.4687179306229</v>
      </c>
      <c r="X89" s="46">
        <f t="shared" si="49"/>
        <v>36706.214010599724</v>
      </c>
      <c r="Y89" s="43">
        <f t="shared" si="50"/>
        <v>26230.924536573515</v>
      </c>
      <c r="Z89" s="108">
        <f t="shared" si="51"/>
        <v>5231.5446153691055</v>
      </c>
      <c r="AA89" s="46">
        <f t="shared" si="52"/>
        <v>31462.46915194262</v>
      </c>
    </row>
    <row r="90" spans="1:27" ht="13.5" customHeight="1">
      <c r="A90" s="187">
        <v>29</v>
      </c>
      <c r="B90" s="50">
        <v>44409</v>
      </c>
      <c r="C90" s="61">
        <f>VLOOKUP(B90,'base(indices)'!$A$4:$C$183,3,FALSE)</f>
        <v>1100</v>
      </c>
      <c r="D90" s="159">
        <f>'base(indices)'!G143</f>
        <v>1.0447282099999999</v>
      </c>
      <c r="E90" s="54">
        <f t="shared" si="35"/>
        <v>1149.2010309999998</v>
      </c>
      <c r="F90" s="307">
        <f>'base(indices)'!$I$147</f>
        <v>0.29920000000000002</v>
      </c>
      <c r="G90" s="54">
        <f t="shared" si="36"/>
        <v>343.84094847519998</v>
      </c>
      <c r="H90" s="51">
        <f t="shared" si="37"/>
        <v>1493.0419794751997</v>
      </c>
      <c r="I90" s="311">
        <f t="shared" si="53"/>
        <v>42966.311615170263</v>
      </c>
      <c r="J90" s="57">
        <f t="shared" si="34"/>
        <v>42219.790625432666</v>
      </c>
      <c r="K90" s="91">
        <f t="shared" si="38"/>
        <v>8719.2410256151761</v>
      </c>
      <c r="L90" s="294">
        <f t="shared" si="39"/>
        <v>50939.031651047844</v>
      </c>
      <c r="M90" s="57">
        <f t="shared" si="40"/>
        <v>40108.801094161034</v>
      </c>
      <c r="N90" s="91">
        <f t="shared" si="41"/>
        <v>8283.2789743344165</v>
      </c>
      <c r="O90" s="59">
        <f t="shared" si="42"/>
        <v>48392.080068495452</v>
      </c>
      <c r="P90" s="58">
        <f t="shared" si="33"/>
        <v>37997.811562889401</v>
      </c>
      <c r="Q90" s="91">
        <f t="shared" si="43"/>
        <v>7847.3169230536587</v>
      </c>
      <c r="R90" s="59">
        <f t="shared" si="30"/>
        <v>45845.12848594306</v>
      </c>
      <c r="S90" s="57">
        <f t="shared" si="44"/>
        <v>33775.832500346136</v>
      </c>
      <c r="T90" s="91">
        <f t="shared" si="45"/>
        <v>6975.3928204921413</v>
      </c>
      <c r="U90" s="60">
        <f t="shared" si="46"/>
        <v>40751.225320838275</v>
      </c>
      <c r="V90" s="58">
        <f t="shared" si="47"/>
        <v>29553.853437802863</v>
      </c>
      <c r="W90" s="91">
        <f t="shared" si="48"/>
        <v>6103.4687179306229</v>
      </c>
      <c r="X90" s="59">
        <f t="shared" si="49"/>
        <v>35657.322155733484</v>
      </c>
      <c r="Y90" s="57">
        <f t="shared" si="50"/>
        <v>25331.874375259598</v>
      </c>
      <c r="Z90" s="91">
        <f t="shared" si="51"/>
        <v>5231.5446153691055</v>
      </c>
      <c r="AA90" s="59">
        <f t="shared" si="52"/>
        <v>30563.418990628703</v>
      </c>
    </row>
    <row r="91" spans="1:27" ht="13.5" customHeight="1">
      <c r="A91" s="187">
        <v>28</v>
      </c>
      <c r="B91" s="50">
        <v>44440</v>
      </c>
      <c r="C91" s="61">
        <f>VLOOKUP(B91,'base(indices)'!$A$4:$C$183,3,FALSE)</f>
        <v>1100</v>
      </c>
      <c r="D91" s="159">
        <f>'base(indices)'!G144</f>
        <v>1.0355121599999999</v>
      </c>
      <c r="E91" s="63">
        <f t="shared" si="35"/>
        <v>1139.0633759999998</v>
      </c>
      <c r="F91" s="307">
        <f>'base(indices)'!$I$147</f>
        <v>0.29920000000000002</v>
      </c>
      <c r="G91" s="63">
        <f t="shared" si="36"/>
        <v>340.80776209919998</v>
      </c>
      <c r="H91" s="61">
        <f t="shared" si="37"/>
        <v>1479.8711380991999</v>
      </c>
      <c r="I91" s="312">
        <f t="shared" si="53"/>
        <v>41473.269635695062</v>
      </c>
      <c r="J91" s="66">
        <f t="shared" si="34"/>
        <v>40733.334066645461</v>
      </c>
      <c r="K91" s="108">
        <f t="shared" si="38"/>
        <v>8719.2410256151761</v>
      </c>
      <c r="L91" s="295">
        <f t="shared" si="39"/>
        <v>49452.575092260638</v>
      </c>
      <c r="M91" s="43">
        <f t="shared" si="40"/>
        <v>38696.667363313187</v>
      </c>
      <c r="N91" s="108">
        <f t="shared" si="41"/>
        <v>8283.2789743344165</v>
      </c>
      <c r="O91" s="46">
        <f t="shared" si="42"/>
        <v>46979.946337647605</v>
      </c>
      <c r="P91" s="119">
        <f t="shared" si="33"/>
        <v>36660.000659980913</v>
      </c>
      <c r="Q91" s="108">
        <f t="shared" si="43"/>
        <v>7847.3169230536587</v>
      </c>
      <c r="R91" s="46">
        <f t="shared" si="30"/>
        <v>44507.317583034572</v>
      </c>
      <c r="S91" s="43">
        <f t="shared" si="44"/>
        <v>32586.667253316369</v>
      </c>
      <c r="T91" s="108">
        <f t="shared" si="45"/>
        <v>6975.3928204921413</v>
      </c>
      <c r="U91" s="47">
        <f t="shared" si="46"/>
        <v>39562.060073808512</v>
      </c>
      <c r="V91" s="45">
        <f t="shared" si="47"/>
        <v>28513.333846651822</v>
      </c>
      <c r="W91" s="108">
        <f t="shared" si="48"/>
        <v>6103.4687179306229</v>
      </c>
      <c r="X91" s="46">
        <f t="shared" si="49"/>
        <v>34616.802564582445</v>
      </c>
      <c r="Y91" s="43">
        <f t="shared" si="50"/>
        <v>24440.000439987274</v>
      </c>
      <c r="Z91" s="108">
        <f t="shared" si="51"/>
        <v>5231.5446153691055</v>
      </c>
      <c r="AA91" s="46">
        <f t="shared" si="52"/>
        <v>29671.545055356379</v>
      </c>
    </row>
    <row r="92" spans="1:27" ht="13.5" customHeight="1">
      <c r="A92" s="187">
        <v>27</v>
      </c>
      <c r="B92" s="50">
        <v>44470</v>
      </c>
      <c r="C92" s="61">
        <f>VLOOKUP(B92,'base(indices)'!$A$4:$C$183,3,FALSE)</f>
        <v>1100</v>
      </c>
      <c r="D92" s="159">
        <f>'base(indices)'!G145</f>
        <v>1.02384038</v>
      </c>
      <c r="E92" s="54">
        <f t="shared" si="35"/>
        <v>1126.224418</v>
      </c>
      <c r="F92" s="307">
        <f>'base(indices)'!$I$147</f>
        <v>0.29920000000000002</v>
      </c>
      <c r="G92" s="54">
        <f t="shared" si="36"/>
        <v>336.96634586560003</v>
      </c>
      <c r="H92" s="51">
        <f t="shared" si="37"/>
        <v>1463.1907638656</v>
      </c>
      <c r="I92" s="311">
        <f t="shared" si="53"/>
        <v>39993.398497595859</v>
      </c>
      <c r="J92" s="57">
        <f t="shared" si="34"/>
        <v>39261.80311566306</v>
      </c>
      <c r="K92" s="91">
        <f t="shared" si="38"/>
        <v>8719.2410256151761</v>
      </c>
      <c r="L92" s="294">
        <f t="shared" si="39"/>
        <v>47981.044141278238</v>
      </c>
      <c r="M92" s="57">
        <f t="shared" si="40"/>
        <v>37298.712959879907</v>
      </c>
      <c r="N92" s="91">
        <f t="shared" si="41"/>
        <v>8283.2789743344165</v>
      </c>
      <c r="O92" s="59">
        <f t="shared" si="42"/>
        <v>45581.991934214326</v>
      </c>
      <c r="P92" s="58">
        <f t="shared" si="33"/>
        <v>35335.622804096754</v>
      </c>
      <c r="Q92" s="91">
        <f t="shared" si="43"/>
        <v>7847.3169230536587</v>
      </c>
      <c r="R92" s="59">
        <f t="shared" si="30"/>
        <v>43182.939727150413</v>
      </c>
      <c r="S92" s="57">
        <f t="shared" si="44"/>
        <v>31409.442492530448</v>
      </c>
      <c r="T92" s="91">
        <f t="shared" si="45"/>
        <v>6975.3928204921413</v>
      </c>
      <c r="U92" s="60">
        <f t="shared" si="46"/>
        <v>38384.835313022588</v>
      </c>
      <c r="V92" s="58">
        <f t="shared" si="47"/>
        <v>27483.262180964142</v>
      </c>
      <c r="W92" s="91">
        <f t="shared" si="48"/>
        <v>6103.4687179306229</v>
      </c>
      <c r="X92" s="59">
        <f t="shared" si="49"/>
        <v>33586.730898894763</v>
      </c>
      <c r="Y92" s="57">
        <f t="shared" si="50"/>
        <v>23557.081869397836</v>
      </c>
      <c r="Z92" s="91">
        <f t="shared" si="51"/>
        <v>5231.5446153691055</v>
      </c>
      <c r="AA92" s="59">
        <f t="shared" si="52"/>
        <v>28788.626484766941</v>
      </c>
    </row>
    <row r="93" spans="1:27" ht="13.5" customHeight="1">
      <c r="A93" s="187">
        <v>26</v>
      </c>
      <c r="B93" s="50">
        <v>44501</v>
      </c>
      <c r="C93" s="61">
        <f>VLOOKUP(B93,'base(indices)'!$A$4:$C$183,3,FALSE)</f>
        <v>1100</v>
      </c>
      <c r="D93" s="159">
        <f>'base(indices)'!G146</f>
        <v>1.0116999799999999</v>
      </c>
      <c r="E93" s="63">
        <f t="shared" si="35"/>
        <v>1112.8699779999999</v>
      </c>
      <c r="F93" s="307">
        <f>'base(indices)'!$I$147</f>
        <v>0.29920000000000002</v>
      </c>
      <c r="G93" s="63">
        <f t="shared" si="36"/>
        <v>332.97069741760004</v>
      </c>
      <c r="H93" s="61">
        <f t="shared" si="37"/>
        <v>1445.8406754175999</v>
      </c>
      <c r="I93" s="312">
        <f t="shared" si="53"/>
        <v>38530.207733730262</v>
      </c>
      <c r="J93" s="66">
        <f t="shared" si="34"/>
        <v>37807.287396021464</v>
      </c>
      <c r="K93" s="108">
        <f t="shared" si="38"/>
        <v>8719.2410256151761</v>
      </c>
      <c r="L93" s="295">
        <f t="shared" si="39"/>
        <v>46526.528421636642</v>
      </c>
      <c r="M93" s="43">
        <f t="shared" si="40"/>
        <v>35916.923026220386</v>
      </c>
      <c r="N93" s="108">
        <f t="shared" si="41"/>
        <v>8283.2789743344165</v>
      </c>
      <c r="O93" s="46">
        <f t="shared" si="42"/>
        <v>44200.202000554804</v>
      </c>
      <c r="P93" s="119">
        <f t="shared" si="33"/>
        <v>34026.558656419322</v>
      </c>
      <c r="Q93" s="108">
        <f t="shared" si="43"/>
        <v>7847.3169230536587</v>
      </c>
      <c r="R93" s="46">
        <f t="shared" si="30"/>
        <v>41873.87557947298</v>
      </c>
      <c r="S93" s="43">
        <f t="shared" si="44"/>
        <v>30245.829916817172</v>
      </c>
      <c r="T93" s="108">
        <f t="shared" si="45"/>
        <v>6975.3928204921413</v>
      </c>
      <c r="U93" s="47">
        <f t="shared" si="46"/>
        <v>37221.222737309312</v>
      </c>
      <c r="V93" s="45">
        <f t="shared" si="47"/>
        <v>26465.101177215023</v>
      </c>
      <c r="W93" s="108">
        <f t="shared" si="48"/>
        <v>6103.4687179306229</v>
      </c>
      <c r="X93" s="46">
        <f t="shared" si="49"/>
        <v>32568.569895145647</v>
      </c>
      <c r="Y93" s="43">
        <f t="shared" si="50"/>
        <v>22684.372437612878</v>
      </c>
      <c r="Z93" s="108">
        <f t="shared" si="51"/>
        <v>5231.5446153691055</v>
      </c>
      <c r="AA93" s="46">
        <f t="shared" si="52"/>
        <v>27915.917052981982</v>
      </c>
    </row>
    <row r="94" spans="1:27" ht="13.5" customHeight="1" thickBot="1">
      <c r="A94" s="305">
        <v>25</v>
      </c>
      <c r="B94" s="247">
        <v>44531</v>
      </c>
      <c r="C94" s="142">
        <f>VLOOKUP(B94,'base(indices)'!$A$4:$C$183,3,FALSE)</f>
        <v>1100</v>
      </c>
      <c r="D94" s="274">
        <f>'base(indices)'!G147</f>
        <v>0.99999998000000001</v>
      </c>
      <c r="E94" s="170">
        <f t="shared" si="35"/>
        <v>1099.9999780000001</v>
      </c>
      <c r="F94" s="307">
        <f>'base(indices)'!$I$147</f>
        <v>0.29920000000000002</v>
      </c>
      <c r="G94" s="170">
        <f t="shared" si="36"/>
        <v>329.11999341760003</v>
      </c>
      <c r="H94" s="141">
        <f t="shared" si="37"/>
        <v>1429.1199714176</v>
      </c>
      <c r="I94" s="369">
        <f>I93-H93</f>
        <v>37084.367058312659</v>
      </c>
      <c r="J94" s="57">
        <f t="shared" si="34"/>
        <v>36369.807072603857</v>
      </c>
      <c r="K94" s="86">
        <f t="shared" si="38"/>
        <v>8719.2410256151761</v>
      </c>
      <c r="L94" s="296">
        <f>J94+K94</f>
        <v>45089.048098219035</v>
      </c>
      <c r="M94" s="85">
        <f>J94*M$9</f>
        <v>34551.316718973663</v>
      </c>
      <c r="N94" s="86">
        <f>K94*M$9</f>
        <v>8283.2789743344165</v>
      </c>
      <c r="O94" s="165">
        <f>M94+N94</f>
        <v>42834.595693308082</v>
      </c>
      <c r="P94" s="58">
        <f>J94*$P$9</f>
        <v>32732.826365343473</v>
      </c>
      <c r="Q94" s="91">
        <f>K94*P$9</f>
        <v>7847.3169230536587</v>
      </c>
      <c r="R94" s="59">
        <f>P94+Q94</f>
        <v>40580.143288397128</v>
      </c>
      <c r="S94" s="282">
        <f>J94*S$9</f>
        <v>29095.845658083086</v>
      </c>
      <c r="T94" s="202">
        <f>K94*S$9</f>
        <v>6975.3928204921413</v>
      </c>
      <c r="U94" s="289">
        <f>S94+T94</f>
        <v>36071.238478575229</v>
      </c>
      <c r="V94" s="58">
        <f>J94*V$9</f>
        <v>25458.864950822699</v>
      </c>
      <c r="W94" s="91">
        <f>K94*V$9</f>
        <v>6103.4687179306229</v>
      </c>
      <c r="X94" s="59">
        <f>V94+W94</f>
        <v>31562.333668753323</v>
      </c>
      <c r="Y94" s="282">
        <f t="shared" si="50"/>
        <v>21821.884243562312</v>
      </c>
      <c r="Z94" s="202">
        <f t="shared" si="51"/>
        <v>5231.5446153691055</v>
      </c>
      <c r="AA94" s="203">
        <f t="shared" si="52"/>
        <v>27053.428858931416</v>
      </c>
    </row>
    <row r="95" spans="1:27" ht="13.5" customHeight="1">
      <c r="A95" s="190">
        <v>24</v>
      </c>
      <c r="B95" s="309">
        <v>44562</v>
      </c>
      <c r="C95" s="120">
        <f>VLOOKUP(B95,'base(indices)'!$A$4:$C$183,3,FALSE)</f>
        <v>1212</v>
      </c>
      <c r="D95" s="270">
        <f>'base(indices)'!G148</f>
        <v>0.99999998000000001</v>
      </c>
      <c r="E95" s="78">
        <f t="shared" si="35"/>
        <v>1211.9999757600001</v>
      </c>
      <c r="F95" s="371">
        <f>'base(indices)'!I148</f>
        <v>0.29149999999999998</v>
      </c>
      <c r="G95" s="78">
        <f t="shared" si="36"/>
        <v>353.29799293404</v>
      </c>
      <c r="H95" s="41">
        <f t="shared" si="37"/>
        <v>1565.29796869404</v>
      </c>
      <c r="I95" s="310">
        <f t="shared" ref="I95:I106" si="55">I94-H94</f>
        <v>35655.247086895062</v>
      </c>
      <c r="J95" s="385">
        <f t="shared" si="34"/>
        <v>34872.598102548043</v>
      </c>
      <c r="K95" s="156">
        <f t="shared" si="38"/>
        <v>8719.2410256151761</v>
      </c>
      <c r="L95" s="315">
        <f t="shared" ref="L95:L106" si="56">J95+K95</f>
        <v>43591.839128163221</v>
      </c>
      <c r="M95" s="283">
        <f t="shared" ref="M95:M106" si="57">J95*M$9</f>
        <v>33128.96819742064</v>
      </c>
      <c r="N95" s="156">
        <f t="shared" ref="N95:N106" si="58">K95*M$9</f>
        <v>8283.2789743344165</v>
      </c>
      <c r="O95" s="290">
        <f t="shared" ref="O95:O106" si="59">M95+N95</f>
        <v>41412.247171755058</v>
      </c>
      <c r="P95" s="119">
        <f t="shared" ref="P95:P106" si="60">J95*$P$9</f>
        <v>31385.33829229324</v>
      </c>
      <c r="Q95" s="108">
        <f t="shared" ref="Q95:Q106" si="61">K95*P$9</f>
        <v>7847.3169230536587</v>
      </c>
      <c r="R95" s="46">
        <f t="shared" ref="R95:R106" si="62">P95+Q95</f>
        <v>39232.655215346895</v>
      </c>
      <c r="S95" s="138">
        <f t="shared" ref="S95:S106" si="63">J95*S$9</f>
        <v>27898.078482038436</v>
      </c>
      <c r="T95" s="109">
        <f t="shared" ref="T95:T106" si="64">K95*S$9</f>
        <v>6975.3928204921413</v>
      </c>
      <c r="U95" s="139">
        <f t="shared" ref="U95:U106" si="65">S95+T95</f>
        <v>34873.471302530575</v>
      </c>
      <c r="V95" s="45">
        <f t="shared" ref="V95:V106" si="66">J95*V$9</f>
        <v>24410.818671783629</v>
      </c>
      <c r="W95" s="108">
        <f t="shared" ref="W95:W106" si="67">K95*V$9</f>
        <v>6103.4687179306229</v>
      </c>
      <c r="X95" s="46">
        <f t="shared" ref="X95:X106" si="68">V95+W95</f>
        <v>30514.287389714253</v>
      </c>
      <c r="Y95" s="138">
        <f t="shared" si="50"/>
        <v>20923.558861528825</v>
      </c>
      <c r="Z95" s="109">
        <f t="shared" si="51"/>
        <v>5231.5446153691055</v>
      </c>
      <c r="AA95" s="49">
        <f t="shared" si="52"/>
        <v>26155.10347689793</v>
      </c>
    </row>
    <row r="96" spans="1:27" ht="13.5" customHeight="1">
      <c r="A96" s="187">
        <v>23</v>
      </c>
      <c r="B96" s="50">
        <v>44593</v>
      </c>
      <c r="C96" s="61">
        <f>VLOOKUP(B96,'base(indices)'!$A$4:$C$183,3,FALSE)</f>
        <v>1212</v>
      </c>
      <c r="D96" s="159">
        <f>'base(indices)'!G149</f>
        <v>0.99999998000000001</v>
      </c>
      <c r="E96" s="54">
        <f t="shared" si="35"/>
        <v>1211.9999757600001</v>
      </c>
      <c r="F96" s="307">
        <f>'base(indices)'!I149</f>
        <v>0.28420000000000001</v>
      </c>
      <c r="G96" s="54">
        <f t="shared" si="36"/>
        <v>344.45039311099202</v>
      </c>
      <c r="H96" s="51">
        <f t="shared" si="37"/>
        <v>1556.4503688709922</v>
      </c>
      <c r="I96" s="311">
        <f t="shared" si="55"/>
        <v>34089.949118201024</v>
      </c>
      <c r="J96" s="57">
        <f t="shared" si="34"/>
        <v>33311.723933765526</v>
      </c>
      <c r="K96" s="91">
        <f t="shared" si="38"/>
        <v>8719.2410256151761</v>
      </c>
      <c r="L96" s="294">
        <f t="shared" si="56"/>
        <v>42030.964959380704</v>
      </c>
      <c r="M96" s="57">
        <f t="shared" si="57"/>
        <v>31646.13773707725</v>
      </c>
      <c r="N96" s="91">
        <f t="shared" si="58"/>
        <v>8283.2789743344165</v>
      </c>
      <c r="O96" s="60">
        <f t="shared" si="59"/>
        <v>39929.416711411664</v>
      </c>
      <c r="P96" s="58">
        <f t="shared" si="60"/>
        <v>29980.551540388973</v>
      </c>
      <c r="Q96" s="91">
        <f t="shared" si="61"/>
        <v>7847.3169230536587</v>
      </c>
      <c r="R96" s="59">
        <f t="shared" si="62"/>
        <v>37827.868463442632</v>
      </c>
      <c r="S96" s="57">
        <f t="shared" si="63"/>
        <v>26649.379147012423</v>
      </c>
      <c r="T96" s="91">
        <f t="shared" si="64"/>
        <v>6975.3928204921413</v>
      </c>
      <c r="U96" s="60">
        <f t="shared" si="65"/>
        <v>33624.771967504566</v>
      </c>
      <c r="V96" s="58">
        <f t="shared" si="66"/>
        <v>23318.206753635866</v>
      </c>
      <c r="W96" s="91">
        <f t="shared" si="67"/>
        <v>6103.4687179306229</v>
      </c>
      <c r="X96" s="59">
        <f t="shared" si="68"/>
        <v>29421.67547156649</v>
      </c>
      <c r="Y96" s="57">
        <f t="shared" si="50"/>
        <v>19987.034360259317</v>
      </c>
      <c r="Z96" s="91">
        <f t="shared" si="51"/>
        <v>5231.5446153691055</v>
      </c>
      <c r="AA96" s="59">
        <f t="shared" si="52"/>
        <v>25218.578975628421</v>
      </c>
    </row>
    <row r="97" spans="1:27" ht="13.5" customHeight="1">
      <c r="A97" s="187">
        <v>22</v>
      </c>
      <c r="B97" s="50">
        <v>44621</v>
      </c>
      <c r="C97" s="61">
        <f>VLOOKUP(B97,'base(indices)'!$A$4:$C$183,3,FALSE)</f>
        <v>1212</v>
      </c>
      <c r="D97" s="159">
        <f>'base(indices)'!G150</f>
        <v>0.99999998000000001</v>
      </c>
      <c r="E97" s="63">
        <f t="shared" si="35"/>
        <v>1211.9999757600001</v>
      </c>
      <c r="F97" s="307">
        <f>'base(indices)'!I150</f>
        <v>0.27660000000000001</v>
      </c>
      <c r="G97" s="63">
        <f t="shared" si="36"/>
        <v>335.23919329521607</v>
      </c>
      <c r="H97" s="61">
        <f t="shared" si="37"/>
        <v>1547.2391690552163</v>
      </c>
      <c r="I97" s="312">
        <f t="shared" si="55"/>
        <v>32533.498749330032</v>
      </c>
      <c r="J97" s="66">
        <f t="shared" si="34"/>
        <v>31759.879164802423</v>
      </c>
      <c r="K97" s="108">
        <f t="shared" si="38"/>
        <v>8719.2410256151761</v>
      </c>
      <c r="L97" s="295">
        <f t="shared" si="56"/>
        <v>40479.120190417598</v>
      </c>
      <c r="M97" s="43">
        <f t="shared" si="57"/>
        <v>30171.8852065623</v>
      </c>
      <c r="N97" s="108">
        <f t="shared" si="58"/>
        <v>8283.2789743344165</v>
      </c>
      <c r="O97" s="47">
        <f t="shared" si="59"/>
        <v>38455.164180896718</v>
      </c>
      <c r="P97" s="119">
        <f t="shared" si="60"/>
        <v>28583.891248322183</v>
      </c>
      <c r="Q97" s="108">
        <f t="shared" si="61"/>
        <v>7847.3169230536587</v>
      </c>
      <c r="R97" s="46">
        <f t="shared" si="62"/>
        <v>36431.208171375838</v>
      </c>
      <c r="S97" s="43">
        <f t="shared" si="63"/>
        <v>25407.903331841939</v>
      </c>
      <c r="T97" s="108">
        <f t="shared" si="64"/>
        <v>6975.3928204921413</v>
      </c>
      <c r="U97" s="47">
        <f t="shared" si="65"/>
        <v>32383.296152334078</v>
      </c>
      <c r="V97" s="45">
        <f t="shared" si="66"/>
        <v>22231.915415361695</v>
      </c>
      <c r="W97" s="108">
        <f t="shared" si="67"/>
        <v>6103.4687179306229</v>
      </c>
      <c r="X97" s="46">
        <f t="shared" si="68"/>
        <v>28335.384133292318</v>
      </c>
      <c r="Y97" s="43">
        <f t="shared" si="50"/>
        <v>19055.927498881454</v>
      </c>
      <c r="Z97" s="108">
        <f t="shared" si="51"/>
        <v>5231.5446153691055</v>
      </c>
      <c r="AA97" s="46">
        <f t="shared" si="52"/>
        <v>24287.472114250559</v>
      </c>
    </row>
    <row r="98" spans="1:27" ht="13.5" customHeight="1">
      <c r="A98" s="187">
        <v>21</v>
      </c>
      <c r="B98" s="50">
        <v>44652</v>
      </c>
      <c r="C98" s="61">
        <f>VLOOKUP(B98,'base(indices)'!$A$4:$C$183,3,FALSE)</f>
        <v>1212</v>
      </c>
      <c r="D98" s="159">
        <f>'base(indices)'!G151</f>
        <v>0.99999998000000001</v>
      </c>
      <c r="E98" s="54">
        <f t="shared" si="35"/>
        <v>1211.9999757600001</v>
      </c>
      <c r="F98" s="307">
        <f>'base(indices)'!I151</f>
        <v>0.26729999999999998</v>
      </c>
      <c r="G98" s="54">
        <f t="shared" si="36"/>
        <v>323.96759352064799</v>
      </c>
      <c r="H98" s="51">
        <f t="shared" si="37"/>
        <v>1535.9675692806481</v>
      </c>
      <c r="I98" s="311">
        <f t="shared" si="55"/>
        <v>30986.259580274815</v>
      </c>
      <c r="J98" s="57">
        <f t="shared" si="34"/>
        <v>30218.27579563449</v>
      </c>
      <c r="K98" s="91">
        <f t="shared" si="38"/>
        <v>8719.2410256151761</v>
      </c>
      <c r="L98" s="294">
        <f t="shared" si="56"/>
        <v>38937.516821249665</v>
      </c>
      <c r="M98" s="57">
        <f t="shared" si="57"/>
        <v>28707.362005852763</v>
      </c>
      <c r="N98" s="91">
        <f t="shared" si="58"/>
        <v>8283.2789743344165</v>
      </c>
      <c r="O98" s="60">
        <f t="shared" si="59"/>
        <v>36990.640980187178</v>
      </c>
      <c r="P98" s="58">
        <f t="shared" si="60"/>
        <v>27196.448216071043</v>
      </c>
      <c r="Q98" s="91">
        <f t="shared" si="61"/>
        <v>7847.3169230536587</v>
      </c>
      <c r="R98" s="59">
        <f t="shared" si="62"/>
        <v>35043.765139124705</v>
      </c>
      <c r="S98" s="57">
        <f t="shared" si="63"/>
        <v>24174.620636507592</v>
      </c>
      <c r="T98" s="91">
        <f t="shared" si="64"/>
        <v>6975.3928204921413</v>
      </c>
      <c r="U98" s="60">
        <f t="shared" si="65"/>
        <v>31150.013456999732</v>
      </c>
      <c r="V98" s="58">
        <f t="shared" si="66"/>
        <v>21152.793056944141</v>
      </c>
      <c r="W98" s="91">
        <f t="shared" si="67"/>
        <v>6103.4687179306229</v>
      </c>
      <c r="X98" s="59">
        <f t="shared" si="68"/>
        <v>27256.261774874765</v>
      </c>
      <c r="Y98" s="57">
        <f t="shared" si="50"/>
        <v>18130.965477380694</v>
      </c>
      <c r="Z98" s="91">
        <f t="shared" si="51"/>
        <v>5231.5446153691055</v>
      </c>
      <c r="AA98" s="59">
        <f t="shared" si="52"/>
        <v>23362.510092749799</v>
      </c>
    </row>
    <row r="99" spans="1:27" ht="13.5" customHeight="1">
      <c r="A99" s="187">
        <v>20</v>
      </c>
      <c r="B99" s="50">
        <v>44682</v>
      </c>
      <c r="C99" s="61">
        <f>VLOOKUP(B99,'base(indices)'!$A$4:$C$183,3,FALSE)</f>
        <v>1212</v>
      </c>
      <c r="D99" s="159">
        <f>'base(indices)'!G152</f>
        <v>0.99999998000000001</v>
      </c>
      <c r="E99" s="63">
        <f t="shared" si="35"/>
        <v>1211.9999757600001</v>
      </c>
      <c r="F99" s="307">
        <f>'base(indices)'!I152</f>
        <v>0.25900000000000001</v>
      </c>
      <c r="G99" s="63">
        <f t="shared" si="36"/>
        <v>313.90799372184006</v>
      </c>
      <c r="H99" s="61">
        <f t="shared" si="37"/>
        <v>1525.9079694818402</v>
      </c>
      <c r="I99" s="312">
        <f t="shared" si="55"/>
        <v>29450.292010994166</v>
      </c>
      <c r="J99" s="66">
        <f t="shared" si="34"/>
        <v>28687.338026253245</v>
      </c>
      <c r="K99" s="108">
        <f t="shared" si="38"/>
        <v>8719.2410256151761</v>
      </c>
      <c r="L99" s="295">
        <f t="shared" si="56"/>
        <v>37406.579051868423</v>
      </c>
      <c r="M99" s="43">
        <f t="shared" si="57"/>
        <v>27252.971124940581</v>
      </c>
      <c r="N99" s="108">
        <f t="shared" si="58"/>
        <v>8283.2789743344165</v>
      </c>
      <c r="O99" s="47">
        <f t="shared" si="59"/>
        <v>35536.250099274999</v>
      </c>
      <c r="P99" s="119">
        <f t="shared" si="60"/>
        <v>25818.604223627921</v>
      </c>
      <c r="Q99" s="108">
        <f t="shared" si="61"/>
        <v>7847.3169230536587</v>
      </c>
      <c r="R99" s="46">
        <f t="shared" si="62"/>
        <v>33665.921146681576</v>
      </c>
      <c r="S99" s="43">
        <f t="shared" si="63"/>
        <v>22949.870421002597</v>
      </c>
      <c r="T99" s="108">
        <f t="shared" si="64"/>
        <v>6975.3928204921413</v>
      </c>
      <c r="U99" s="47">
        <f t="shared" si="65"/>
        <v>29925.263241494737</v>
      </c>
      <c r="V99" s="45">
        <f t="shared" si="66"/>
        <v>20081.13661837727</v>
      </c>
      <c r="W99" s="108">
        <f t="shared" si="67"/>
        <v>6103.4687179306229</v>
      </c>
      <c r="X99" s="46">
        <f t="shared" si="68"/>
        <v>26184.605336307894</v>
      </c>
      <c r="Y99" s="43">
        <f t="shared" si="50"/>
        <v>17212.402815751946</v>
      </c>
      <c r="Z99" s="108">
        <f t="shared" si="51"/>
        <v>5231.5446153691055</v>
      </c>
      <c r="AA99" s="46">
        <f t="shared" si="52"/>
        <v>22443.947431121051</v>
      </c>
    </row>
    <row r="100" spans="1:27" ht="13.5" customHeight="1">
      <c r="A100" s="187">
        <v>19</v>
      </c>
      <c r="B100" s="50">
        <v>44713</v>
      </c>
      <c r="C100" s="61">
        <f>VLOOKUP(B100,'base(indices)'!$A$4:$C$183,3,FALSE)</f>
        <v>1212</v>
      </c>
      <c r="D100" s="159">
        <f>'base(indices)'!G153</f>
        <v>0.99999998000000001</v>
      </c>
      <c r="E100" s="54">
        <f t="shared" si="35"/>
        <v>1211.9999757600001</v>
      </c>
      <c r="F100" s="307">
        <f>'base(indices)'!I153</f>
        <v>0.2487</v>
      </c>
      <c r="G100" s="54">
        <f t="shared" si="36"/>
        <v>301.42439397151202</v>
      </c>
      <c r="H100" s="51">
        <f t="shared" si="37"/>
        <v>1513.4243697315121</v>
      </c>
      <c r="I100" s="311">
        <f t="shared" si="55"/>
        <v>27924.384041512327</v>
      </c>
      <c r="J100" s="57">
        <f t="shared" si="34"/>
        <v>27167.671856646572</v>
      </c>
      <c r="K100" s="91">
        <f t="shared" si="38"/>
        <v>8719.2410256151761</v>
      </c>
      <c r="L100" s="294">
        <f t="shared" si="56"/>
        <v>35886.912882261749</v>
      </c>
      <c r="M100" s="57">
        <f t="shared" si="57"/>
        <v>25809.28826381424</v>
      </c>
      <c r="N100" s="91">
        <f t="shared" si="58"/>
        <v>8283.2789743344165</v>
      </c>
      <c r="O100" s="60">
        <f t="shared" si="59"/>
        <v>34092.567238148658</v>
      </c>
      <c r="P100" s="58">
        <f t="shared" si="60"/>
        <v>24450.904670981916</v>
      </c>
      <c r="Q100" s="91">
        <f t="shared" si="61"/>
        <v>7847.3169230536587</v>
      </c>
      <c r="R100" s="59">
        <f t="shared" si="62"/>
        <v>32298.221594035575</v>
      </c>
      <c r="S100" s="57">
        <f t="shared" si="63"/>
        <v>21734.13748531726</v>
      </c>
      <c r="T100" s="91">
        <f t="shared" si="64"/>
        <v>6975.3928204921413</v>
      </c>
      <c r="U100" s="60">
        <f t="shared" si="65"/>
        <v>28709.5303058094</v>
      </c>
      <c r="V100" s="58">
        <f t="shared" si="66"/>
        <v>19017.370299652597</v>
      </c>
      <c r="W100" s="91">
        <f t="shared" si="67"/>
        <v>6103.4687179306229</v>
      </c>
      <c r="X100" s="59">
        <f t="shared" si="68"/>
        <v>25120.839017583221</v>
      </c>
      <c r="Y100" s="57">
        <f t="shared" si="50"/>
        <v>16300.603113987941</v>
      </c>
      <c r="Z100" s="91">
        <f t="shared" si="51"/>
        <v>5231.5446153691055</v>
      </c>
      <c r="AA100" s="59">
        <f t="shared" si="52"/>
        <v>21532.147729357046</v>
      </c>
    </row>
    <row r="101" spans="1:27" ht="13.5" customHeight="1">
      <c r="A101" s="187">
        <v>18</v>
      </c>
      <c r="B101" s="50">
        <v>44743</v>
      </c>
      <c r="C101" s="61">
        <f>VLOOKUP(B101,'base(indices)'!$A$4:$C$183,3,FALSE)</f>
        <v>1212</v>
      </c>
      <c r="D101" s="159">
        <f>'base(indices)'!G154</f>
        <v>0.99999998000000001</v>
      </c>
      <c r="E101" s="63">
        <f t="shared" si="35"/>
        <v>1211.9999757600001</v>
      </c>
      <c r="F101" s="307">
        <f>'base(indices)'!I154</f>
        <v>0.23849999999999999</v>
      </c>
      <c r="G101" s="63">
        <f t="shared" si="36"/>
        <v>289.06199421875999</v>
      </c>
      <c r="H101" s="61">
        <f t="shared" si="37"/>
        <v>1501.0619699787601</v>
      </c>
      <c r="I101" s="312">
        <f t="shared" si="55"/>
        <v>26410.959671780816</v>
      </c>
      <c r="J101" s="66">
        <f t="shared" si="34"/>
        <v>25660.428686791438</v>
      </c>
      <c r="K101" s="108">
        <f t="shared" si="38"/>
        <v>8719.2410256151761</v>
      </c>
      <c r="L101" s="295">
        <f t="shared" si="56"/>
        <v>34379.669712406612</v>
      </c>
      <c r="M101" s="43">
        <f t="shared" si="57"/>
        <v>24377.407252451863</v>
      </c>
      <c r="N101" s="108">
        <f t="shared" si="58"/>
        <v>8283.2789743344165</v>
      </c>
      <c r="O101" s="47">
        <f t="shared" si="59"/>
        <v>32660.686226786282</v>
      </c>
      <c r="P101" s="119">
        <f t="shared" si="60"/>
        <v>23094.385818112296</v>
      </c>
      <c r="Q101" s="108">
        <f t="shared" si="61"/>
        <v>7847.3169230536587</v>
      </c>
      <c r="R101" s="46">
        <f t="shared" si="62"/>
        <v>30941.702741165955</v>
      </c>
      <c r="S101" s="43">
        <f t="shared" si="63"/>
        <v>20528.34294943315</v>
      </c>
      <c r="T101" s="108">
        <f t="shared" si="64"/>
        <v>6975.3928204921413</v>
      </c>
      <c r="U101" s="47">
        <f t="shared" si="65"/>
        <v>27503.73576992529</v>
      </c>
      <c r="V101" s="45">
        <f t="shared" si="66"/>
        <v>17962.300080754005</v>
      </c>
      <c r="W101" s="108">
        <f t="shared" si="67"/>
        <v>6103.4687179306229</v>
      </c>
      <c r="X101" s="46">
        <f t="shared" si="68"/>
        <v>24065.768798684629</v>
      </c>
      <c r="Y101" s="43">
        <f t="shared" si="50"/>
        <v>15396.257212074863</v>
      </c>
      <c r="Z101" s="108">
        <f t="shared" si="51"/>
        <v>5231.5446153691055</v>
      </c>
      <c r="AA101" s="46">
        <f t="shared" si="52"/>
        <v>20627.801827443967</v>
      </c>
    </row>
    <row r="102" spans="1:27" ht="13.5" customHeight="1">
      <c r="A102" s="187">
        <v>17</v>
      </c>
      <c r="B102" s="50">
        <v>44774</v>
      </c>
      <c r="C102" s="61">
        <f>VLOOKUP(B102,'base(indices)'!$A$4:$C$183,3,FALSE)</f>
        <v>1212</v>
      </c>
      <c r="D102" s="159">
        <f>'base(indices)'!G155</f>
        <v>0.99999998000000001</v>
      </c>
      <c r="E102" s="54">
        <f t="shared" si="35"/>
        <v>1211.9999757600001</v>
      </c>
      <c r="F102" s="307">
        <f>'base(indices)'!I155</f>
        <v>0.22819999999999999</v>
      </c>
      <c r="G102" s="54">
        <f t="shared" si="36"/>
        <v>276.57839446843201</v>
      </c>
      <c r="H102" s="51">
        <f t="shared" si="37"/>
        <v>1488.578370228432</v>
      </c>
      <c r="I102" s="311">
        <f t="shared" si="55"/>
        <v>24909.897701802056</v>
      </c>
      <c r="J102" s="57">
        <f t="shared" si="34"/>
        <v>24165.60851668784</v>
      </c>
      <c r="K102" s="91">
        <f t="shared" si="38"/>
        <v>8719.2410256151761</v>
      </c>
      <c r="L102" s="294">
        <f t="shared" si="56"/>
        <v>32884.849542303018</v>
      </c>
      <c r="M102" s="57">
        <f t="shared" si="57"/>
        <v>22957.328090853447</v>
      </c>
      <c r="N102" s="91">
        <f t="shared" si="58"/>
        <v>8283.2789743344165</v>
      </c>
      <c r="O102" s="60">
        <f t="shared" si="59"/>
        <v>31240.607065187862</v>
      </c>
      <c r="P102" s="58">
        <f t="shared" si="60"/>
        <v>21749.047665019058</v>
      </c>
      <c r="Q102" s="91">
        <f t="shared" si="61"/>
        <v>7847.3169230536587</v>
      </c>
      <c r="R102" s="59">
        <f t="shared" si="62"/>
        <v>29596.364588072716</v>
      </c>
      <c r="S102" s="57">
        <f t="shared" si="63"/>
        <v>19332.486813350271</v>
      </c>
      <c r="T102" s="91">
        <f t="shared" si="64"/>
        <v>6975.3928204921413</v>
      </c>
      <c r="U102" s="60">
        <f t="shared" si="65"/>
        <v>26307.879633842414</v>
      </c>
      <c r="V102" s="58">
        <f t="shared" si="66"/>
        <v>16915.925961681489</v>
      </c>
      <c r="W102" s="91">
        <f t="shared" si="67"/>
        <v>6103.4687179306229</v>
      </c>
      <c r="X102" s="59">
        <f t="shared" si="68"/>
        <v>23019.394679612113</v>
      </c>
      <c r="Y102" s="57">
        <f t="shared" si="50"/>
        <v>14499.365110012704</v>
      </c>
      <c r="Z102" s="91">
        <f t="shared" si="51"/>
        <v>5231.5446153691055</v>
      </c>
      <c r="AA102" s="59">
        <f t="shared" si="52"/>
        <v>19730.909725381811</v>
      </c>
    </row>
    <row r="103" spans="1:27" ht="13.5" customHeight="1">
      <c r="A103" s="187">
        <v>16</v>
      </c>
      <c r="B103" s="50">
        <v>44805</v>
      </c>
      <c r="C103" s="61">
        <f>VLOOKUP(B103,'base(indices)'!$A$4:$C$183,3,FALSE)</f>
        <v>1212</v>
      </c>
      <c r="D103" s="159">
        <f>'base(indices)'!G156</f>
        <v>0.99999998000000001</v>
      </c>
      <c r="E103" s="63">
        <f t="shared" si="35"/>
        <v>1211.9999757600001</v>
      </c>
      <c r="F103" s="307">
        <f>'base(indices)'!I156</f>
        <v>0.2165</v>
      </c>
      <c r="G103" s="63">
        <f t="shared" si="36"/>
        <v>262.39799475204001</v>
      </c>
      <c r="H103" s="61">
        <f t="shared" si="37"/>
        <v>1474.39797051204</v>
      </c>
      <c r="I103" s="312">
        <f t="shared" si="55"/>
        <v>23421.319331573624</v>
      </c>
      <c r="J103" s="66">
        <f t="shared" si="34"/>
        <v>22684.120346317606</v>
      </c>
      <c r="K103" s="108">
        <f t="shared" si="38"/>
        <v>8719.2410256151761</v>
      </c>
      <c r="L103" s="295">
        <f t="shared" si="56"/>
        <v>31403.361371932784</v>
      </c>
      <c r="M103" s="43">
        <f t="shared" si="57"/>
        <v>21549.914329001724</v>
      </c>
      <c r="N103" s="108">
        <f t="shared" si="58"/>
        <v>8283.2789743344165</v>
      </c>
      <c r="O103" s="47">
        <f t="shared" si="59"/>
        <v>29833.193303336142</v>
      </c>
      <c r="P103" s="119">
        <f t="shared" si="60"/>
        <v>20415.708311685845</v>
      </c>
      <c r="Q103" s="108">
        <f t="shared" si="61"/>
        <v>7847.3169230536587</v>
      </c>
      <c r="R103" s="46">
        <f t="shared" si="62"/>
        <v>28263.025234739504</v>
      </c>
      <c r="S103" s="43">
        <f t="shared" si="63"/>
        <v>18147.296277054087</v>
      </c>
      <c r="T103" s="108">
        <f t="shared" si="64"/>
        <v>6975.3928204921413</v>
      </c>
      <c r="U103" s="47">
        <f t="shared" si="65"/>
        <v>25122.68909754623</v>
      </c>
      <c r="V103" s="45">
        <f t="shared" si="66"/>
        <v>15878.884242422324</v>
      </c>
      <c r="W103" s="108">
        <f t="shared" si="67"/>
        <v>6103.4687179306229</v>
      </c>
      <c r="X103" s="46">
        <f t="shared" si="68"/>
        <v>21982.352960352946</v>
      </c>
      <c r="Y103" s="43">
        <f t="shared" si="50"/>
        <v>13610.472207790563</v>
      </c>
      <c r="Z103" s="108">
        <f t="shared" si="51"/>
        <v>5231.5446153691055</v>
      </c>
      <c r="AA103" s="46">
        <f t="shared" si="52"/>
        <v>18842.016823159669</v>
      </c>
    </row>
    <row r="104" spans="1:27" ht="13.5" customHeight="1">
      <c r="A104" s="187">
        <v>15</v>
      </c>
      <c r="B104" s="50">
        <v>44835</v>
      </c>
      <c r="C104" s="61">
        <f>VLOOKUP(B104,'base(indices)'!$A$4:$C$183,3,FALSE)</f>
        <v>1212</v>
      </c>
      <c r="D104" s="159">
        <f>'base(indices)'!G157</f>
        <v>0.99999998000000001</v>
      </c>
      <c r="E104" s="54">
        <f t="shared" si="35"/>
        <v>1211.9999757600001</v>
      </c>
      <c r="F104" s="307">
        <f>'base(indices)'!I157</f>
        <v>0.20580000000000001</v>
      </c>
      <c r="G104" s="54">
        <f t="shared" si="36"/>
        <v>249.42959501140803</v>
      </c>
      <c r="H104" s="51">
        <f t="shared" si="37"/>
        <v>1461.4295707714082</v>
      </c>
      <c r="I104" s="311">
        <f t="shared" si="55"/>
        <v>21946.921361061584</v>
      </c>
      <c r="J104" s="57">
        <f t="shared" si="34"/>
        <v>21216.206575675882</v>
      </c>
      <c r="K104" s="91">
        <f t="shared" si="38"/>
        <v>8719.2410256151761</v>
      </c>
      <c r="L104" s="294">
        <f t="shared" si="56"/>
        <v>29935.44760129106</v>
      </c>
      <c r="M104" s="57">
        <f t="shared" si="57"/>
        <v>20155.396246892087</v>
      </c>
      <c r="N104" s="91">
        <f t="shared" si="58"/>
        <v>8283.2789743344165</v>
      </c>
      <c r="O104" s="60">
        <f t="shared" si="59"/>
        <v>28438.675221226506</v>
      </c>
      <c r="P104" s="58">
        <f t="shared" si="60"/>
        <v>19094.585918108296</v>
      </c>
      <c r="Q104" s="91">
        <f t="shared" si="61"/>
        <v>7847.3169230536587</v>
      </c>
      <c r="R104" s="59">
        <f t="shared" si="62"/>
        <v>26941.902841161955</v>
      </c>
      <c r="S104" s="57">
        <f t="shared" si="63"/>
        <v>16972.965260540706</v>
      </c>
      <c r="T104" s="91">
        <f t="shared" si="64"/>
        <v>6975.3928204921413</v>
      </c>
      <c r="U104" s="60">
        <f t="shared" si="65"/>
        <v>23948.358081032849</v>
      </c>
      <c r="V104" s="58">
        <f t="shared" si="66"/>
        <v>14851.344602973117</v>
      </c>
      <c r="W104" s="91">
        <f t="shared" si="67"/>
        <v>6103.4687179306229</v>
      </c>
      <c r="X104" s="59">
        <f t="shared" si="68"/>
        <v>20954.813320903741</v>
      </c>
      <c r="Y104" s="57">
        <f t="shared" si="50"/>
        <v>12729.723945405529</v>
      </c>
      <c r="Z104" s="91">
        <f t="shared" si="51"/>
        <v>5231.5446153691055</v>
      </c>
      <c r="AA104" s="59">
        <f t="shared" si="52"/>
        <v>17961.268560774635</v>
      </c>
    </row>
    <row r="105" spans="1:27" ht="13.5" customHeight="1">
      <c r="A105" s="187">
        <v>14</v>
      </c>
      <c r="B105" s="50">
        <v>44866</v>
      </c>
      <c r="C105" s="61">
        <f>VLOOKUP(B105,'base(indices)'!$A$4:$C$183,3,FALSE)</f>
        <v>1212</v>
      </c>
      <c r="D105" s="159">
        <f>'base(indices)'!G158</f>
        <v>0.99999998000000001</v>
      </c>
      <c r="E105" s="63">
        <f t="shared" si="35"/>
        <v>1211.9999757600001</v>
      </c>
      <c r="F105" s="307">
        <f>'base(indices)'!I158</f>
        <v>0.1956</v>
      </c>
      <c r="G105" s="63">
        <f t="shared" si="36"/>
        <v>237.06719525865603</v>
      </c>
      <c r="H105" s="61">
        <f t="shared" si="37"/>
        <v>1449.0671710186562</v>
      </c>
      <c r="I105" s="312">
        <f t="shared" si="55"/>
        <v>20485.491790290176</v>
      </c>
      <c r="J105" s="66">
        <f t="shared" si="34"/>
        <v>19760.958204780847</v>
      </c>
      <c r="K105" s="108">
        <f t="shared" si="38"/>
        <v>8719.2410256151761</v>
      </c>
      <c r="L105" s="295">
        <f t="shared" si="56"/>
        <v>28480.199230396021</v>
      </c>
      <c r="M105" s="43">
        <f t="shared" si="57"/>
        <v>18772.910294541805</v>
      </c>
      <c r="N105" s="108">
        <f t="shared" si="58"/>
        <v>8283.2789743344165</v>
      </c>
      <c r="O105" s="47">
        <f t="shared" si="59"/>
        <v>27056.189268876224</v>
      </c>
      <c r="P105" s="119">
        <f t="shared" si="60"/>
        <v>17784.862384302764</v>
      </c>
      <c r="Q105" s="108">
        <f t="shared" si="61"/>
        <v>7847.3169230536587</v>
      </c>
      <c r="R105" s="46">
        <f t="shared" si="62"/>
        <v>25632.179307356422</v>
      </c>
      <c r="S105" s="43">
        <f t="shared" si="63"/>
        <v>15808.766563824678</v>
      </c>
      <c r="T105" s="108">
        <f t="shared" si="64"/>
        <v>6975.3928204921413</v>
      </c>
      <c r="U105" s="47">
        <f t="shared" si="65"/>
        <v>22784.159384316819</v>
      </c>
      <c r="V105" s="45">
        <f t="shared" si="66"/>
        <v>13832.670743346593</v>
      </c>
      <c r="W105" s="108">
        <f t="shared" si="67"/>
        <v>6103.4687179306229</v>
      </c>
      <c r="X105" s="46">
        <f t="shared" si="68"/>
        <v>19936.139461277216</v>
      </c>
      <c r="Y105" s="43">
        <f t="shared" si="50"/>
        <v>11856.574922868507</v>
      </c>
      <c r="Z105" s="108">
        <f t="shared" si="51"/>
        <v>5231.5446153691055</v>
      </c>
      <c r="AA105" s="46">
        <f t="shared" si="52"/>
        <v>17088.119538237614</v>
      </c>
    </row>
    <row r="106" spans="1:27" ht="12.75" customHeight="1" thickBot="1">
      <c r="A106" s="188">
        <v>13</v>
      </c>
      <c r="B106" s="300">
        <v>44896</v>
      </c>
      <c r="C106" s="69">
        <f>VLOOKUP(B106,'base(indices)'!$A$4:$C$183,3,FALSE)</f>
        <v>1212</v>
      </c>
      <c r="D106" s="272">
        <f>'base(indices)'!G159</f>
        <v>0.99999998000000001</v>
      </c>
      <c r="E106" s="163">
        <f t="shared" si="35"/>
        <v>1211.9999757600001</v>
      </c>
      <c r="F106" s="304">
        <f>'base(indices)'!I159</f>
        <v>0.18540000000000001</v>
      </c>
      <c r="G106" s="163">
        <f t="shared" si="36"/>
        <v>224.70479550590403</v>
      </c>
      <c r="H106" s="162">
        <f t="shared" si="37"/>
        <v>1436.7047712659041</v>
      </c>
      <c r="I106" s="313">
        <f t="shared" si="55"/>
        <v>19036.424619271522</v>
      </c>
      <c r="J106" s="57">
        <f t="shared" si="34"/>
        <v>18318.07223363857</v>
      </c>
      <c r="K106" s="86">
        <f t="shared" si="38"/>
        <v>8719.2410256151761</v>
      </c>
      <c r="L106" s="296">
        <f t="shared" si="56"/>
        <v>27037.313259253744</v>
      </c>
      <c r="M106" s="85">
        <f t="shared" si="57"/>
        <v>17402.16862195664</v>
      </c>
      <c r="N106" s="86">
        <f t="shared" si="58"/>
        <v>8283.2789743344165</v>
      </c>
      <c r="O106" s="107">
        <f t="shared" si="59"/>
        <v>25685.447596291058</v>
      </c>
      <c r="P106" s="175">
        <f t="shared" si="60"/>
        <v>16486.265010274714</v>
      </c>
      <c r="Q106" s="86">
        <f t="shared" si="61"/>
        <v>7847.3169230536587</v>
      </c>
      <c r="R106" s="165">
        <f t="shared" si="62"/>
        <v>24333.581933328373</v>
      </c>
      <c r="S106" s="85">
        <f t="shared" si="63"/>
        <v>14654.457786910856</v>
      </c>
      <c r="T106" s="86">
        <f t="shared" si="64"/>
        <v>6975.3928204921413</v>
      </c>
      <c r="U106" s="107">
        <f t="shared" si="65"/>
        <v>21629.850607402997</v>
      </c>
      <c r="V106" s="175">
        <f t="shared" si="66"/>
        <v>12822.650563546998</v>
      </c>
      <c r="W106" s="86">
        <f t="shared" si="67"/>
        <v>6103.4687179306229</v>
      </c>
      <c r="X106" s="165">
        <f t="shared" si="68"/>
        <v>18926.119281477622</v>
      </c>
      <c r="Y106" s="85">
        <f t="shared" si="50"/>
        <v>10990.843340183141</v>
      </c>
      <c r="Z106" s="86">
        <f t="shared" si="51"/>
        <v>5231.5446153691055</v>
      </c>
      <c r="AA106" s="165">
        <f t="shared" si="52"/>
        <v>16222.387955552247</v>
      </c>
    </row>
    <row r="107" spans="1:27" ht="12.75" customHeight="1">
      <c r="A107" s="190">
        <v>12</v>
      </c>
      <c r="B107" s="246">
        <v>44927</v>
      </c>
      <c r="C107" s="273">
        <f>VLOOKUP(B107,'base(indices)'!$A$4:$C$183,3,FALSE)</f>
        <v>1302</v>
      </c>
      <c r="D107" s="176">
        <f>'base(indices)'!G160</f>
        <v>0.99999998000000001</v>
      </c>
      <c r="E107" s="154">
        <f t="shared" ref="E107:E118" si="69">C107*D107</f>
        <v>1301.99997396</v>
      </c>
      <c r="F107" s="264">
        <f>'base(indices)'!I160</f>
        <v>0.17419999999999999</v>
      </c>
      <c r="G107" s="154">
        <f t="shared" ref="G107:G118" si="70">E107*F107</f>
        <v>226.808395463832</v>
      </c>
      <c r="H107" s="155">
        <f t="shared" ref="H107:H118" si="71">E107+G107</f>
        <v>1528.8083694238321</v>
      </c>
      <c r="I107" s="370">
        <f t="shared" ref="I107:I118" si="72">I106-H106</f>
        <v>17599.719848005618</v>
      </c>
      <c r="J107" s="385">
        <f t="shared" si="34"/>
        <v>16835.315663293703</v>
      </c>
      <c r="K107" s="156">
        <f t="shared" ref="K107:K118" si="73">I$136</f>
        <v>8719.2410256151761</v>
      </c>
      <c r="L107" s="315">
        <f t="shared" ref="L107:L118" si="74">J107+K107</f>
        <v>25554.55668890888</v>
      </c>
      <c r="M107" s="283">
        <f t="shared" ref="M107:M118" si="75">J107*M$9</f>
        <v>15993.549880129016</v>
      </c>
      <c r="N107" s="156">
        <f t="shared" ref="N107:N118" si="76">K107*M$9</f>
        <v>8283.2789743344165</v>
      </c>
      <c r="O107" s="290">
        <f t="shared" ref="O107:O118" si="77">M107+N107</f>
        <v>24276.828854463434</v>
      </c>
      <c r="P107" s="119">
        <f t="shared" ref="P107:P118" si="78">J107*$P$9</f>
        <v>15151.784096964333</v>
      </c>
      <c r="Q107" s="108">
        <f t="shared" ref="Q107:Q118" si="79">K107*P$9</f>
        <v>7847.3169230536587</v>
      </c>
      <c r="R107" s="46">
        <f t="shared" ref="R107:R118" si="80">P107+Q107</f>
        <v>22999.101020017992</v>
      </c>
      <c r="S107" s="138">
        <f t="shared" ref="S107:S118" si="81">J107*S$9</f>
        <v>13468.252530634963</v>
      </c>
      <c r="T107" s="109">
        <f t="shared" ref="T107:T118" si="82">K107*S$9</f>
        <v>6975.3928204921413</v>
      </c>
      <c r="U107" s="139">
        <f t="shared" ref="U107:U118" si="83">S107+T107</f>
        <v>20443.645351127103</v>
      </c>
      <c r="V107" s="45">
        <f t="shared" ref="V107:V118" si="84">J107*V$9</f>
        <v>11784.72096430559</v>
      </c>
      <c r="W107" s="108">
        <f t="shared" ref="W107:W118" si="85">K107*V$9</f>
        <v>6103.4687179306229</v>
      </c>
      <c r="X107" s="46">
        <f t="shared" ref="X107:X118" si="86">V107+W107</f>
        <v>17888.189682236214</v>
      </c>
      <c r="Y107" s="138">
        <f t="shared" ref="Y107:Y118" si="87">J107*Y$9</f>
        <v>10101.189397976221</v>
      </c>
      <c r="Z107" s="109">
        <f t="shared" ref="Z107:Z118" si="88">K107*Y$9</f>
        <v>5231.5446153691055</v>
      </c>
      <c r="AA107" s="49">
        <f t="shared" ref="AA107:AA118" si="89">Y107+Z107</f>
        <v>15332.734013345325</v>
      </c>
    </row>
    <row r="108" spans="1:27" ht="12.75" customHeight="1">
      <c r="A108" s="187">
        <v>11</v>
      </c>
      <c r="B108" s="50">
        <v>44958</v>
      </c>
      <c r="C108" s="61">
        <f>VLOOKUP(B108,'base(indices)'!$A$4:$C$183,3,FALSE)</f>
        <v>1302</v>
      </c>
      <c r="D108" s="159">
        <f>'base(indices)'!G161</f>
        <v>0.99999998000000001</v>
      </c>
      <c r="E108" s="54">
        <f t="shared" si="69"/>
        <v>1301.99997396</v>
      </c>
      <c r="F108" s="307">
        <f>'base(indices)'!I161</f>
        <v>0.16300000000000001</v>
      </c>
      <c r="G108" s="54">
        <f t="shared" si="70"/>
        <v>212.22599575548</v>
      </c>
      <c r="H108" s="51">
        <f t="shared" si="71"/>
        <v>1514.22596971548</v>
      </c>
      <c r="I108" s="311">
        <f t="shared" si="72"/>
        <v>16070.911478581786</v>
      </c>
      <c r="J108" s="57">
        <f t="shared" si="34"/>
        <v>15313.798493724045</v>
      </c>
      <c r="K108" s="91">
        <f t="shared" si="73"/>
        <v>8719.2410256151761</v>
      </c>
      <c r="L108" s="294">
        <f t="shared" si="74"/>
        <v>24033.039519339221</v>
      </c>
      <c r="M108" s="57">
        <f t="shared" si="75"/>
        <v>14548.108569037842</v>
      </c>
      <c r="N108" s="91">
        <f t="shared" si="76"/>
        <v>8283.2789743344165</v>
      </c>
      <c r="O108" s="60">
        <f t="shared" si="77"/>
        <v>22831.387543372257</v>
      </c>
      <c r="P108" s="58">
        <f t="shared" si="78"/>
        <v>13782.418644351641</v>
      </c>
      <c r="Q108" s="91">
        <f t="shared" si="79"/>
        <v>7847.3169230536587</v>
      </c>
      <c r="R108" s="59">
        <f t="shared" si="80"/>
        <v>21629.7355674053</v>
      </c>
      <c r="S108" s="57">
        <f t="shared" si="81"/>
        <v>12251.038794979237</v>
      </c>
      <c r="T108" s="91">
        <f t="shared" si="82"/>
        <v>6975.3928204921413</v>
      </c>
      <c r="U108" s="60">
        <f t="shared" si="83"/>
        <v>19226.431615471378</v>
      </c>
      <c r="V108" s="58">
        <f t="shared" si="84"/>
        <v>10719.65894560683</v>
      </c>
      <c r="W108" s="91">
        <f t="shared" si="85"/>
        <v>6103.4687179306229</v>
      </c>
      <c r="X108" s="59">
        <f t="shared" si="86"/>
        <v>16823.127663537452</v>
      </c>
      <c r="Y108" s="57">
        <f t="shared" si="87"/>
        <v>9188.2790962344261</v>
      </c>
      <c r="Z108" s="91">
        <f t="shared" si="88"/>
        <v>5231.5446153691055</v>
      </c>
      <c r="AA108" s="59">
        <f t="shared" si="89"/>
        <v>14419.823711603531</v>
      </c>
    </row>
    <row r="109" spans="1:27" ht="12.75" customHeight="1">
      <c r="A109" s="187">
        <v>10</v>
      </c>
      <c r="B109" s="40">
        <v>44986</v>
      </c>
      <c r="C109" s="61">
        <f>VLOOKUP(B109,'base(indices)'!$A$4:$C$183,3,FALSE)</f>
        <v>1302</v>
      </c>
      <c r="D109" s="159">
        <f>'base(indices)'!G162</f>
        <v>0.99999998000000001</v>
      </c>
      <c r="E109" s="63">
        <f t="shared" si="69"/>
        <v>1301.99997396</v>
      </c>
      <c r="F109" s="307">
        <f>'base(indices)'!I162</f>
        <v>0.15379999999999999</v>
      </c>
      <c r="G109" s="63">
        <f t="shared" si="70"/>
        <v>200.24759599504799</v>
      </c>
      <c r="H109" s="61">
        <f t="shared" si="71"/>
        <v>1502.247569955048</v>
      </c>
      <c r="I109" s="312">
        <f t="shared" si="72"/>
        <v>14556.685508866305</v>
      </c>
      <c r="J109" s="66">
        <f t="shared" si="34"/>
        <v>13805.561723888781</v>
      </c>
      <c r="K109" s="108">
        <f t="shared" si="73"/>
        <v>8719.2410256151761</v>
      </c>
      <c r="L109" s="295">
        <f t="shared" si="74"/>
        <v>22524.802749503957</v>
      </c>
      <c r="M109" s="43">
        <f t="shared" si="75"/>
        <v>13115.283637694341</v>
      </c>
      <c r="N109" s="108">
        <f t="shared" si="76"/>
        <v>8283.2789743344165</v>
      </c>
      <c r="O109" s="47">
        <f t="shared" si="77"/>
        <v>21398.562612028756</v>
      </c>
      <c r="P109" s="119">
        <f t="shared" si="78"/>
        <v>12425.005551499902</v>
      </c>
      <c r="Q109" s="108">
        <f t="shared" si="79"/>
        <v>7847.3169230536587</v>
      </c>
      <c r="R109" s="46">
        <f t="shared" si="80"/>
        <v>20272.322474553563</v>
      </c>
      <c r="S109" s="43">
        <f t="shared" si="81"/>
        <v>11044.449379111025</v>
      </c>
      <c r="T109" s="108">
        <f t="shared" si="82"/>
        <v>6975.3928204921413</v>
      </c>
      <c r="U109" s="47">
        <f t="shared" si="83"/>
        <v>18019.842199603168</v>
      </c>
      <c r="V109" s="45">
        <f t="shared" si="84"/>
        <v>9663.8932067221467</v>
      </c>
      <c r="W109" s="108">
        <f t="shared" si="85"/>
        <v>6103.4687179306229</v>
      </c>
      <c r="X109" s="46">
        <f t="shared" si="86"/>
        <v>15767.361924652771</v>
      </c>
      <c r="Y109" s="43">
        <f t="shared" si="87"/>
        <v>8283.3370343332681</v>
      </c>
      <c r="Z109" s="108">
        <f t="shared" si="88"/>
        <v>5231.5446153691055</v>
      </c>
      <c r="AA109" s="46">
        <f t="shared" si="89"/>
        <v>13514.881649702373</v>
      </c>
    </row>
    <row r="110" spans="1:27" ht="12.75" customHeight="1">
      <c r="A110" s="187">
        <v>9</v>
      </c>
      <c r="B110" s="50">
        <v>45017</v>
      </c>
      <c r="C110" s="61">
        <f>VLOOKUP(B110,'base(indices)'!$A$4:$C$183,3,FALSE)</f>
        <v>1302</v>
      </c>
      <c r="D110" s="159">
        <f>'base(indices)'!G163</f>
        <v>0.99999998000000001</v>
      </c>
      <c r="E110" s="54">
        <f t="shared" si="69"/>
        <v>1301.99997396</v>
      </c>
      <c r="F110" s="307">
        <f>'base(indices)'!I163</f>
        <v>0.1421</v>
      </c>
      <c r="G110" s="54">
        <f t="shared" si="70"/>
        <v>185.01419629971602</v>
      </c>
      <c r="H110" s="51">
        <f t="shared" si="71"/>
        <v>1487.0141702597161</v>
      </c>
      <c r="I110" s="311">
        <f t="shared" si="72"/>
        <v>13054.437938911256</v>
      </c>
      <c r="J110" s="57">
        <f t="shared" si="34"/>
        <v>12310.930853781398</v>
      </c>
      <c r="K110" s="91">
        <f t="shared" si="73"/>
        <v>8719.2410256151761</v>
      </c>
      <c r="L110" s="294">
        <f t="shared" si="74"/>
        <v>21030.171879396574</v>
      </c>
      <c r="M110" s="57">
        <f t="shared" si="75"/>
        <v>11695.384311092328</v>
      </c>
      <c r="N110" s="91">
        <f t="shared" si="76"/>
        <v>8283.2789743344165</v>
      </c>
      <c r="O110" s="60">
        <f t="shared" si="77"/>
        <v>19978.663285426745</v>
      </c>
      <c r="P110" s="58">
        <f t="shared" si="78"/>
        <v>11079.837768403258</v>
      </c>
      <c r="Q110" s="91">
        <f t="shared" si="79"/>
        <v>7847.3169230536587</v>
      </c>
      <c r="R110" s="59">
        <f t="shared" si="80"/>
        <v>18927.154691456919</v>
      </c>
      <c r="S110" s="57">
        <f t="shared" si="81"/>
        <v>9848.7446830251192</v>
      </c>
      <c r="T110" s="91">
        <f t="shared" si="82"/>
        <v>6975.3928204921413</v>
      </c>
      <c r="U110" s="60">
        <f t="shared" si="83"/>
        <v>16824.13750351726</v>
      </c>
      <c r="V110" s="58">
        <f t="shared" si="84"/>
        <v>8617.6515976469782</v>
      </c>
      <c r="W110" s="91">
        <f t="shared" si="85"/>
        <v>6103.4687179306229</v>
      </c>
      <c r="X110" s="59">
        <f t="shared" si="86"/>
        <v>14721.120315577602</v>
      </c>
      <c r="Y110" s="57">
        <f t="shared" si="87"/>
        <v>7386.5585122688381</v>
      </c>
      <c r="Z110" s="91">
        <f t="shared" si="88"/>
        <v>5231.5446153691055</v>
      </c>
      <c r="AA110" s="59">
        <f t="shared" si="89"/>
        <v>12618.103127637944</v>
      </c>
    </row>
    <row r="111" spans="1:27" ht="12.75" customHeight="1">
      <c r="A111" s="187">
        <v>8</v>
      </c>
      <c r="B111" s="40">
        <v>45047</v>
      </c>
      <c r="C111" s="61">
        <f>VLOOKUP(B111,'base(indices)'!$A$4:$C$183,3,FALSE)</f>
        <v>1320</v>
      </c>
      <c r="D111" s="159">
        <f>'base(indices)'!G164</f>
        <v>0.99999998000000001</v>
      </c>
      <c r="E111" s="63">
        <f t="shared" si="69"/>
        <v>1319.9999736</v>
      </c>
      <c r="F111" s="307">
        <f>'base(indices)'!I164</f>
        <v>0.13289999999999999</v>
      </c>
      <c r="G111" s="63">
        <f t="shared" si="70"/>
        <v>175.42799649143998</v>
      </c>
      <c r="H111" s="61">
        <f t="shared" si="71"/>
        <v>1495.4279700914399</v>
      </c>
      <c r="I111" s="312">
        <f t="shared" si="72"/>
        <v>11567.423768651541</v>
      </c>
      <c r="J111" s="66">
        <f t="shared" si="34"/>
        <v>10819.70978360582</v>
      </c>
      <c r="K111" s="108">
        <f t="shared" si="73"/>
        <v>8719.2410256151761</v>
      </c>
      <c r="L111" s="295">
        <f t="shared" si="74"/>
        <v>19538.950809220994</v>
      </c>
      <c r="M111" s="43">
        <f t="shared" si="75"/>
        <v>10278.724294425529</v>
      </c>
      <c r="N111" s="108">
        <f t="shared" si="76"/>
        <v>8283.2789743344165</v>
      </c>
      <c r="O111" s="47">
        <f t="shared" si="77"/>
        <v>18562.003268759945</v>
      </c>
      <c r="P111" s="119">
        <f t="shared" si="78"/>
        <v>9737.7388052452388</v>
      </c>
      <c r="Q111" s="108">
        <f t="shared" si="79"/>
        <v>7847.3169230536587</v>
      </c>
      <c r="R111" s="46">
        <f t="shared" si="80"/>
        <v>17585.055728298896</v>
      </c>
      <c r="S111" s="43">
        <f t="shared" si="81"/>
        <v>8655.7678268846557</v>
      </c>
      <c r="T111" s="108">
        <f t="shared" si="82"/>
        <v>6975.3928204921413</v>
      </c>
      <c r="U111" s="47">
        <f t="shared" si="83"/>
        <v>15631.160647376797</v>
      </c>
      <c r="V111" s="45">
        <f t="shared" si="84"/>
        <v>7573.7968485240735</v>
      </c>
      <c r="W111" s="108">
        <f t="shared" si="85"/>
        <v>6103.4687179306229</v>
      </c>
      <c r="X111" s="46">
        <f t="shared" si="86"/>
        <v>13677.265566454696</v>
      </c>
      <c r="Y111" s="43">
        <f t="shared" si="87"/>
        <v>6491.8258701634923</v>
      </c>
      <c r="Z111" s="108">
        <f t="shared" si="88"/>
        <v>5231.5446153691055</v>
      </c>
      <c r="AA111" s="46">
        <f t="shared" si="89"/>
        <v>11723.370485532598</v>
      </c>
    </row>
    <row r="112" spans="1:27" ht="12.75" customHeight="1">
      <c r="A112" s="187">
        <v>7</v>
      </c>
      <c r="B112" s="50">
        <v>45078</v>
      </c>
      <c r="C112" s="61">
        <f>VLOOKUP(B112,'base(indices)'!$A$4:$C$183,3,FALSE)</f>
        <v>1320</v>
      </c>
      <c r="D112" s="159">
        <f>'base(indices)'!G165</f>
        <v>0.99999998000000001</v>
      </c>
      <c r="E112" s="54">
        <f t="shared" si="69"/>
        <v>1319.9999736</v>
      </c>
      <c r="F112" s="307">
        <f>'base(indices)'!I165</f>
        <v>0.1217</v>
      </c>
      <c r="G112" s="54">
        <f t="shared" si="70"/>
        <v>160.64399678711999</v>
      </c>
      <c r="H112" s="51">
        <f t="shared" si="71"/>
        <v>1480.6439703871199</v>
      </c>
      <c r="I112" s="311">
        <f t="shared" si="72"/>
        <v>10071.995798560101</v>
      </c>
      <c r="J112" s="57">
        <f t="shared" si="34"/>
        <v>9331.6738133665422</v>
      </c>
      <c r="K112" s="91">
        <f t="shared" si="73"/>
        <v>8719.2410256151761</v>
      </c>
      <c r="L112" s="294">
        <f t="shared" si="74"/>
        <v>18050.91483898172</v>
      </c>
      <c r="M112" s="57">
        <f t="shared" si="75"/>
        <v>8865.0901226982151</v>
      </c>
      <c r="N112" s="91">
        <f t="shared" si="76"/>
        <v>8283.2789743344165</v>
      </c>
      <c r="O112" s="60">
        <f t="shared" si="77"/>
        <v>17148.369097032632</v>
      </c>
      <c r="P112" s="58">
        <f t="shared" si="78"/>
        <v>8398.5064320298879</v>
      </c>
      <c r="Q112" s="91">
        <f t="shared" si="79"/>
        <v>7847.3169230536587</v>
      </c>
      <c r="R112" s="59">
        <f t="shared" si="80"/>
        <v>16245.823355083547</v>
      </c>
      <c r="S112" s="57">
        <f t="shared" si="81"/>
        <v>7465.3390506932337</v>
      </c>
      <c r="T112" s="91">
        <f t="shared" si="82"/>
        <v>6975.3928204921413</v>
      </c>
      <c r="U112" s="60">
        <f t="shared" si="83"/>
        <v>14440.731871185375</v>
      </c>
      <c r="V112" s="58">
        <f t="shared" si="84"/>
        <v>6532.1716693565795</v>
      </c>
      <c r="W112" s="91">
        <f t="shared" si="85"/>
        <v>6103.4687179306229</v>
      </c>
      <c r="X112" s="59">
        <f t="shared" si="86"/>
        <v>12635.640387287203</v>
      </c>
      <c r="Y112" s="57">
        <f t="shared" si="87"/>
        <v>5599.0042880199253</v>
      </c>
      <c r="Z112" s="91">
        <f t="shared" si="88"/>
        <v>5231.5446153691055</v>
      </c>
      <c r="AA112" s="59">
        <f t="shared" si="89"/>
        <v>10830.54890338903</v>
      </c>
    </row>
    <row r="113" spans="1:34" ht="12.75" customHeight="1">
      <c r="A113" s="187">
        <v>6</v>
      </c>
      <c r="B113" s="40">
        <v>45108</v>
      </c>
      <c r="C113" s="61">
        <f>VLOOKUP(B113,'base(indices)'!$A$4:$C$183,3,FALSE)</f>
        <v>1320</v>
      </c>
      <c r="D113" s="159">
        <f>'base(indices)'!G166</f>
        <v>0.99999998000000001</v>
      </c>
      <c r="E113" s="63">
        <f t="shared" si="69"/>
        <v>1319.9999736</v>
      </c>
      <c r="F113" s="307">
        <f>'base(indices)'!I166</f>
        <v>0.111</v>
      </c>
      <c r="G113" s="63">
        <f t="shared" si="70"/>
        <v>146.51999706960001</v>
      </c>
      <c r="H113" s="61">
        <f t="shared" si="71"/>
        <v>1466.5199706696001</v>
      </c>
      <c r="I113" s="312">
        <f t="shared" si="72"/>
        <v>8591.3518281729812</v>
      </c>
      <c r="J113" s="66">
        <f t="shared" si="34"/>
        <v>7858.091842838181</v>
      </c>
      <c r="K113" s="108">
        <f t="shared" si="73"/>
        <v>8719.2410256151761</v>
      </c>
      <c r="L113" s="295">
        <f t="shared" si="74"/>
        <v>16577.332868453355</v>
      </c>
      <c r="M113" s="43">
        <f t="shared" si="75"/>
        <v>7465.1872506962718</v>
      </c>
      <c r="N113" s="108">
        <f t="shared" si="76"/>
        <v>8283.2789743344165</v>
      </c>
      <c r="O113" s="47">
        <f t="shared" si="77"/>
        <v>15748.466225030688</v>
      </c>
      <c r="P113" s="119">
        <f t="shared" si="78"/>
        <v>7072.2826585543635</v>
      </c>
      <c r="Q113" s="108">
        <f t="shared" si="79"/>
        <v>7847.3169230536587</v>
      </c>
      <c r="R113" s="46">
        <f t="shared" si="80"/>
        <v>14919.599581608021</v>
      </c>
      <c r="S113" s="43">
        <f t="shared" si="81"/>
        <v>6286.473474270545</v>
      </c>
      <c r="T113" s="108">
        <f t="shared" si="82"/>
        <v>6975.3928204921413</v>
      </c>
      <c r="U113" s="47">
        <f t="shared" si="83"/>
        <v>13261.866294762687</v>
      </c>
      <c r="V113" s="45">
        <f t="shared" si="84"/>
        <v>5500.6642899867265</v>
      </c>
      <c r="W113" s="108">
        <f t="shared" si="85"/>
        <v>6103.4687179306229</v>
      </c>
      <c r="X113" s="46">
        <f t="shared" si="86"/>
        <v>11604.133007917349</v>
      </c>
      <c r="Y113" s="43">
        <f t="shared" si="87"/>
        <v>4714.8551057029081</v>
      </c>
      <c r="Z113" s="108">
        <f t="shared" si="88"/>
        <v>5231.5446153691055</v>
      </c>
      <c r="AA113" s="46">
        <f t="shared" si="89"/>
        <v>9946.3997210720136</v>
      </c>
    </row>
    <row r="114" spans="1:34" ht="12.75" customHeight="1">
      <c r="A114" s="187">
        <v>5</v>
      </c>
      <c r="B114" s="50">
        <v>45139</v>
      </c>
      <c r="C114" s="61">
        <f>VLOOKUP(B114,'base(indices)'!$A$4:$C$183,3,FALSE)</f>
        <v>1320</v>
      </c>
      <c r="D114" s="159">
        <f>'base(indices)'!G167</f>
        <v>0.99999998000000001</v>
      </c>
      <c r="E114" s="54">
        <f t="shared" si="69"/>
        <v>1319.9999736</v>
      </c>
      <c r="F114" s="307">
        <f>'base(indices)'!I167</f>
        <v>0.1003</v>
      </c>
      <c r="G114" s="54">
        <f t="shared" si="70"/>
        <v>132.39599735208</v>
      </c>
      <c r="H114" s="51">
        <f t="shared" si="71"/>
        <v>1452.39597095208</v>
      </c>
      <c r="I114" s="311">
        <f t="shared" si="72"/>
        <v>7124.8318575033809</v>
      </c>
      <c r="J114" s="57">
        <f t="shared" si="34"/>
        <v>6398.6338720273407</v>
      </c>
      <c r="K114" s="91">
        <f t="shared" si="73"/>
        <v>8719.2410256151761</v>
      </c>
      <c r="L114" s="294">
        <f t="shared" si="74"/>
        <v>15117.874897642516</v>
      </c>
      <c r="M114" s="57">
        <f t="shared" si="75"/>
        <v>6078.7021784259732</v>
      </c>
      <c r="N114" s="91">
        <f t="shared" si="76"/>
        <v>8283.2789743344165</v>
      </c>
      <c r="O114" s="60">
        <f t="shared" si="77"/>
        <v>14361.981152760389</v>
      </c>
      <c r="P114" s="58">
        <f t="shared" si="78"/>
        <v>5758.7704848246067</v>
      </c>
      <c r="Q114" s="91">
        <f t="shared" si="79"/>
        <v>7847.3169230536587</v>
      </c>
      <c r="R114" s="59">
        <f t="shared" si="80"/>
        <v>13606.087407878265</v>
      </c>
      <c r="S114" s="57">
        <f t="shared" si="81"/>
        <v>5118.9070976218727</v>
      </c>
      <c r="T114" s="91">
        <f t="shared" si="82"/>
        <v>6975.3928204921413</v>
      </c>
      <c r="U114" s="60">
        <f t="shared" si="83"/>
        <v>12094.299918114015</v>
      </c>
      <c r="V114" s="58">
        <f t="shared" si="84"/>
        <v>4479.0437104191378</v>
      </c>
      <c r="W114" s="91">
        <f t="shared" si="85"/>
        <v>6103.4687179306229</v>
      </c>
      <c r="X114" s="59">
        <f t="shared" si="86"/>
        <v>10582.512428349761</v>
      </c>
      <c r="Y114" s="57">
        <f t="shared" si="87"/>
        <v>3839.1803232164043</v>
      </c>
      <c r="Z114" s="91">
        <f t="shared" si="88"/>
        <v>5231.5446153691055</v>
      </c>
      <c r="AA114" s="59">
        <f t="shared" si="89"/>
        <v>9070.7249385855102</v>
      </c>
    </row>
    <row r="115" spans="1:34" ht="12.75" customHeight="1">
      <c r="A115" s="187">
        <v>4</v>
      </c>
      <c r="B115" s="40">
        <v>45170</v>
      </c>
      <c r="C115" s="61">
        <f>VLOOKUP(B115,'base(indices)'!$A$4:$C$183,3,FALSE)</f>
        <v>1320</v>
      </c>
      <c r="D115" s="159">
        <f>'base(indices)'!G168</f>
        <v>0.99999998000000001</v>
      </c>
      <c r="E115" s="63">
        <f t="shared" si="69"/>
        <v>1319.9999736</v>
      </c>
      <c r="F115" s="307">
        <f>'base(indices)'!I168</f>
        <v>8.8900000000000007E-2</v>
      </c>
      <c r="G115" s="63">
        <f t="shared" si="70"/>
        <v>117.34799765304001</v>
      </c>
      <c r="H115" s="61">
        <f t="shared" si="71"/>
        <v>1437.34797125304</v>
      </c>
      <c r="I115" s="312">
        <f t="shared" si="72"/>
        <v>5672.4358865513004</v>
      </c>
      <c r="J115" s="66">
        <f t="shared" si="34"/>
        <v>4953.7619009247801</v>
      </c>
      <c r="K115" s="108">
        <f t="shared" si="73"/>
        <v>8719.2410256151761</v>
      </c>
      <c r="L115" s="295">
        <f t="shared" si="74"/>
        <v>13673.002926539957</v>
      </c>
      <c r="M115" s="43">
        <f t="shared" si="75"/>
        <v>4706.073805878541</v>
      </c>
      <c r="N115" s="108">
        <f t="shared" si="76"/>
        <v>8283.2789743344165</v>
      </c>
      <c r="O115" s="47">
        <f t="shared" si="77"/>
        <v>12989.352780212957</v>
      </c>
      <c r="P115" s="119">
        <f t="shared" si="78"/>
        <v>4458.3857108323018</v>
      </c>
      <c r="Q115" s="108">
        <f t="shared" si="79"/>
        <v>7847.3169230536587</v>
      </c>
      <c r="R115" s="46">
        <f t="shared" si="80"/>
        <v>12305.702633885961</v>
      </c>
      <c r="S115" s="43">
        <f t="shared" si="81"/>
        <v>3963.0095207398244</v>
      </c>
      <c r="T115" s="108">
        <f t="shared" si="82"/>
        <v>6975.3928204921413</v>
      </c>
      <c r="U115" s="47">
        <f t="shared" si="83"/>
        <v>10938.402341231966</v>
      </c>
      <c r="V115" s="45">
        <f t="shared" si="84"/>
        <v>3467.6333306473457</v>
      </c>
      <c r="W115" s="108">
        <f t="shared" si="85"/>
        <v>6103.4687179306229</v>
      </c>
      <c r="X115" s="46">
        <f t="shared" si="86"/>
        <v>9571.1020485779682</v>
      </c>
      <c r="Y115" s="43">
        <f t="shared" si="87"/>
        <v>2972.2571405548679</v>
      </c>
      <c r="Z115" s="108">
        <f t="shared" si="88"/>
        <v>5231.5446153691055</v>
      </c>
      <c r="AA115" s="46">
        <f t="shared" si="89"/>
        <v>8203.8017559239743</v>
      </c>
    </row>
    <row r="116" spans="1:34" ht="12.75" customHeight="1">
      <c r="A116" s="187">
        <v>3</v>
      </c>
      <c r="B116" s="50">
        <v>45200</v>
      </c>
      <c r="C116" s="61">
        <f>VLOOKUP(B116,'base(indices)'!$A$4:$C$183,3,FALSE)</f>
        <v>1320</v>
      </c>
      <c r="D116" s="159">
        <f>'base(indices)'!G169</f>
        <v>0.99999998000000001</v>
      </c>
      <c r="E116" s="54">
        <f t="shared" si="69"/>
        <v>1319.9999736</v>
      </c>
      <c r="F116" s="307">
        <f>'base(indices)'!I169</f>
        <v>7.9200000000000007E-2</v>
      </c>
      <c r="G116" s="54">
        <f t="shared" si="70"/>
        <v>104.54399790912001</v>
      </c>
      <c r="H116" s="51">
        <f t="shared" si="71"/>
        <v>1424.54397150912</v>
      </c>
      <c r="I116" s="311">
        <f t="shared" si="72"/>
        <v>4235.0879152982607</v>
      </c>
      <c r="J116" s="57">
        <f t="shared" si="34"/>
        <v>3522.8159295437008</v>
      </c>
      <c r="K116" s="91">
        <f t="shared" si="73"/>
        <v>8719.2410256151761</v>
      </c>
      <c r="L116" s="294">
        <f t="shared" si="74"/>
        <v>12242.056955158878</v>
      </c>
      <c r="M116" s="57">
        <f t="shared" si="75"/>
        <v>3346.6751330665156</v>
      </c>
      <c r="N116" s="91">
        <f t="shared" si="76"/>
        <v>8283.2789743344165</v>
      </c>
      <c r="O116" s="60">
        <f t="shared" si="77"/>
        <v>11629.954107400932</v>
      </c>
      <c r="P116" s="58">
        <f t="shared" si="78"/>
        <v>3170.5343365893309</v>
      </c>
      <c r="Q116" s="91">
        <f t="shared" si="79"/>
        <v>7847.3169230536587</v>
      </c>
      <c r="R116" s="59">
        <f t="shared" si="80"/>
        <v>11017.85125964299</v>
      </c>
      <c r="S116" s="57">
        <f t="shared" si="81"/>
        <v>2818.252743634961</v>
      </c>
      <c r="T116" s="91">
        <f t="shared" si="82"/>
        <v>6975.3928204921413</v>
      </c>
      <c r="U116" s="60">
        <f t="shared" si="83"/>
        <v>9793.6455641271023</v>
      </c>
      <c r="V116" s="58">
        <f t="shared" si="84"/>
        <v>2465.9711506805902</v>
      </c>
      <c r="W116" s="91">
        <f t="shared" si="85"/>
        <v>6103.4687179306229</v>
      </c>
      <c r="X116" s="59">
        <f t="shared" si="86"/>
        <v>8569.4398686112127</v>
      </c>
      <c r="Y116" s="57">
        <f t="shared" si="87"/>
        <v>2113.6895577262203</v>
      </c>
      <c r="Z116" s="91">
        <f t="shared" si="88"/>
        <v>5231.5446153691055</v>
      </c>
      <c r="AA116" s="59">
        <f t="shared" si="89"/>
        <v>7345.2341730953258</v>
      </c>
    </row>
    <row r="117" spans="1:34" ht="12.75" customHeight="1">
      <c r="A117" s="187">
        <v>2</v>
      </c>
      <c r="B117" s="40">
        <v>45231</v>
      </c>
      <c r="C117" s="61">
        <f>VLOOKUP(B117,'base(indices)'!$A$4:$C$183,3,FALSE)</f>
        <v>1320</v>
      </c>
      <c r="D117" s="159">
        <f>'base(indices)'!G170</f>
        <v>0.99999998000000001</v>
      </c>
      <c r="E117" s="63">
        <f t="shared" si="69"/>
        <v>1319.9999736</v>
      </c>
      <c r="F117" s="307">
        <f>'base(indices)'!I170</f>
        <v>6.9199999999999998E-2</v>
      </c>
      <c r="G117" s="63">
        <f t="shared" si="70"/>
        <v>91.343998173119999</v>
      </c>
      <c r="H117" s="61">
        <f t="shared" si="71"/>
        <v>1411.3439717731201</v>
      </c>
      <c r="I117" s="312">
        <f t="shared" si="72"/>
        <v>2810.5439437891409</v>
      </c>
      <c r="J117" s="66">
        <f t="shared" si="34"/>
        <v>2104.871957902581</v>
      </c>
      <c r="K117" s="108">
        <f t="shared" si="73"/>
        <v>8719.2410256151761</v>
      </c>
      <c r="L117" s="295">
        <f t="shared" si="74"/>
        <v>10824.112983517756</v>
      </c>
      <c r="M117" s="43">
        <f t="shared" si="75"/>
        <v>1999.6283600074519</v>
      </c>
      <c r="N117" s="108">
        <f t="shared" si="76"/>
        <v>8283.2789743344165</v>
      </c>
      <c r="O117" s="47">
        <f t="shared" si="77"/>
        <v>10282.907334341868</v>
      </c>
      <c r="P117" s="119">
        <f t="shared" si="78"/>
        <v>1894.384762112323</v>
      </c>
      <c r="Q117" s="108">
        <f t="shared" si="79"/>
        <v>7847.3169230536587</v>
      </c>
      <c r="R117" s="46">
        <f t="shared" si="80"/>
        <v>9741.701685165981</v>
      </c>
      <c r="S117" s="43">
        <f t="shared" si="81"/>
        <v>1683.8975663220649</v>
      </c>
      <c r="T117" s="108">
        <f t="shared" si="82"/>
        <v>6975.3928204921413</v>
      </c>
      <c r="U117" s="47">
        <f t="shared" si="83"/>
        <v>8659.2903868142057</v>
      </c>
      <c r="V117" s="45">
        <f t="shared" si="84"/>
        <v>1473.4103705318066</v>
      </c>
      <c r="W117" s="108">
        <f t="shared" si="85"/>
        <v>6103.4687179306229</v>
      </c>
      <c r="X117" s="46">
        <f t="shared" si="86"/>
        <v>7576.8790884624295</v>
      </c>
      <c r="Y117" s="43">
        <f t="shared" si="87"/>
        <v>1262.9231747415486</v>
      </c>
      <c r="Z117" s="108">
        <f t="shared" si="88"/>
        <v>5231.5446153691055</v>
      </c>
      <c r="AA117" s="46">
        <f t="shared" si="89"/>
        <v>6494.4677901106543</v>
      </c>
    </row>
    <row r="118" spans="1:34" ht="12.75" customHeight="1" thickBot="1">
      <c r="A118" s="188">
        <v>1</v>
      </c>
      <c r="B118" s="50">
        <v>45261</v>
      </c>
      <c r="C118" s="69">
        <f>VLOOKUP(B118,'base(indices)'!$A$4:$C$183,3,FALSE)</f>
        <v>1320</v>
      </c>
      <c r="D118" s="159">
        <f>'base(indices)'!G171</f>
        <v>0.99999998000000001</v>
      </c>
      <c r="E118" s="163">
        <f t="shared" si="69"/>
        <v>1319.9999736</v>
      </c>
      <c r="F118" s="307">
        <f>'base(indices)'!I171</f>
        <v>0.06</v>
      </c>
      <c r="G118" s="163">
        <f t="shared" si="70"/>
        <v>79.199998416</v>
      </c>
      <c r="H118" s="162">
        <f t="shared" si="71"/>
        <v>1399.1999720159999</v>
      </c>
      <c r="I118" s="313">
        <f t="shared" si="72"/>
        <v>1399.1999720160209</v>
      </c>
      <c r="J118" s="57">
        <f t="shared" si="34"/>
        <v>699.59998600802089</v>
      </c>
      <c r="K118" s="86">
        <f t="shared" si="73"/>
        <v>8719.2410256151761</v>
      </c>
      <c r="L118" s="296">
        <f t="shared" si="74"/>
        <v>9418.8410116231971</v>
      </c>
      <c r="M118" s="85">
        <f t="shared" si="75"/>
        <v>664.61998670761977</v>
      </c>
      <c r="N118" s="86">
        <f t="shared" si="76"/>
        <v>8283.2789743344165</v>
      </c>
      <c r="O118" s="107">
        <f t="shared" si="77"/>
        <v>8947.8989610420358</v>
      </c>
      <c r="P118" s="175">
        <f t="shared" si="78"/>
        <v>629.63998740721877</v>
      </c>
      <c r="Q118" s="86">
        <f t="shared" si="79"/>
        <v>7847.3169230536587</v>
      </c>
      <c r="R118" s="165">
        <f t="shared" si="80"/>
        <v>8476.9569104608781</v>
      </c>
      <c r="S118" s="85">
        <f t="shared" si="81"/>
        <v>559.67998880641676</v>
      </c>
      <c r="T118" s="86">
        <f t="shared" si="82"/>
        <v>6975.3928204921413</v>
      </c>
      <c r="U118" s="107">
        <f t="shared" si="83"/>
        <v>7535.0728092985582</v>
      </c>
      <c r="V118" s="175">
        <f t="shared" si="84"/>
        <v>489.71999020561458</v>
      </c>
      <c r="W118" s="86">
        <f t="shared" si="85"/>
        <v>6103.4687179306229</v>
      </c>
      <c r="X118" s="165">
        <f t="shared" si="86"/>
        <v>6593.1887081362374</v>
      </c>
      <c r="Y118" s="85">
        <f t="shared" si="87"/>
        <v>419.75999160481251</v>
      </c>
      <c r="Z118" s="86">
        <f t="shared" si="88"/>
        <v>5231.5446153691055</v>
      </c>
      <c r="AA118" s="165">
        <f t="shared" si="89"/>
        <v>5651.3046069739175</v>
      </c>
    </row>
    <row r="119" spans="1:34" ht="17.25" customHeight="1" thickBot="1">
      <c r="A119" s="171"/>
      <c r="B119" s="172" t="s">
        <v>24</v>
      </c>
      <c r="C119" s="172"/>
      <c r="D119" s="173"/>
      <c r="E119" s="174"/>
      <c r="F119" s="437">
        <f>W7</f>
        <v>45474</v>
      </c>
      <c r="G119" s="437"/>
      <c r="H119" s="377"/>
      <c r="I119" s="451">
        <f>SUM(H11:H118)</f>
        <v>161855.15614179178</v>
      </c>
      <c r="J119" s="452"/>
      <c r="K119" s="88"/>
      <c r="L119" s="22"/>
      <c r="M119" s="89"/>
      <c r="N119" s="22"/>
      <c r="O119" s="89"/>
      <c r="P119" s="22"/>
    </row>
    <row r="120" spans="1:34" ht="17.25" customHeight="1">
      <c r="A120" s="407"/>
      <c r="B120" s="405" t="s">
        <v>238</v>
      </c>
      <c r="C120" s="407"/>
      <c r="D120" s="408"/>
      <c r="E120" s="409"/>
      <c r="F120" s="406"/>
      <c r="G120" s="406"/>
      <c r="H120" s="411"/>
      <c r="I120" s="147"/>
      <c r="J120" s="147"/>
      <c r="K120" s="88"/>
      <c r="L120" s="22"/>
      <c r="M120" s="89"/>
      <c r="N120" s="22"/>
      <c r="O120" s="89"/>
      <c r="P120" s="22"/>
    </row>
    <row r="121" spans="1:34" ht="17.25" customHeight="1" thickBot="1">
      <c r="A121" s="410"/>
      <c r="B121" s="407"/>
      <c r="C121" s="407"/>
      <c r="D121" s="408"/>
      <c r="E121" s="409"/>
      <c r="F121" s="406"/>
      <c r="G121" s="406"/>
      <c r="I121" s="147"/>
      <c r="J121" s="147"/>
      <c r="K121" s="88"/>
      <c r="L121" s="22"/>
      <c r="M121" s="89"/>
      <c r="N121" s="22"/>
      <c r="O121" s="89"/>
      <c r="P121" s="22"/>
    </row>
    <row r="122" spans="1:34" ht="14.25" customHeight="1">
      <c r="A122" s="166">
        <v>1</v>
      </c>
      <c r="B122" s="136">
        <v>45292</v>
      </c>
      <c r="C122" s="120">
        <f>'base(indices)'!C172</f>
        <v>1412</v>
      </c>
      <c r="D122" s="167">
        <f>'base(indices)'!G172</f>
        <v>0.99999998000000001</v>
      </c>
      <c r="E122" s="78">
        <f t="shared" ref="E122:E128" si="90">C122*D122</f>
        <v>1411.9999717600001</v>
      </c>
      <c r="F122" s="79">
        <f>'base(indices)'!I172</f>
        <v>5.11E-2</v>
      </c>
      <c r="G122" s="78">
        <f t="shared" ref="G122:G128" si="91">E122*F122</f>
        <v>72.153198556936005</v>
      </c>
      <c r="H122" s="266">
        <f t="shared" ref="H122:H128" si="92">E122+G122</f>
        <v>1484.1531703169362</v>
      </c>
      <c r="I122" s="96">
        <f>I136</f>
        <v>8719.2410256151761</v>
      </c>
      <c r="J122" s="114">
        <v>0</v>
      </c>
      <c r="K122" s="90">
        <f t="shared" ref="K122:K133" si="93">I122-(H122/2)</f>
        <v>7977.1644404567078</v>
      </c>
      <c r="L122" s="112">
        <f t="shared" ref="L122:L132" si="94">J122+K122</f>
        <v>7977.1644404567078</v>
      </c>
      <c r="M122" s="48">
        <f>$J122*M$9</f>
        <v>0</v>
      </c>
      <c r="N122" s="109">
        <f>$K122*M$9</f>
        <v>7578.3062184338723</v>
      </c>
      <c r="O122" s="49">
        <f>M122+N122</f>
        <v>7578.3062184338723</v>
      </c>
      <c r="P122" s="48">
        <f>$J122*P$9</f>
        <v>0</v>
      </c>
      <c r="Q122" s="109">
        <f>$K122*P$9</f>
        <v>7179.4479964110369</v>
      </c>
      <c r="R122" s="49">
        <f>P122+Q122</f>
        <v>7179.4479964110369</v>
      </c>
      <c r="S122" s="48">
        <f>$J122*S$9</f>
        <v>0</v>
      </c>
      <c r="T122" s="109">
        <f>$K122*S$9</f>
        <v>6381.731552365367</v>
      </c>
      <c r="U122" s="49">
        <f>S122+T122</f>
        <v>6381.731552365367</v>
      </c>
      <c r="V122" s="48">
        <f>$J122*V$9</f>
        <v>0</v>
      </c>
      <c r="W122" s="109">
        <f>$K122*V$9</f>
        <v>5584.0151083196952</v>
      </c>
      <c r="X122" s="49">
        <f>V122+W122</f>
        <v>5584.0151083196952</v>
      </c>
      <c r="Y122" s="48">
        <f t="shared" ref="Y122:Y133" si="95">$J122*Y$9</f>
        <v>0</v>
      </c>
      <c r="Z122" s="48">
        <f t="shared" ref="Z122:Z133" si="96">$K122*Y$9</f>
        <v>4786.2986642740243</v>
      </c>
      <c r="AA122" s="49">
        <f t="shared" ref="AA122:AA133" si="97">Y122+Z122</f>
        <v>4786.2986642740243</v>
      </c>
      <c r="AB122" s="16"/>
      <c r="AC122" s="16"/>
      <c r="AD122" s="16"/>
      <c r="AE122" s="16"/>
      <c r="AF122" s="17"/>
      <c r="AG122" s="16"/>
      <c r="AH122" s="16"/>
    </row>
    <row r="123" spans="1:34" s="26" customFormat="1" ht="14.25" customHeight="1">
      <c r="A123" s="105">
        <v>2</v>
      </c>
      <c r="B123" s="50">
        <v>45323</v>
      </c>
      <c r="C123" s="61">
        <f>'base(indices)'!C173</f>
        <v>1412</v>
      </c>
      <c r="D123" s="160">
        <f>'base(indices)'!G173</f>
        <v>0.99999998000000001</v>
      </c>
      <c r="E123" s="54">
        <f t="shared" si="90"/>
        <v>1411.9999717600001</v>
      </c>
      <c r="F123" s="53">
        <f>'base(indices)'!I173</f>
        <v>4.1399999999999999E-2</v>
      </c>
      <c r="G123" s="54">
        <f t="shared" si="91"/>
        <v>58.456798830864003</v>
      </c>
      <c r="H123" s="267">
        <f t="shared" si="92"/>
        <v>1470.4567705908642</v>
      </c>
      <c r="I123" s="94">
        <f t="shared" ref="I123:I133" si="98">I122-H122</f>
        <v>7235.0878552982394</v>
      </c>
      <c r="J123" s="57">
        <v>0</v>
      </c>
      <c r="K123" s="91">
        <f t="shared" si="93"/>
        <v>6499.859470002807</v>
      </c>
      <c r="L123" s="113">
        <f t="shared" si="94"/>
        <v>6499.859470002807</v>
      </c>
      <c r="M123" s="58">
        <f t="shared" ref="M123:M133" si="99">$J123*M$9</f>
        <v>0</v>
      </c>
      <c r="N123" s="91">
        <f t="shared" ref="N123:N128" si="100">$K123*M$9</f>
        <v>6174.8664965026665</v>
      </c>
      <c r="O123" s="59">
        <f t="shared" ref="O123:O128" si="101">M123+N123</f>
        <v>6174.8664965026665</v>
      </c>
      <c r="P123" s="58">
        <f t="shared" ref="P123:P133" si="102">$J123*P$9</f>
        <v>0</v>
      </c>
      <c r="Q123" s="91">
        <f t="shared" ref="Q123:Q128" si="103">$K123*P$9</f>
        <v>5849.8735230025268</v>
      </c>
      <c r="R123" s="59">
        <f t="shared" ref="R123:R128" si="104">P123+Q123</f>
        <v>5849.8735230025268</v>
      </c>
      <c r="S123" s="58">
        <f t="shared" ref="S123:S133" si="105">$J123*S$9</f>
        <v>0</v>
      </c>
      <c r="T123" s="91">
        <f t="shared" ref="T123:T128" si="106">$K123*S$9</f>
        <v>5199.8875760022456</v>
      </c>
      <c r="U123" s="59">
        <f t="shared" ref="U123:U128" si="107">S123+T123</f>
        <v>5199.8875760022456</v>
      </c>
      <c r="V123" s="58">
        <f t="shared" ref="V123:V133" si="108">$J123*V$9</f>
        <v>0</v>
      </c>
      <c r="W123" s="91">
        <f t="shared" ref="W123:W128" si="109">$K123*V$9</f>
        <v>4549.9016290019645</v>
      </c>
      <c r="X123" s="59">
        <f t="shared" ref="X123:X128" si="110">V123+W123</f>
        <v>4549.9016290019645</v>
      </c>
      <c r="Y123" s="58">
        <f t="shared" si="95"/>
        <v>0</v>
      </c>
      <c r="Z123" s="58">
        <f t="shared" si="96"/>
        <v>3899.9156820016842</v>
      </c>
      <c r="AA123" s="59">
        <f t="shared" si="97"/>
        <v>3899.9156820016842</v>
      </c>
      <c r="AB123" s="32"/>
      <c r="AC123" s="32"/>
      <c r="AD123" s="32"/>
      <c r="AE123" s="32"/>
      <c r="AF123" s="33"/>
      <c r="AG123" s="32"/>
      <c r="AH123" s="32"/>
    </row>
    <row r="124" spans="1:34" ht="14.25" customHeight="1">
      <c r="A124" s="104">
        <v>3</v>
      </c>
      <c r="B124" s="50">
        <v>45352</v>
      </c>
      <c r="C124" s="61">
        <f>'base(indices)'!C174</f>
        <v>1412</v>
      </c>
      <c r="D124" s="160">
        <f>'base(indices)'!G174</f>
        <v>0.99999998000000001</v>
      </c>
      <c r="E124" s="63">
        <f t="shared" si="90"/>
        <v>1411.9999717600001</v>
      </c>
      <c r="F124" s="53">
        <f>'base(indices)'!I174</f>
        <v>3.3399999999999999E-2</v>
      </c>
      <c r="G124" s="63">
        <f t="shared" si="91"/>
        <v>47.160799056784001</v>
      </c>
      <c r="H124" s="268">
        <f t="shared" si="92"/>
        <v>1459.1607708167842</v>
      </c>
      <c r="I124" s="95">
        <f t="shared" si="98"/>
        <v>5764.6310847073755</v>
      </c>
      <c r="J124" s="66">
        <v>0</v>
      </c>
      <c r="K124" s="93">
        <f t="shared" si="93"/>
        <v>5035.0506992989831</v>
      </c>
      <c r="L124" s="115">
        <f t="shared" si="94"/>
        <v>5035.0506992989831</v>
      </c>
      <c r="M124" s="45">
        <f t="shared" si="99"/>
        <v>0</v>
      </c>
      <c r="N124" s="108">
        <f t="shared" si="100"/>
        <v>4783.2981643340336</v>
      </c>
      <c r="O124" s="46">
        <f t="shared" si="101"/>
        <v>4783.2981643340336</v>
      </c>
      <c r="P124" s="45">
        <f t="shared" si="102"/>
        <v>0</v>
      </c>
      <c r="Q124" s="108">
        <f t="shared" si="103"/>
        <v>4531.545629369085</v>
      </c>
      <c r="R124" s="46">
        <f t="shared" si="104"/>
        <v>4531.545629369085</v>
      </c>
      <c r="S124" s="45">
        <f t="shared" si="105"/>
        <v>0</v>
      </c>
      <c r="T124" s="108">
        <f t="shared" si="106"/>
        <v>4028.0405594391868</v>
      </c>
      <c r="U124" s="46">
        <f t="shared" si="107"/>
        <v>4028.0405594391868</v>
      </c>
      <c r="V124" s="45">
        <f t="shared" si="108"/>
        <v>0</v>
      </c>
      <c r="W124" s="108">
        <f t="shared" si="109"/>
        <v>3524.5354895092878</v>
      </c>
      <c r="X124" s="46">
        <f t="shared" si="110"/>
        <v>3524.5354895092878</v>
      </c>
      <c r="Y124" s="119">
        <f t="shared" si="95"/>
        <v>0</v>
      </c>
      <c r="Z124" s="119">
        <f t="shared" si="96"/>
        <v>3021.0304195793897</v>
      </c>
      <c r="AA124" s="116">
        <f t="shared" si="97"/>
        <v>3021.0304195793897</v>
      </c>
      <c r="AB124" s="16"/>
      <c r="AC124" s="16"/>
      <c r="AD124" s="16"/>
      <c r="AE124" s="16"/>
      <c r="AF124" s="17"/>
      <c r="AG124" s="16"/>
      <c r="AH124" s="16"/>
    </row>
    <row r="125" spans="1:34" s="26" customFormat="1" ht="14.25" customHeight="1">
      <c r="A125" s="105">
        <v>4</v>
      </c>
      <c r="B125" s="50">
        <v>45383</v>
      </c>
      <c r="C125" s="61">
        <f>'base(indices)'!C175</f>
        <v>1412</v>
      </c>
      <c r="D125" s="160">
        <f>'base(indices)'!G175</f>
        <v>0.99999998000000001</v>
      </c>
      <c r="E125" s="54">
        <f>C125*D125</f>
        <v>1411.9999717600001</v>
      </c>
      <c r="F125" s="53">
        <f>'base(indices)'!I175</f>
        <v>2.5100000000000001E-2</v>
      </c>
      <c r="G125" s="54">
        <f>E125*F125</f>
        <v>35.441199291176005</v>
      </c>
      <c r="H125" s="267">
        <f>E125+G125</f>
        <v>1447.4411710511761</v>
      </c>
      <c r="I125" s="94">
        <f t="shared" si="98"/>
        <v>4305.4703138905916</v>
      </c>
      <c r="J125" s="57">
        <v>0</v>
      </c>
      <c r="K125" s="91">
        <f t="shared" si="93"/>
        <v>3581.7497283650036</v>
      </c>
      <c r="L125" s="113">
        <f>J125+K125</f>
        <v>3581.7497283650036</v>
      </c>
      <c r="M125" s="58">
        <f t="shared" si="99"/>
        <v>0</v>
      </c>
      <c r="N125" s="91">
        <f>$K125*M$9</f>
        <v>3402.6622419467535</v>
      </c>
      <c r="O125" s="59">
        <f>M125+N125</f>
        <v>3402.6622419467535</v>
      </c>
      <c r="P125" s="58">
        <f t="shared" si="102"/>
        <v>0</v>
      </c>
      <c r="Q125" s="91">
        <f>$K125*P$9</f>
        <v>3223.5747555285034</v>
      </c>
      <c r="R125" s="59">
        <f>P125+Q125</f>
        <v>3223.5747555285034</v>
      </c>
      <c r="S125" s="58">
        <f t="shared" si="105"/>
        <v>0</v>
      </c>
      <c r="T125" s="91">
        <f>$K125*S$9</f>
        <v>2865.3997826920031</v>
      </c>
      <c r="U125" s="59">
        <f>S125+T125</f>
        <v>2865.3997826920031</v>
      </c>
      <c r="V125" s="58">
        <f t="shared" si="108"/>
        <v>0</v>
      </c>
      <c r="W125" s="91">
        <f>$K125*V$9</f>
        <v>2507.2248098555024</v>
      </c>
      <c r="X125" s="59">
        <f>V125+W125</f>
        <v>2507.2248098555024</v>
      </c>
      <c r="Y125" s="58">
        <f t="shared" si="95"/>
        <v>0</v>
      </c>
      <c r="Z125" s="58">
        <f t="shared" si="96"/>
        <v>2149.0498370190021</v>
      </c>
      <c r="AA125" s="59">
        <f t="shared" si="97"/>
        <v>2149.0498370190021</v>
      </c>
      <c r="AB125" s="32"/>
      <c r="AC125" s="32"/>
      <c r="AD125" s="32"/>
      <c r="AE125" s="32"/>
      <c r="AF125" s="33"/>
      <c r="AG125" s="32"/>
      <c r="AH125" s="32"/>
    </row>
    <row r="126" spans="1:34" ht="14.25" customHeight="1">
      <c r="A126" s="105">
        <v>5</v>
      </c>
      <c r="B126" s="50">
        <v>45413</v>
      </c>
      <c r="C126" s="61">
        <f>'base(indices)'!C176</f>
        <v>1412</v>
      </c>
      <c r="D126" s="160">
        <f>'base(indices)'!G176</f>
        <v>0.99999998000000001</v>
      </c>
      <c r="E126" s="63">
        <f>C126*D126</f>
        <v>1411.9999717600001</v>
      </c>
      <c r="F126" s="53">
        <f>'base(indices)'!I176</f>
        <v>1.6199999999999999E-2</v>
      </c>
      <c r="G126" s="63">
        <f>E126*F126</f>
        <v>22.874399542512002</v>
      </c>
      <c r="H126" s="268">
        <f>E126+G126</f>
        <v>1434.8743713025121</v>
      </c>
      <c r="I126" s="95">
        <f t="shared" si="98"/>
        <v>2858.0291428394157</v>
      </c>
      <c r="J126" s="66">
        <v>0</v>
      </c>
      <c r="K126" s="93">
        <f t="shared" si="93"/>
        <v>2140.5919571881595</v>
      </c>
      <c r="L126" s="115">
        <f>J126+K126</f>
        <v>2140.5919571881595</v>
      </c>
      <c r="M126" s="45">
        <f t="shared" si="99"/>
        <v>0</v>
      </c>
      <c r="N126" s="108">
        <f>$K126*M$9</f>
        <v>2033.5623593287514</v>
      </c>
      <c r="O126" s="46">
        <f>M126+N126</f>
        <v>2033.5623593287514</v>
      </c>
      <c r="P126" s="45">
        <f t="shared" si="102"/>
        <v>0</v>
      </c>
      <c r="Q126" s="108">
        <f>$K126*P$9</f>
        <v>1926.5327614693435</v>
      </c>
      <c r="R126" s="46">
        <f>P126+Q126</f>
        <v>1926.5327614693435</v>
      </c>
      <c r="S126" s="45">
        <f t="shared" si="105"/>
        <v>0</v>
      </c>
      <c r="T126" s="108">
        <f>$K126*S$9</f>
        <v>1712.4735657505278</v>
      </c>
      <c r="U126" s="46">
        <f>S126+T126</f>
        <v>1712.4735657505278</v>
      </c>
      <c r="V126" s="45">
        <f t="shared" si="108"/>
        <v>0</v>
      </c>
      <c r="W126" s="108">
        <f>$K126*V$9</f>
        <v>1498.4143700317115</v>
      </c>
      <c r="X126" s="46">
        <f>V126+W126</f>
        <v>1498.4143700317115</v>
      </c>
      <c r="Y126" s="119">
        <f t="shared" si="95"/>
        <v>0</v>
      </c>
      <c r="Z126" s="119">
        <f t="shared" si="96"/>
        <v>1284.3551743128958</v>
      </c>
      <c r="AA126" s="116">
        <f t="shared" si="97"/>
        <v>1284.3551743128958</v>
      </c>
      <c r="AB126" s="16"/>
      <c r="AC126" s="16"/>
      <c r="AD126" s="16"/>
      <c r="AE126" s="16"/>
      <c r="AF126" s="17"/>
      <c r="AG126" s="16"/>
      <c r="AH126" s="16"/>
    </row>
    <row r="127" spans="1:34" s="26" customFormat="1" ht="14.25" customHeight="1">
      <c r="A127" s="104">
        <v>6</v>
      </c>
      <c r="B127" s="50">
        <v>45444</v>
      </c>
      <c r="C127" s="61">
        <f>'base(indices)'!C177</f>
        <v>1412</v>
      </c>
      <c r="D127" s="160">
        <f>'base(indices)'!G177</f>
        <v>0.99999998000000001</v>
      </c>
      <c r="E127" s="54">
        <f t="shared" si="90"/>
        <v>1411.9999717600001</v>
      </c>
      <c r="F127" s="53">
        <f>'base(indices)'!I177</f>
        <v>7.9000000000000008E-3</v>
      </c>
      <c r="G127" s="54">
        <f t="shared" si="91"/>
        <v>11.154799776904001</v>
      </c>
      <c r="H127" s="267">
        <f t="shared" si="92"/>
        <v>1423.154771536904</v>
      </c>
      <c r="I127" s="94">
        <f t="shared" si="98"/>
        <v>1423.1547715369036</v>
      </c>
      <c r="J127" s="57">
        <v>0</v>
      </c>
      <c r="K127" s="91">
        <f t="shared" si="93"/>
        <v>711.57738576845156</v>
      </c>
      <c r="L127" s="113">
        <f t="shared" si="94"/>
        <v>711.57738576845156</v>
      </c>
      <c r="M127" s="58">
        <f t="shared" si="99"/>
        <v>0</v>
      </c>
      <c r="N127" s="91">
        <f t="shared" si="100"/>
        <v>675.99851648002891</v>
      </c>
      <c r="O127" s="59">
        <f t="shared" si="101"/>
        <v>675.99851648002891</v>
      </c>
      <c r="P127" s="58">
        <f t="shared" si="102"/>
        <v>0</v>
      </c>
      <c r="Q127" s="91">
        <f t="shared" si="103"/>
        <v>640.41964719160637</v>
      </c>
      <c r="R127" s="59">
        <f t="shared" si="104"/>
        <v>640.41964719160637</v>
      </c>
      <c r="S127" s="58">
        <f t="shared" si="105"/>
        <v>0</v>
      </c>
      <c r="T127" s="91">
        <f t="shared" si="106"/>
        <v>569.2619086147613</v>
      </c>
      <c r="U127" s="59">
        <f t="shared" si="107"/>
        <v>569.2619086147613</v>
      </c>
      <c r="V127" s="58">
        <f t="shared" si="108"/>
        <v>0</v>
      </c>
      <c r="W127" s="91">
        <f t="shared" si="109"/>
        <v>498.10417003791605</v>
      </c>
      <c r="X127" s="59">
        <f t="shared" si="110"/>
        <v>498.10417003791605</v>
      </c>
      <c r="Y127" s="58">
        <f t="shared" si="95"/>
        <v>0</v>
      </c>
      <c r="Z127" s="58">
        <f t="shared" si="96"/>
        <v>426.94643146107092</v>
      </c>
      <c r="AA127" s="59">
        <f t="shared" si="97"/>
        <v>426.94643146107092</v>
      </c>
      <c r="AB127" s="32"/>
      <c r="AC127" s="32"/>
      <c r="AD127" s="32"/>
      <c r="AE127" s="32"/>
      <c r="AF127" s="33"/>
      <c r="AG127" s="32"/>
      <c r="AH127" s="32"/>
    </row>
    <row r="128" spans="1:34" ht="14.25" customHeight="1">
      <c r="A128" s="105">
        <v>7</v>
      </c>
      <c r="B128" s="50">
        <v>45474</v>
      </c>
      <c r="C128" s="61">
        <f>'base(indices)'!C178</f>
        <v>1412</v>
      </c>
      <c r="D128" s="160">
        <f>'base(indices)'!G178</f>
        <v>0</v>
      </c>
      <c r="E128" s="63">
        <f t="shared" si="90"/>
        <v>0</v>
      </c>
      <c r="F128" s="53">
        <f>'base(indices)'!I178</f>
        <v>0</v>
      </c>
      <c r="G128" s="63">
        <f t="shared" si="91"/>
        <v>0</v>
      </c>
      <c r="H128" s="268">
        <f t="shared" si="92"/>
        <v>0</v>
      </c>
      <c r="I128" s="95">
        <f t="shared" si="98"/>
        <v>0</v>
      </c>
      <c r="J128" s="66">
        <v>0</v>
      </c>
      <c r="K128" s="93">
        <f t="shared" si="93"/>
        <v>0</v>
      </c>
      <c r="L128" s="115">
        <f t="shared" si="94"/>
        <v>0</v>
      </c>
      <c r="M128" s="45">
        <f t="shared" si="99"/>
        <v>0</v>
      </c>
      <c r="N128" s="108">
        <f t="shared" si="100"/>
        <v>0</v>
      </c>
      <c r="O128" s="46">
        <f t="shared" si="101"/>
        <v>0</v>
      </c>
      <c r="P128" s="45">
        <f t="shared" si="102"/>
        <v>0</v>
      </c>
      <c r="Q128" s="108">
        <f t="shared" si="103"/>
        <v>0</v>
      </c>
      <c r="R128" s="46">
        <f t="shared" si="104"/>
        <v>0</v>
      </c>
      <c r="S128" s="45">
        <f t="shared" si="105"/>
        <v>0</v>
      </c>
      <c r="T128" s="108">
        <f t="shared" si="106"/>
        <v>0</v>
      </c>
      <c r="U128" s="46">
        <f t="shared" si="107"/>
        <v>0</v>
      </c>
      <c r="V128" s="45">
        <f t="shared" si="108"/>
        <v>0</v>
      </c>
      <c r="W128" s="108">
        <f t="shared" si="109"/>
        <v>0</v>
      </c>
      <c r="X128" s="46">
        <f t="shared" si="110"/>
        <v>0</v>
      </c>
      <c r="Y128" s="119">
        <f t="shared" si="95"/>
        <v>0</v>
      </c>
      <c r="Z128" s="119">
        <f t="shared" si="96"/>
        <v>0</v>
      </c>
      <c r="AA128" s="116">
        <f t="shared" si="97"/>
        <v>0</v>
      </c>
      <c r="AB128" s="16"/>
      <c r="AC128" s="16"/>
      <c r="AD128" s="16"/>
      <c r="AE128" s="16"/>
      <c r="AF128" s="17"/>
      <c r="AG128" s="16"/>
      <c r="AH128" s="16"/>
    </row>
    <row r="129" spans="1:34" s="26" customFormat="1" ht="14.25" customHeight="1">
      <c r="A129" s="105">
        <v>8</v>
      </c>
      <c r="B129" s="50">
        <v>45505</v>
      </c>
      <c r="C129" s="61">
        <f>'base(indices)'!C179</f>
        <v>1412</v>
      </c>
      <c r="D129" s="160">
        <f>'base(indices)'!G179</f>
        <v>0</v>
      </c>
      <c r="E129" s="54">
        <f>C129*D129</f>
        <v>0</v>
      </c>
      <c r="F129" s="53">
        <f>'base(indices)'!I179</f>
        <v>0</v>
      </c>
      <c r="G129" s="54">
        <f>E129*F129</f>
        <v>0</v>
      </c>
      <c r="H129" s="267">
        <f>E129+G129</f>
        <v>0</v>
      </c>
      <c r="I129" s="94">
        <f t="shared" si="98"/>
        <v>0</v>
      </c>
      <c r="J129" s="57">
        <v>0</v>
      </c>
      <c r="K129" s="91">
        <f t="shared" si="93"/>
        <v>0</v>
      </c>
      <c r="L129" s="113">
        <f t="shared" si="94"/>
        <v>0</v>
      </c>
      <c r="M129" s="58">
        <f t="shared" si="99"/>
        <v>0</v>
      </c>
      <c r="N129" s="91">
        <f>$K129*M$9</f>
        <v>0</v>
      </c>
      <c r="O129" s="59">
        <f>M129+N129</f>
        <v>0</v>
      </c>
      <c r="P129" s="58">
        <f t="shared" si="102"/>
        <v>0</v>
      </c>
      <c r="Q129" s="91">
        <f>$K129*P$9</f>
        <v>0</v>
      </c>
      <c r="R129" s="59">
        <f>P129+Q129</f>
        <v>0</v>
      </c>
      <c r="S129" s="58">
        <f t="shared" si="105"/>
        <v>0</v>
      </c>
      <c r="T129" s="91">
        <f>$K129*S$9</f>
        <v>0</v>
      </c>
      <c r="U129" s="59">
        <f>S129+T129</f>
        <v>0</v>
      </c>
      <c r="V129" s="58">
        <f t="shared" si="108"/>
        <v>0</v>
      </c>
      <c r="W129" s="91">
        <f>$K129*V$9</f>
        <v>0</v>
      </c>
      <c r="X129" s="59">
        <f>V129+W129</f>
        <v>0</v>
      </c>
      <c r="Y129" s="58">
        <f t="shared" si="95"/>
        <v>0</v>
      </c>
      <c r="Z129" s="58">
        <f t="shared" si="96"/>
        <v>0</v>
      </c>
      <c r="AA129" s="59">
        <f t="shared" si="97"/>
        <v>0</v>
      </c>
      <c r="AB129" s="32"/>
      <c r="AC129" s="32"/>
      <c r="AD129" s="32"/>
      <c r="AE129" s="32"/>
      <c r="AF129" s="33"/>
      <c r="AG129" s="32"/>
      <c r="AH129" s="32"/>
    </row>
    <row r="130" spans="1:34" ht="14.25" customHeight="1">
      <c r="A130" s="104">
        <v>9</v>
      </c>
      <c r="B130" s="50">
        <v>45536</v>
      </c>
      <c r="C130" s="61">
        <f>'base(indices)'!C180</f>
        <v>1412</v>
      </c>
      <c r="D130" s="160">
        <f>'base(indices)'!G180</f>
        <v>0</v>
      </c>
      <c r="E130" s="63">
        <f>C130*D130</f>
        <v>0</v>
      </c>
      <c r="F130" s="53">
        <f>'base(indices)'!I180</f>
        <v>0</v>
      </c>
      <c r="G130" s="63">
        <f>E130*F130</f>
        <v>0</v>
      </c>
      <c r="H130" s="268">
        <f>E130+G130</f>
        <v>0</v>
      </c>
      <c r="I130" s="95">
        <f t="shared" si="98"/>
        <v>0</v>
      </c>
      <c r="J130" s="66">
        <v>0</v>
      </c>
      <c r="K130" s="93">
        <f t="shared" si="93"/>
        <v>0</v>
      </c>
      <c r="L130" s="115">
        <f t="shared" si="94"/>
        <v>0</v>
      </c>
      <c r="M130" s="45">
        <f t="shared" si="99"/>
        <v>0</v>
      </c>
      <c r="N130" s="108">
        <f>$K130*M$9</f>
        <v>0</v>
      </c>
      <c r="O130" s="46">
        <f>M130+N130</f>
        <v>0</v>
      </c>
      <c r="P130" s="45">
        <f t="shared" si="102"/>
        <v>0</v>
      </c>
      <c r="Q130" s="108">
        <f>$K130*P$9</f>
        <v>0</v>
      </c>
      <c r="R130" s="46">
        <f>P130+Q130</f>
        <v>0</v>
      </c>
      <c r="S130" s="45">
        <f t="shared" si="105"/>
        <v>0</v>
      </c>
      <c r="T130" s="108">
        <f>$K130*S$9</f>
        <v>0</v>
      </c>
      <c r="U130" s="46">
        <f>S130+T130</f>
        <v>0</v>
      </c>
      <c r="V130" s="45">
        <f t="shared" si="108"/>
        <v>0</v>
      </c>
      <c r="W130" s="108">
        <f>$K130*V$9</f>
        <v>0</v>
      </c>
      <c r="X130" s="46">
        <f>V130+W130</f>
        <v>0</v>
      </c>
      <c r="Y130" s="119">
        <f t="shared" si="95"/>
        <v>0</v>
      </c>
      <c r="Z130" s="119">
        <f t="shared" si="96"/>
        <v>0</v>
      </c>
      <c r="AA130" s="116">
        <f t="shared" si="97"/>
        <v>0</v>
      </c>
      <c r="AB130" s="16"/>
      <c r="AC130" s="16"/>
      <c r="AD130" s="16"/>
      <c r="AE130" s="16"/>
      <c r="AF130" s="17"/>
      <c r="AG130" s="16"/>
      <c r="AH130" s="16"/>
    </row>
    <row r="131" spans="1:34" s="26" customFormat="1" ht="14.25" customHeight="1">
      <c r="A131" s="105">
        <v>10</v>
      </c>
      <c r="B131" s="50">
        <v>45566</v>
      </c>
      <c r="C131" s="61">
        <f>'base(indices)'!C181</f>
        <v>1412</v>
      </c>
      <c r="D131" s="160">
        <f>'base(indices)'!G181</f>
        <v>0</v>
      </c>
      <c r="E131" s="54">
        <f>C131*D131</f>
        <v>0</v>
      </c>
      <c r="F131" s="53">
        <f>'base(indices)'!I181</f>
        <v>0</v>
      </c>
      <c r="G131" s="54">
        <f>E131*F131</f>
        <v>0</v>
      </c>
      <c r="H131" s="267">
        <f>E131+G131</f>
        <v>0</v>
      </c>
      <c r="I131" s="94">
        <f t="shared" si="98"/>
        <v>0</v>
      </c>
      <c r="J131" s="57">
        <v>0</v>
      </c>
      <c r="K131" s="91">
        <f t="shared" si="93"/>
        <v>0</v>
      </c>
      <c r="L131" s="113">
        <f t="shared" si="94"/>
        <v>0</v>
      </c>
      <c r="M131" s="58">
        <f t="shared" si="99"/>
        <v>0</v>
      </c>
      <c r="N131" s="91">
        <f>$K131*M$9</f>
        <v>0</v>
      </c>
      <c r="O131" s="59">
        <f>M131+N131</f>
        <v>0</v>
      </c>
      <c r="P131" s="58">
        <f t="shared" si="102"/>
        <v>0</v>
      </c>
      <c r="Q131" s="91">
        <f>$K131*P$9</f>
        <v>0</v>
      </c>
      <c r="R131" s="59">
        <f>P131+Q131</f>
        <v>0</v>
      </c>
      <c r="S131" s="58">
        <f t="shared" si="105"/>
        <v>0</v>
      </c>
      <c r="T131" s="91">
        <f>$K131*S$9</f>
        <v>0</v>
      </c>
      <c r="U131" s="59">
        <f>S131+T131</f>
        <v>0</v>
      </c>
      <c r="V131" s="58">
        <f t="shared" si="108"/>
        <v>0</v>
      </c>
      <c r="W131" s="91">
        <f>$K131*V$9</f>
        <v>0</v>
      </c>
      <c r="X131" s="59">
        <f>V131+W131</f>
        <v>0</v>
      </c>
      <c r="Y131" s="58">
        <f t="shared" si="95"/>
        <v>0</v>
      </c>
      <c r="Z131" s="58">
        <f t="shared" si="96"/>
        <v>0</v>
      </c>
      <c r="AA131" s="59">
        <f t="shared" si="97"/>
        <v>0</v>
      </c>
      <c r="AB131" s="32"/>
      <c r="AC131" s="32"/>
      <c r="AD131" s="32"/>
      <c r="AE131" s="32"/>
      <c r="AF131" s="33"/>
      <c r="AG131" s="32"/>
      <c r="AH131" s="32"/>
    </row>
    <row r="132" spans="1:34" ht="14.25" customHeight="1">
      <c r="A132" s="105">
        <v>11</v>
      </c>
      <c r="B132" s="50">
        <v>45597</v>
      </c>
      <c r="C132" s="61">
        <f>'base(indices)'!C182</f>
        <v>1412</v>
      </c>
      <c r="D132" s="160">
        <f>'base(indices)'!G182</f>
        <v>0</v>
      </c>
      <c r="E132" s="63">
        <f>C132*D132</f>
        <v>0</v>
      </c>
      <c r="F132" s="53">
        <f>'base(indices)'!I182</f>
        <v>0</v>
      </c>
      <c r="G132" s="63">
        <f>E132*F132</f>
        <v>0</v>
      </c>
      <c r="H132" s="268">
        <f>E132+G132</f>
        <v>0</v>
      </c>
      <c r="I132" s="95">
        <f t="shared" si="98"/>
        <v>0</v>
      </c>
      <c r="J132" s="66">
        <v>0</v>
      </c>
      <c r="K132" s="93">
        <f t="shared" si="93"/>
        <v>0</v>
      </c>
      <c r="L132" s="115">
        <f t="shared" si="94"/>
        <v>0</v>
      </c>
      <c r="M132" s="45">
        <f t="shared" si="99"/>
        <v>0</v>
      </c>
      <c r="N132" s="108">
        <f>$K132*M$9</f>
        <v>0</v>
      </c>
      <c r="O132" s="46">
        <f>M132+N132</f>
        <v>0</v>
      </c>
      <c r="P132" s="45">
        <f t="shared" si="102"/>
        <v>0</v>
      </c>
      <c r="Q132" s="108">
        <f>$K132*P$9</f>
        <v>0</v>
      </c>
      <c r="R132" s="46">
        <f>P132+Q132</f>
        <v>0</v>
      </c>
      <c r="S132" s="45">
        <f t="shared" si="105"/>
        <v>0</v>
      </c>
      <c r="T132" s="108">
        <f>$K132*S$9</f>
        <v>0</v>
      </c>
      <c r="U132" s="46">
        <f>S132+T132</f>
        <v>0</v>
      </c>
      <c r="V132" s="45">
        <f t="shared" si="108"/>
        <v>0</v>
      </c>
      <c r="W132" s="108">
        <f>$K132*V$9</f>
        <v>0</v>
      </c>
      <c r="X132" s="46">
        <f>V132+W132</f>
        <v>0</v>
      </c>
      <c r="Y132" s="119">
        <f t="shared" si="95"/>
        <v>0</v>
      </c>
      <c r="Z132" s="119">
        <f t="shared" si="96"/>
        <v>0</v>
      </c>
      <c r="AA132" s="116">
        <f t="shared" si="97"/>
        <v>0</v>
      </c>
      <c r="AB132" s="16"/>
      <c r="AC132" s="16"/>
      <c r="AD132" s="16"/>
      <c r="AE132" s="16"/>
      <c r="AF132" s="17"/>
      <c r="AG132" s="16"/>
      <c r="AH132" s="16"/>
    </row>
    <row r="133" spans="1:34" ht="14.25" customHeight="1">
      <c r="A133" s="110">
        <v>12</v>
      </c>
      <c r="B133" s="50">
        <v>45627</v>
      </c>
      <c r="C133" s="61">
        <f>'base(indices)'!C183</f>
        <v>1412</v>
      </c>
      <c r="D133" s="160">
        <f>'base(indices)'!G183</f>
        <v>0</v>
      </c>
      <c r="E133" s="63">
        <f>C133*D133</f>
        <v>0</v>
      </c>
      <c r="F133" s="53">
        <f>'base(indices)'!I183</f>
        <v>0</v>
      </c>
      <c r="G133" s="63">
        <f>E133*F133</f>
        <v>0</v>
      </c>
      <c r="H133" s="268">
        <f>E133+G133</f>
        <v>0</v>
      </c>
      <c r="I133" s="94">
        <f t="shared" si="98"/>
        <v>0</v>
      </c>
      <c r="J133" s="57">
        <v>0</v>
      </c>
      <c r="K133" s="91">
        <f t="shared" si="93"/>
        <v>0</v>
      </c>
      <c r="L133" s="113">
        <f>J133+K133</f>
        <v>0</v>
      </c>
      <c r="M133" s="58">
        <f t="shared" si="99"/>
        <v>0</v>
      </c>
      <c r="N133" s="91">
        <f>$K133*M$9</f>
        <v>0</v>
      </c>
      <c r="O133" s="59">
        <f>M133+N133</f>
        <v>0</v>
      </c>
      <c r="P133" s="58">
        <f t="shared" si="102"/>
        <v>0</v>
      </c>
      <c r="Q133" s="91">
        <f>$K133*P$9</f>
        <v>0</v>
      </c>
      <c r="R133" s="59">
        <f>P133+Q133</f>
        <v>0</v>
      </c>
      <c r="S133" s="58">
        <f t="shared" si="105"/>
        <v>0</v>
      </c>
      <c r="T133" s="91">
        <f>$K133*S$9</f>
        <v>0</v>
      </c>
      <c r="U133" s="59">
        <f>S133+T133</f>
        <v>0</v>
      </c>
      <c r="V133" s="58">
        <f t="shared" si="108"/>
        <v>0</v>
      </c>
      <c r="W133" s="91">
        <f>$K133*V$9</f>
        <v>0</v>
      </c>
      <c r="X133" s="59">
        <f>V133+W133</f>
        <v>0</v>
      </c>
      <c r="Y133" s="58">
        <f t="shared" si="95"/>
        <v>0</v>
      </c>
      <c r="Z133" s="58">
        <f t="shared" si="96"/>
        <v>0</v>
      </c>
      <c r="AA133" s="59">
        <f t="shared" si="97"/>
        <v>0</v>
      </c>
      <c r="AB133" s="16"/>
      <c r="AC133" s="16"/>
      <c r="AD133" s="16"/>
      <c r="AE133" s="16"/>
      <c r="AF133" s="17"/>
      <c r="AG133" s="16"/>
      <c r="AH133" s="16"/>
    </row>
    <row r="134" spans="1:34" ht="5.25" customHeight="1" thickBot="1">
      <c r="A134" s="103"/>
      <c r="B134" s="68"/>
      <c r="C134" s="69"/>
      <c r="D134" s="168"/>
      <c r="E134" s="71"/>
      <c r="F134" s="70"/>
      <c r="G134" s="71"/>
      <c r="H134" s="269"/>
      <c r="I134" s="84"/>
      <c r="J134" s="85"/>
      <c r="K134" s="86"/>
      <c r="L134" s="107"/>
      <c r="M134" s="76"/>
      <c r="N134" s="74"/>
      <c r="O134" s="77"/>
      <c r="P134" s="76"/>
      <c r="Q134" s="74"/>
      <c r="R134" s="77"/>
      <c r="S134" s="76"/>
      <c r="T134" s="74"/>
      <c r="U134" s="77"/>
      <c r="V134" s="76"/>
      <c r="W134" s="74"/>
      <c r="X134" s="77"/>
      <c r="Y134" s="76"/>
      <c r="Z134" s="74"/>
      <c r="AA134" s="77"/>
      <c r="AB134" s="18"/>
    </row>
    <row r="135" spans="1:34" ht="7.5" customHeight="1">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14"/>
    </row>
    <row r="136" spans="1:34" ht="15" customHeight="1">
      <c r="A136" s="37" t="s">
        <v>241</v>
      </c>
      <c r="C136" s="37"/>
      <c r="F136" s="440">
        <f>W7</f>
        <v>45474</v>
      </c>
      <c r="G136" s="440"/>
      <c r="H136" s="440"/>
      <c r="I136" s="441">
        <f>SUM(H122:H135)</f>
        <v>8719.2410256151761</v>
      </c>
      <c r="J136" s="441"/>
      <c r="K136" s="28"/>
      <c r="L136" s="28"/>
      <c r="M136" s="28"/>
      <c r="P136" s="21"/>
    </row>
    <row r="137" spans="1:34">
      <c r="C137" s="28" t="s">
        <v>26</v>
      </c>
      <c r="D137" s="28"/>
      <c r="I137" s="28">
        <f>C122*60</f>
        <v>84720</v>
      </c>
    </row>
    <row r="139" spans="1:34">
      <c r="B139" s="24" t="str">
        <f>'Benef com 13º'!B199</f>
        <v>ORTN/OTN/BTN até 02/91 + INPC até 12/92 + IRSM até 02/94 + URV até 06/94 + IPCR até 06/95 + INPC até 04/96 + IGPDI até 09/2006 + IPCA-E + Selic após 12/021</v>
      </c>
    </row>
    <row r="197" spans="12:15" ht="13.5">
      <c r="L197"/>
      <c r="M197" s="14"/>
      <c r="N197" s="8"/>
      <c r="O197" s="14"/>
    </row>
  </sheetData>
  <sheetProtection selectLockedCells="1" selectUnlockedCells="1"/>
  <mergeCells count="22">
    <mergeCell ref="Y9:AA9"/>
    <mergeCell ref="F119:G119"/>
    <mergeCell ref="I119:J119"/>
    <mergeCell ref="F136:H136"/>
    <mergeCell ref="I136:J136"/>
    <mergeCell ref="H9:H10"/>
    <mergeCell ref="I9:I10"/>
    <mergeCell ref="J9:L9"/>
    <mergeCell ref="M9:O9"/>
    <mergeCell ref="P9:R9"/>
    <mergeCell ref="S9:U9"/>
    <mergeCell ref="O7:P7"/>
    <mergeCell ref="W7:X7"/>
    <mergeCell ref="I8:J8"/>
    <mergeCell ref="A9:A10"/>
    <mergeCell ref="B9:B10"/>
    <mergeCell ref="C9:C10"/>
    <mergeCell ref="D9:D10"/>
    <mergeCell ref="E9:E10"/>
    <mergeCell ref="F9:F10"/>
    <mergeCell ref="G9:G10"/>
    <mergeCell ref="V9:X9"/>
  </mergeCells>
  <conditionalFormatting sqref="E122 E23:E62 G23:H62">
    <cfRule type="cellIs" dxfId="892" priority="390" stopIfTrue="1" operator="notEqual">
      <formula>""</formula>
    </cfRule>
  </conditionalFormatting>
  <conditionalFormatting sqref="E123 G123:H123">
    <cfRule type="cellIs" dxfId="891" priority="389" stopIfTrue="1" operator="notEqual">
      <formula>""</formula>
    </cfRule>
  </conditionalFormatting>
  <conditionalFormatting sqref="E123">
    <cfRule type="cellIs" dxfId="890" priority="387" stopIfTrue="1" operator="notEqual">
      <formula>""</formula>
    </cfRule>
  </conditionalFormatting>
  <conditionalFormatting sqref="E127 G127:H127">
    <cfRule type="cellIs" dxfId="889" priority="383" stopIfTrue="1" operator="notEqual">
      <formula>""</formula>
    </cfRule>
  </conditionalFormatting>
  <conditionalFormatting sqref="E127">
    <cfRule type="cellIs" dxfId="888" priority="381" stopIfTrue="1" operator="notEqual">
      <formula>""</formula>
    </cfRule>
  </conditionalFormatting>
  <conditionalFormatting sqref="F136">
    <cfRule type="cellIs" dxfId="887" priority="377" stopIfTrue="1" operator="notEqual">
      <formula>""</formula>
    </cfRule>
  </conditionalFormatting>
  <conditionalFormatting sqref="K119:K121">
    <cfRule type="cellIs" dxfId="886" priority="398" stopIfTrue="1" operator="notEqual">
      <formula>""</formula>
    </cfRule>
  </conditionalFormatting>
  <conditionalFormatting sqref="E122 G122:H122">
    <cfRule type="cellIs" dxfId="885" priority="392" stopIfTrue="1" operator="notEqual">
      <formula>""</formula>
    </cfRule>
  </conditionalFormatting>
  <conditionalFormatting sqref="E134:H134">
    <cfRule type="cellIs" dxfId="884" priority="393" stopIfTrue="1" operator="notEqual">
      <formula>""</formula>
    </cfRule>
  </conditionalFormatting>
  <conditionalFormatting sqref="H135">
    <cfRule type="cellIs" dxfId="883" priority="394" stopIfTrue="1" operator="notEqual">
      <formula>""</formula>
    </cfRule>
  </conditionalFormatting>
  <conditionalFormatting sqref="E124 G124:H124">
    <cfRule type="cellIs" dxfId="882" priority="385" stopIfTrue="1" operator="notEqual">
      <formula>""</formula>
    </cfRule>
  </conditionalFormatting>
  <conditionalFormatting sqref="E123 G123:H123">
    <cfRule type="cellIs" dxfId="881" priority="388" stopIfTrue="1" operator="notEqual">
      <formula>""</formula>
    </cfRule>
  </conditionalFormatting>
  <conditionalFormatting sqref="E122 G122:H122">
    <cfRule type="cellIs" dxfId="880" priority="391" stopIfTrue="1" operator="notEqual">
      <formula>""</formula>
    </cfRule>
  </conditionalFormatting>
  <conditionalFormatting sqref="E124 G124:H124">
    <cfRule type="cellIs" dxfId="879" priority="386" stopIfTrue="1" operator="notEqual">
      <formula>""</formula>
    </cfRule>
  </conditionalFormatting>
  <conditionalFormatting sqref="E124">
    <cfRule type="cellIs" dxfId="878" priority="384" stopIfTrue="1" operator="notEqual">
      <formula>""</formula>
    </cfRule>
  </conditionalFormatting>
  <conditionalFormatting sqref="E127 G127:H127">
    <cfRule type="cellIs" dxfId="877" priority="382" stopIfTrue="1" operator="notEqual">
      <formula>""</formula>
    </cfRule>
  </conditionalFormatting>
  <conditionalFormatting sqref="I135:X135">
    <cfRule type="cellIs" dxfId="876" priority="397" stopIfTrue="1" operator="notEqual">
      <formula>""</formula>
    </cfRule>
  </conditionalFormatting>
  <conditionalFormatting sqref="F136">
    <cfRule type="cellIs" dxfId="875" priority="376" stopIfTrue="1" operator="notEqual">
      <formula>""</formula>
    </cfRule>
  </conditionalFormatting>
  <conditionalFormatting sqref="E128 G128:H128">
    <cfRule type="cellIs" dxfId="874" priority="380" stopIfTrue="1" operator="notEqual">
      <formula>""</formula>
    </cfRule>
  </conditionalFormatting>
  <conditionalFormatting sqref="E128 G128:H128">
    <cfRule type="cellIs" dxfId="873" priority="379" stopIfTrue="1" operator="notEqual">
      <formula>""</formula>
    </cfRule>
  </conditionalFormatting>
  <conditionalFormatting sqref="F119:F121">
    <cfRule type="cellIs" dxfId="872" priority="395" stopIfTrue="1" operator="notEqual">
      <formula>""</formula>
    </cfRule>
  </conditionalFormatting>
  <conditionalFormatting sqref="E128">
    <cfRule type="cellIs" dxfId="871" priority="378" stopIfTrue="1" operator="notEqual">
      <formula>""</formula>
    </cfRule>
  </conditionalFormatting>
  <conditionalFormatting sqref="F119:F121">
    <cfRule type="cellIs" dxfId="870" priority="396" stopIfTrue="1" operator="notEqual">
      <formula>""</formula>
    </cfRule>
  </conditionalFormatting>
  <conditionalFormatting sqref="E129 G129:H129">
    <cfRule type="cellIs" dxfId="869" priority="375" stopIfTrue="1" operator="notEqual">
      <formula>""</formula>
    </cfRule>
  </conditionalFormatting>
  <conditionalFormatting sqref="E129">
    <cfRule type="cellIs" dxfId="868" priority="373" stopIfTrue="1" operator="notEqual">
      <formula>""</formula>
    </cfRule>
  </conditionalFormatting>
  <conditionalFormatting sqref="E129 G129:H129">
    <cfRule type="cellIs" dxfId="867" priority="374" stopIfTrue="1" operator="notEqual">
      <formula>""</formula>
    </cfRule>
  </conditionalFormatting>
  <conditionalFormatting sqref="E130 G130:H130">
    <cfRule type="cellIs" dxfId="866" priority="372" stopIfTrue="1" operator="notEqual">
      <formula>""</formula>
    </cfRule>
  </conditionalFormatting>
  <conditionalFormatting sqref="E130 G130:H130">
    <cfRule type="cellIs" dxfId="865" priority="371" stopIfTrue="1" operator="notEqual">
      <formula>""</formula>
    </cfRule>
  </conditionalFormatting>
  <conditionalFormatting sqref="E63:E65 G63:H65">
    <cfRule type="cellIs" dxfId="864" priority="350" stopIfTrue="1" operator="notEqual">
      <formula>""</formula>
    </cfRule>
  </conditionalFormatting>
  <conditionalFormatting sqref="E63:E65 G63:H65">
    <cfRule type="cellIs" dxfId="863" priority="351" stopIfTrue="1" operator="notEqual">
      <formula>""</formula>
    </cfRule>
  </conditionalFormatting>
  <conditionalFormatting sqref="E130">
    <cfRule type="cellIs" dxfId="862" priority="370" stopIfTrue="1" operator="notEqual">
      <formula>""</formula>
    </cfRule>
  </conditionalFormatting>
  <conditionalFormatting sqref="E126 G126:H126">
    <cfRule type="cellIs" dxfId="861" priority="354" stopIfTrue="1" operator="notEqual">
      <formula>""</formula>
    </cfRule>
  </conditionalFormatting>
  <conditionalFormatting sqref="E126">
    <cfRule type="cellIs" dxfId="860" priority="353" stopIfTrue="1" operator="notEqual">
      <formula>""</formula>
    </cfRule>
  </conditionalFormatting>
  <conditionalFormatting sqref="E131 G131:H131">
    <cfRule type="cellIs" dxfId="859" priority="369" stopIfTrue="1" operator="notEqual">
      <formula>""</formula>
    </cfRule>
  </conditionalFormatting>
  <conditionalFormatting sqref="E131">
    <cfRule type="cellIs" dxfId="858" priority="367" stopIfTrue="1" operator="notEqual">
      <formula>""</formula>
    </cfRule>
  </conditionalFormatting>
  <conditionalFormatting sqref="E131 G131:H131">
    <cfRule type="cellIs" dxfId="857" priority="368" stopIfTrue="1" operator="notEqual">
      <formula>""</formula>
    </cfRule>
  </conditionalFormatting>
  <conditionalFormatting sqref="E132 G132:H132 H133">
    <cfRule type="cellIs" dxfId="856" priority="366" stopIfTrue="1" operator="notEqual">
      <formula>""</formula>
    </cfRule>
  </conditionalFormatting>
  <conditionalFormatting sqref="E132 G132:H132 H133">
    <cfRule type="cellIs" dxfId="855" priority="365" stopIfTrue="1" operator="notEqual">
      <formula>""</formula>
    </cfRule>
  </conditionalFormatting>
  <conditionalFormatting sqref="E132">
    <cfRule type="cellIs" dxfId="854" priority="364" stopIfTrue="1" operator="notEqual">
      <formula>""</formula>
    </cfRule>
  </conditionalFormatting>
  <conditionalFormatting sqref="E126 G126:H126">
    <cfRule type="cellIs" dxfId="853" priority="355" stopIfTrue="1" operator="notEqual">
      <formula>""</formula>
    </cfRule>
  </conditionalFormatting>
  <conditionalFormatting sqref="E125 G125:H125">
    <cfRule type="cellIs" dxfId="852" priority="358" stopIfTrue="1" operator="notEqual">
      <formula>""</formula>
    </cfRule>
  </conditionalFormatting>
  <conditionalFormatting sqref="E66">
    <cfRule type="cellIs" dxfId="851" priority="346" stopIfTrue="1" operator="notEqual">
      <formula>""</formula>
    </cfRule>
  </conditionalFormatting>
  <conditionalFormatting sqref="E67:E82">
    <cfRule type="cellIs" dxfId="850" priority="343" stopIfTrue="1" operator="notEqual">
      <formula>""</formula>
    </cfRule>
  </conditionalFormatting>
  <conditionalFormatting sqref="E67:E82 G67:H82">
    <cfRule type="cellIs" dxfId="849" priority="344" stopIfTrue="1" operator="notEqual">
      <formula>""</formula>
    </cfRule>
  </conditionalFormatting>
  <conditionalFormatting sqref="E70:E82 G70:H82">
    <cfRule type="cellIs" dxfId="848" priority="342" stopIfTrue="1" operator="notEqual">
      <formula>""</formula>
    </cfRule>
  </conditionalFormatting>
  <conditionalFormatting sqref="E70:E82 G70:H82">
    <cfRule type="cellIs" dxfId="847" priority="341" stopIfTrue="1" operator="notEqual">
      <formula>""</formula>
    </cfRule>
  </conditionalFormatting>
  <conditionalFormatting sqref="E83:E84 G83:H84">
    <cfRule type="cellIs" dxfId="846" priority="338" stopIfTrue="1" operator="notEqual">
      <formula>""</formula>
    </cfRule>
  </conditionalFormatting>
  <conditionalFormatting sqref="E70:E82">
    <cfRule type="cellIs" dxfId="845" priority="340" stopIfTrue="1" operator="notEqual">
      <formula>""</formula>
    </cfRule>
  </conditionalFormatting>
  <conditionalFormatting sqref="E83:E84 G83:H84">
    <cfRule type="cellIs" dxfId="844" priority="339" stopIfTrue="1" operator="notEqual">
      <formula>""</formula>
    </cfRule>
  </conditionalFormatting>
  <conditionalFormatting sqref="E83:E84">
    <cfRule type="cellIs" dxfId="843" priority="337" stopIfTrue="1" operator="notEqual">
      <formula>""</formula>
    </cfRule>
  </conditionalFormatting>
  <conditionalFormatting sqref="E84">
    <cfRule type="cellIs" dxfId="842" priority="334" stopIfTrue="1" operator="notEqual">
      <formula>""</formula>
    </cfRule>
  </conditionalFormatting>
  <conditionalFormatting sqref="E85:E86 G85:H86">
    <cfRule type="cellIs" dxfId="841" priority="332" stopIfTrue="1" operator="notEqual">
      <formula>""</formula>
    </cfRule>
  </conditionalFormatting>
  <conditionalFormatting sqref="E86 G86:H86">
    <cfRule type="cellIs" dxfId="840" priority="329" stopIfTrue="1" operator="notEqual">
      <formula>""</formula>
    </cfRule>
  </conditionalFormatting>
  <conditionalFormatting sqref="E85:E86 G85:H86">
    <cfRule type="cellIs" dxfId="839" priority="333" stopIfTrue="1" operator="notEqual">
      <formula>""</formula>
    </cfRule>
  </conditionalFormatting>
  <conditionalFormatting sqref="E86 G86:H86">
    <cfRule type="cellIs" dxfId="838" priority="330" stopIfTrue="1" operator="notEqual">
      <formula>""</formula>
    </cfRule>
  </conditionalFormatting>
  <conditionalFormatting sqref="E86">
    <cfRule type="cellIs" dxfId="837" priority="328" stopIfTrue="1" operator="notEqual">
      <formula>""</formula>
    </cfRule>
  </conditionalFormatting>
  <conditionalFormatting sqref="E87:E88 G87:H88">
    <cfRule type="cellIs" dxfId="836" priority="327" stopIfTrue="1" operator="notEqual">
      <formula>""</formula>
    </cfRule>
  </conditionalFormatting>
  <conditionalFormatting sqref="E87:E88">
    <cfRule type="cellIs" dxfId="835" priority="325" stopIfTrue="1" operator="notEqual">
      <formula>""</formula>
    </cfRule>
  </conditionalFormatting>
  <conditionalFormatting sqref="E87:E88 G87:H88">
    <cfRule type="cellIs" dxfId="834" priority="326" stopIfTrue="1" operator="notEqual">
      <formula>""</formula>
    </cfRule>
  </conditionalFormatting>
  <conditionalFormatting sqref="E88">
    <cfRule type="cellIs" dxfId="833" priority="322" stopIfTrue="1" operator="notEqual">
      <formula>""</formula>
    </cfRule>
  </conditionalFormatting>
  <conditionalFormatting sqref="B134:C134">
    <cfRule type="cellIs" dxfId="832" priority="363" stopIfTrue="1" operator="notEqual">
      <formula>""</formula>
    </cfRule>
  </conditionalFormatting>
  <conditionalFormatting sqref="E133 G133">
    <cfRule type="cellIs" dxfId="831" priority="362" stopIfTrue="1" operator="notEqual">
      <formula>""</formula>
    </cfRule>
  </conditionalFormatting>
  <conditionalFormatting sqref="E133 G133">
    <cfRule type="cellIs" dxfId="830" priority="361" stopIfTrue="1" operator="notEqual">
      <formula>""</formula>
    </cfRule>
  </conditionalFormatting>
  <conditionalFormatting sqref="E133">
    <cfRule type="cellIs" dxfId="829" priority="360" stopIfTrue="1" operator="notEqual">
      <formula>""</formula>
    </cfRule>
  </conditionalFormatting>
  <conditionalFormatting sqref="Y135:AA135">
    <cfRule type="cellIs" dxfId="828" priority="359" stopIfTrue="1" operator="notEqual">
      <formula>""</formula>
    </cfRule>
  </conditionalFormatting>
  <conditionalFormatting sqref="E125">
    <cfRule type="cellIs" dxfId="827" priority="356" stopIfTrue="1" operator="notEqual">
      <formula>""</formula>
    </cfRule>
  </conditionalFormatting>
  <conditionalFormatting sqref="E125 G125:H125">
    <cfRule type="cellIs" dxfId="826" priority="357" stopIfTrue="1" operator="notEqual">
      <formula>""</formula>
    </cfRule>
  </conditionalFormatting>
  <conditionalFormatting sqref="E63:E65">
    <cfRule type="cellIs" dxfId="825" priority="349" stopIfTrue="1" operator="notEqual">
      <formula>""</formula>
    </cfRule>
  </conditionalFormatting>
  <conditionalFormatting sqref="E66 G66:H66">
    <cfRule type="cellIs" dxfId="824" priority="348" stopIfTrue="1" operator="notEqual">
      <formula>""</formula>
    </cfRule>
  </conditionalFormatting>
  <conditionalFormatting sqref="E66 G66:H66">
    <cfRule type="cellIs" dxfId="823" priority="347" stopIfTrue="1" operator="notEqual">
      <formula>""</formula>
    </cfRule>
  </conditionalFormatting>
  <conditionalFormatting sqref="E67:E82 G67:H82">
    <cfRule type="cellIs" dxfId="822" priority="345" stopIfTrue="1" operator="notEqual">
      <formula>""</formula>
    </cfRule>
  </conditionalFormatting>
  <conditionalFormatting sqref="E84 G84:H84">
    <cfRule type="cellIs" dxfId="821" priority="335" stopIfTrue="1" operator="notEqual">
      <formula>""</formula>
    </cfRule>
  </conditionalFormatting>
  <conditionalFormatting sqref="E84 G84:H84">
    <cfRule type="cellIs" dxfId="820" priority="336" stopIfTrue="1" operator="notEqual">
      <formula>""</formula>
    </cfRule>
  </conditionalFormatting>
  <conditionalFormatting sqref="E85:E86">
    <cfRule type="cellIs" dxfId="819" priority="331" stopIfTrue="1" operator="notEqual">
      <formula>""</formula>
    </cfRule>
  </conditionalFormatting>
  <conditionalFormatting sqref="E88 G88:H88">
    <cfRule type="cellIs" dxfId="818" priority="323" stopIfTrue="1" operator="notEqual">
      <formula>""</formula>
    </cfRule>
  </conditionalFormatting>
  <conditionalFormatting sqref="E88 G88:H88">
    <cfRule type="cellIs" dxfId="817" priority="324" stopIfTrue="1" operator="notEqual">
      <formula>""</formula>
    </cfRule>
  </conditionalFormatting>
  <conditionalFormatting sqref="E89:E90 G89:H90">
    <cfRule type="cellIs" dxfId="816" priority="321" stopIfTrue="1" operator="notEqual">
      <formula>""</formula>
    </cfRule>
  </conditionalFormatting>
  <conditionalFormatting sqref="E90 G90:H90">
    <cfRule type="cellIs" dxfId="815" priority="317" stopIfTrue="1" operator="notEqual">
      <formula>""</formula>
    </cfRule>
  </conditionalFormatting>
  <conditionalFormatting sqref="E89:E90">
    <cfRule type="cellIs" dxfId="814" priority="319" stopIfTrue="1" operator="notEqual">
      <formula>""</formula>
    </cfRule>
  </conditionalFormatting>
  <conditionalFormatting sqref="E89:E90 G89:H90">
    <cfRule type="cellIs" dxfId="813" priority="320" stopIfTrue="1" operator="notEqual">
      <formula>""</formula>
    </cfRule>
  </conditionalFormatting>
  <conditionalFormatting sqref="E90 G90:H90">
    <cfRule type="cellIs" dxfId="812" priority="318" stopIfTrue="1" operator="notEqual">
      <formula>""</formula>
    </cfRule>
  </conditionalFormatting>
  <conditionalFormatting sqref="E90">
    <cfRule type="cellIs" dxfId="811" priority="316" stopIfTrue="1" operator="notEqual">
      <formula>""</formula>
    </cfRule>
  </conditionalFormatting>
  <conditionalFormatting sqref="E91:E92 G91:H92">
    <cfRule type="cellIs" dxfId="810" priority="315" stopIfTrue="1" operator="notEqual">
      <formula>""</formula>
    </cfRule>
  </conditionalFormatting>
  <conditionalFormatting sqref="E92 G92:H92">
    <cfRule type="cellIs" dxfId="809" priority="311" stopIfTrue="1" operator="notEqual">
      <formula>""</formula>
    </cfRule>
  </conditionalFormatting>
  <conditionalFormatting sqref="E91:E92">
    <cfRule type="cellIs" dxfId="808" priority="313" stopIfTrue="1" operator="notEqual">
      <formula>""</formula>
    </cfRule>
  </conditionalFormatting>
  <conditionalFormatting sqref="E91:E92 G91:H92">
    <cfRule type="cellIs" dxfId="807" priority="314" stopIfTrue="1" operator="notEqual">
      <formula>""</formula>
    </cfRule>
  </conditionalFormatting>
  <conditionalFormatting sqref="E92 G92:H92">
    <cfRule type="cellIs" dxfId="806" priority="312" stopIfTrue="1" operator="notEqual">
      <formula>""</formula>
    </cfRule>
  </conditionalFormatting>
  <conditionalFormatting sqref="E92">
    <cfRule type="cellIs" dxfId="805" priority="310" stopIfTrue="1" operator="notEqual">
      <formula>""</formula>
    </cfRule>
  </conditionalFormatting>
  <conditionalFormatting sqref="E93:E106 G93:H106">
    <cfRule type="cellIs" dxfId="804" priority="309" stopIfTrue="1" operator="notEqual">
      <formula>""</formula>
    </cfRule>
  </conditionalFormatting>
  <conditionalFormatting sqref="E94 G94:H94 E96 E98 E100 E102 E104 E106 G96:H96 G98:H98 G100:H100 G102:H102 G104:H104 G106:H106">
    <cfRule type="cellIs" dxfId="803" priority="305" stopIfTrue="1" operator="notEqual">
      <formula>""</formula>
    </cfRule>
  </conditionalFormatting>
  <conditionalFormatting sqref="E93:E106">
    <cfRule type="cellIs" dxfId="802" priority="307" stopIfTrue="1" operator="notEqual">
      <formula>""</formula>
    </cfRule>
  </conditionalFormatting>
  <conditionalFormatting sqref="E93:E106 G93:H106">
    <cfRule type="cellIs" dxfId="801" priority="308" stopIfTrue="1" operator="notEqual">
      <formula>""</formula>
    </cfRule>
  </conditionalFormatting>
  <conditionalFormatting sqref="E94 G94:H94 E96 E98 E100 E102 E104 E106 G96:H96 G98:H98 G100:H100 G102:H102 G104:H104 G106:H106">
    <cfRule type="cellIs" dxfId="800" priority="306" stopIfTrue="1" operator="notEqual">
      <formula>""</formula>
    </cfRule>
  </conditionalFormatting>
  <conditionalFormatting sqref="E94 E96 E98 E100 E102 E104 E106">
    <cfRule type="cellIs" dxfId="799" priority="304" stopIfTrue="1" operator="notEqual">
      <formula>""</formula>
    </cfRule>
  </conditionalFormatting>
  <conditionalFormatting sqref="D9">
    <cfRule type="cellIs" dxfId="798" priority="303" stopIfTrue="1" operator="equal">
      <formula>"Total"</formula>
    </cfRule>
  </conditionalFormatting>
  <conditionalFormatting sqref="D9">
    <cfRule type="cellIs" dxfId="797" priority="302" stopIfTrue="1" operator="equal">
      <formula>"Total"</formula>
    </cfRule>
  </conditionalFormatting>
  <conditionalFormatting sqref="D134">
    <cfRule type="cellIs" dxfId="796" priority="301" stopIfTrue="1" operator="equal">
      <formula>"Total"</formula>
    </cfRule>
  </conditionalFormatting>
  <conditionalFormatting sqref="D122">
    <cfRule type="cellIs" dxfId="795" priority="298" stopIfTrue="1" operator="notEqual">
      <formula>""</formula>
    </cfRule>
  </conditionalFormatting>
  <conditionalFormatting sqref="D122">
    <cfRule type="cellIs" dxfId="794" priority="300" stopIfTrue="1" operator="notEqual">
      <formula>""</formula>
    </cfRule>
  </conditionalFormatting>
  <conditionalFormatting sqref="D122">
    <cfRule type="cellIs" dxfId="793" priority="299" stopIfTrue="1" operator="notEqual">
      <formula>""</formula>
    </cfRule>
  </conditionalFormatting>
  <conditionalFormatting sqref="D123:D133">
    <cfRule type="cellIs" dxfId="792" priority="297" stopIfTrue="1" operator="equal">
      <formula>"Total"</formula>
    </cfRule>
  </conditionalFormatting>
  <conditionalFormatting sqref="E107:E118 G107:H118">
    <cfRule type="cellIs" dxfId="791" priority="123" stopIfTrue="1" operator="notEqual">
      <formula>""</formula>
    </cfRule>
  </conditionalFormatting>
  <conditionalFormatting sqref="E107:E118 G107:H118">
    <cfRule type="cellIs" dxfId="790" priority="122" stopIfTrue="1" operator="notEqual">
      <formula>""</formula>
    </cfRule>
  </conditionalFormatting>
  <conditionalFormatting sqref="E108 E110 E112 E114 E116 E118 G108:H108 G110:H110 G112:H112 G114:H114 G116:H116 G118:H118">
    <cfRule type="cellIs" dxfId="789" priority="120" stopIfTrue="1" operator="notEqual">
      <formula>""</formula>
    </cfRule>
  </conditionalFormatting>
  <conditionalFormatting sqref="E107:E118">
    <cfRule type="cellIs" dxfId="788" priority="121" stopIfTrue="1" operator="notEqual">
      <formula>""</formula>
    </cfRule>
  </conditionalFormatting>
  <conditionalFormatting sqref="E108 E110 E112 E114 E116 E118 G108:H108 G110:H110 G112:H112 G114:H114 G116:H116 G118:H118">
    <cfRule type="cellIs" dxfId="787" priority="119" stopIfTrue="1" operator="notEqual">
      <formula>""</formula>
    </cfRule>
  </conditionalFormatting>
  <conditionalFormatting sqref="E108 E110 E112 E114 E116 E118">
    <cfRule type="cellIs" dxfId="786" priority="118" stopIfTrue="1" operator="notEqual">
      <formula>""</formula>
    </cfRule>
  </conditionalFormatting>
  <conditionalFormatting sqref="B11:B22">
    <cfRule type="cellIs" dxfId="785" priority="205" stopIfTrue="1" operator="notEqual">
      <formula>""</formula>
    </cfRule>
  </conditionalFormatting>
  <conditionalFormatting sqref="C122:C133">
    <cfRule type="cellIs" dxfId="784" priority="257" stopIfTrue="1" operator="notEqual">
      <formula>""</formula>
    </cfRule>
  </conditionalFormatting>
  <conditionalFormatting sqref="C122:C133">
    <cfRule type="cellIs" dxfId="783" priority="256" stopIfTrue="1" operator="notEqual">
      <formula>""</formula>
    </cfRule>
  </conditionalFormatting>
  <conditionalFormatting sqref="F122">
    <cfRule type="cellIs" dxfId="782" priority="252" stopIfTrue="1" operator="notEqual">
      <formula>""</formula>
    </cfRule>
  </conditionalFormatting>
  <conditionalFormatting sqref="F123:F133">
    <cfRule type="cellIs" dxfId="781" priority="251" stopIfTrue="1" operator="notEqual">
      <formula>""</formula>
    </cfRule>
  </conditionalFormatting>
  <conditionalFormatting sqref="F123:F133">
    <cfRule type="cellIs" dxfId="780" priority="250" stopIfTrue="1" operator="notEqual">
      <formula>""</formula>
    </cfRule>
  </conditionalFormatting>
  <conditionalFormatting sqref="B23:B34 B95:B106">
    <cfRule type="cellIs" dxfId="779" priority="249" stopIfTrue="1" operator="notEqual">
      <formula>""</formula>
    </cfRule>
  </conditionalFormatting>
  <conditionalFormatting sqref="B35:B94">
    <cfRule type="cellIs" dxfId="778" priority="248" stopIfTrue="1" operator="notEqual">
      <formula>""</formula>
    </cfRule>
  </conditionalFormatting>
  <conditionalFormatting sqref="E11:E22 G11:H22">
    <cfRule type="cellIs" dxfId="777" priority="247" stopIfTrue="1" operator="notEqual">
      <formula>""</formula>
    </cfRule>
  </conditionalFormatting>
  <conditionalFormatting sqref="B107:B118">
    <cfRule type="cellIs" dxfId="776" priority="35" stopIfTrue="1" operator="notEqual">
      <formula>""</formula>
    </cfRule>
  </conditionalFormatting>
  <conditionalFormatting sqref="B107:B118">
    <cfRule type="cellIs" dxfId="775" priority="34" stopIfTrue="1" operator="notEqual">
      <formula>""</formula>
    </cfRule>
  </conditionalFormatting>
  <conditionalFormatting sqref="F95:F118">
    <cfRule type="cellIs" dxfId="774" priority="30" stopIfTrue="1" operator="notEqual">
      <formula>""</formula>
    </cfRule>
  </conditionalFormatting>
  <conditionalFormatting sqref="F11:F94">
    <cfRule type="cellIs" dxfId="773" priority="31" stopIfTrue="1" operator="notEqual">
      <formula>""</formula>
    </cfRule>
  </conditionalFormatting>
  <conditionalFormatting sqref="C11:C22">
    <cfRule type="cellIs" dxfId="772" priority="29" stopIfTrue="1" operator="notEqual">
      <formula>""</formula>
    </cfRule>
  </conditionalFormatting>
  <conditionalFormatting sqref="C12:C22">
    <cfRule type="cellIs" dxfId="771" priority="28" stopIfTrue="1" operator="notEqual">
      <formula>""</formula>
    </cfRule>
  </conditionalFormatting>
  <conditionalFormatting sqref="C23:C34">
    <cfRule type="cellIs" dxfId="770" priority="26" stopIfTrue="1" operator="notEqual">
      <formula>""</formula>
    </cfRule>
  </conditionalFormatting>
  <conditionalFormatting sqref="C12:C22">
    <cfRule type="cellIs" dxfId="769" priority="27" stopIfTrue="1" operator="notEqual">
      <formula>""</formula>
    </cfRule>
  </conditionalFormatting>
  <conditionalFormatting sqref="C24:C34">
    <cfRule type="cellIs" dxfId="768" priority="25" stopIfTrue="1" operator="notEqual">
      <formula>""</formula>
    </cfRule>
  </conditionalFormatting>
  <conditionalFormatting sqref="C24:C34">
    <cfRule type="cellIs" dxfId="767" priority="24" stopIfTrue="1" operator="notEqual">
      <formula>""</formula>
    </cfRule>
  </conditionalFormatting>
  <conditionalFormatting sqref="C35:C46">
    <cfRule type="cellIs" dxfId="766" priority="23" stopIfTrue="1" operator="notEqual">
      <formula>""</formula>
    </cfRule>
  </conditionalFormatting>
  <conditionalFormatting sqref="C36:C46">
    <cfRule type="cellIs" dxfId="765" priority="21" stopIfTrue="1" operator="notEqual">
      <formula>""</formula>
    </cfRule>
  </conditionalFormatting>
  <conditionalFormatting sqref="C36:C46">
    <cfRule type="cellIs" dxfId="764" priority="22" stopIfTrue="1" operator="notEqual">
      <formula>""</formula>
    </cfRule>
  </conditionalFormatting>
  <conditionalFormatting sqref="C47:C58">
    <cfRule type="cellIs" dxfId="763" priority="20" stopIfTrue="1" operator="notEqual">
      <formula>""</formula>
    </cfRule>
  </conditionalFormatting>
  <conditionalFormatting sqref="C48:C58">
    <cfRule type="cellIs" dxfId="762" priority="19" stopIfTrue="1" operator="notEqual">
      <formula>""</formula>
    </cfRule>
  </conditionalFormatting>
  <conditionalFormatting sqref="C48:C58">
    <cfRule type="cellIs" dxfId="761" priority="18" stopIfTrue="1" operator="notEqual">
      <formula>""</formula>
    </cfRule>
  </conditionalFormatting>
  <conditionalFormatting sqref="C59:C70">
    <cfRule type="cellIs" dxfId="760" priority="17" stopIfTrue="1" operator="notEqual">
      <formula>""</formula>
    </cfRule>
  </conditionalFormatting>
  <conditionalFormatting sqref="C60:C70">
    <cfRule type="cellIs" dxfId="759" priority="16" stopIfTrue="1" operator="notEqual">
      <formula>""</formula>
    </cfRule>
  </conditionalFormatting>
  <conditionalFormatting sqref="C60:C70">
    <cfRule type="cellIs" dxfId="758" priority="15" stopIfTrue="1" operator="notEqual">
      <formula>""</formula>
    </cfRule>
  </conditionalFormatting>
  <conditionalFormatting sqref="C71:C82">
    <cfRule type="cellIs" dxfId="757" priority="14" stopIfTrue="1" operator="notEqual">
      <formula>""</formula>
    </cfRule>
  </conditionalFormatting>
  <conditionalFormatting sqref="C72:C82">
    <cfRule type="cellIs" dxfId="756" priority="13" stopIfTrue="1" operator="notEqual">
      <formula>""</formula>
    </cfRule>
  </conditionalFormatting>
  <conditionalFormatting sqref="C72:C82">
    <cfRule type="cellIs" dxfId="755" priority="12" stopIfTrue="1" operator="notEqual">
      <formula>""</formula>
    </cfRule>
  </conditionalFormatting>
  <conditionalFormatting sqref="C83:C94">
    <cfRule type="cellIs" dxfId="754" priority="11" stopIfTrue="1" operator="notEqual">
      <formula>""</formula>
    </cfRule>
  </conditionalFormatting>
  <conditionalFormatting sqref="C84:C94">
    <cfRule type="cellIs" dxfId="753" priority="9" stopIfTrue="1" operator="notEqual">
      <formula>""</formula>
    </cfRule>
  </conditionalFormatting>
  <conditionalFormatting sqref="C84:C94">
    <cfRule type="cellIs" dxfId="752" priority="10" stopIfTrue="1" operator="notEqual">
      <formula>""</formula>
    </cfRule>
  </conditionalFormatting>
  <conditionalFormatting sqref="D11:D106">
    <cfRule type="cellIs" dxfId="751" priority="33" stopIfTrue="1" operator="equal">
      <formula>"Total"</formula>
    </cfRule>
  </conditionalFormatting>
  <conditionalFormatting sqref="D107:D118">
    <cfRule type="cellIs" dxfId="750" priority="32" stopIfTrue="1" operator="equal">
      <formula>"Total"</formula>
    </cfRule>
  </conditionalFormatting>
  <conditionalFormatting sqref="C95:C106">
    <cfRule type="cellIs" dxfId="749" priority="8" stopIfTrue="1" operator="notEqual">
      <formula>""</formula>
    </cfRule>
  </conditionalFormatting>
  <conditionalFormatting sqref="C96:C106">
    <cfRule type="cellIs" dxfId="748" priority="7" stopIfTrue="1" operator="notEqual">
      <formula>""</formula>
    </cfRule>
  </conditionalFormatting>
  <conditionalFormatting sqref="C96:C106">
    <cfRule type="cellIs" dxfId="747" priority="6" stopIfTrue="1" operator="notEqual">
      <formula>""</formula>
    </cfRule>
  </conditionalFormatting>
  <conditionalFormatting sqref="C107:C118">
    <cfRule type="cellIs" dxfId="746" priority="5" stopIfTrue="1" operator="notEqual">
      <formula>""</formula>
    </cfRule>
  </conditionalFormatting>
  <conditionalFormatting sqref="C108:C118">
    <cfRule type="cellIs" dxfId="745" priority="4" stopIfTrue="1" operator="notEqual">
      <formula>""</formula>
    </cfRule>
  </conditionalFormatting>
  <conditionalFormatting sqref="C108:C118">
    <cfRule type="cellIs" dxfId="744" priority="3" stopIfTrue="1" operator="notEqual">
      <formula>""</formula>
    </cfRule>
  </conditionalFormatting>
  <conditionalFormatting sqref="B122:B133">
    <cfRule type="cellIs" dxfId="743" priority="1" stopIfTrue="1" operator="notEqual">
      <formula>""</formula>
    </cfRule>
  </conditionalFormatting>
  <conditionalFormatting sqref="B122:B133">
    <cfRule type="cellIs" dxfId="742" priority="2" stopIfTrue="1" operator="notEqual">
      <formula>""</formula>
    </cfRule>
  </conditionalFormatting>
  <pageMargins left="0.23622047244094491" right="0.11811023622047245" top="0.31496062992125984" bottom="0.27559055118110237" header="0.15748031496062992" footer="0.31496062992125984"/>
  <pageSetup paperSize="9"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A127"/>
  <sheetViews>
    <sheetView zoomScale="110" zoomScaleNormal="110" workbookViewId="0">
      <pane ySplit="11" topLeftCell="A12" activePane="bottomLeft" state="frozen"/>
      <selection pane="bottomLeft" activeCell="A12" sqref="A12"/>
    </sheetView>
  </sheetViews>
  <sheetFormatPr defaultRowHeight="12.75"/>
  <cols>
    <col min="1" max="1" width="2.7109375" customWidth="1"/>
    <col min="2" max="2" width="5" style="1" customWidth="1"/>
    <col min="3" max="3" width="5.85546875" style="1" customWidth="1"/>
    <col min="4" max="4" width="6.7109375" style="1" customWidth="1"/>
    <col min="5" max="5" width="5.85546875" style="1" customWidth="1"/>
    <col min="6" max="7" width="5" style="1" customWidth="1"/>
    <col min="8" max="8" width="8" style="1" customWidth="1"/>
    <col min="9" max="9" width="5.85546875" style="1" customWidth="1"/>
    <col min="10" max="10" width="6" style="1" customWidth="1"/>
    <col min="11" max="11" width="6.7109375" style="1" customWidth="1"/>
    <col min="12" max="13" width="6" style="1" customWidth="1"/>
    <col min="14" max="14" width="6.42578125" style="1" customWidth="1"/>
    <col min="15" max="16" width="6" style="1" customWidth="1"/>
    <col min="17" max="17" width="6.28515625" style="1" customWidth="1"/>
    <col min="18" max="19" width="6" style="1" customWidth="1"/>
    <col min="20" max="20" width="6.140625" style="1" customWidth="1"/>
    <col min="21" max="21" width="6" style="1" customWidth="1"/>
    <col min="22" max="22" width="6.140625" style="1" customWidth="1"/>
    <col min="23" max="23" width="6.42578125" style="1" customWidth="1"/>
    <col min="24" max="24" width="6" style="1" customWidth="1"/>
    <col min="25" max="27" width="0.5703125" style="1" customWidth="1"/>
  </cols>
  <sheetData>
    <row r="1" spans="1:27" ht="1.5" customHeight="1"/>
    <row r="3" spans="1:27" ht="9" customHeight="1"/>
    <row r="4" spans="1:27" ht="9.75" customHeight="1">
      <c r="I4" s="3" t="s">
        <v>0</v>
      </c>
      <c r="J4" s="2"/>
      <c r="K4" s="2"/>
      <c r="L4" s="2"/>
      <c r="M4" s="2"/>
      <c r="N4" s="2"/>
    </row>
    <row r="5" spans="1:27" ht="9.75" customHeight="1">
      <c r="I5" s="3" t="s">
        <v>1</v>
      </c>
      <c r="J5" s="2"/>
      <c r="K5" s="2"/>
      <c r="L5" s="2"/>
      <c r="M5" s="2"/>
      <c r="N5" s="2"/>
    </row>
    <row r="6" spans="1:27">
      <c r="I6" s="4" t="s">
        <v>2</v>
      </c>
    </row>
    <row r="7" spans="1:27" ht="3.75" customHeight="1"/>
    <row r="8" spans="1:27" ht="15">
      <c r="B8" s="101" t="s">
        <v>3</v>
      </c>
      <c r="C8" s="101"/>
      <c r="D8" s="101"/>
      <c r="E8" s="101"/>
      <c r="F8" s="101"/>
      <c r="G8" s="101"/>
      <c r="H8" s="39"/>
      <c r="I8" s="39"/>
      <c r="J8" s="39"/>
      <c r="P8" s="102" t="s">
        <v>34</v>
      </c>
      <c r="Q8" s="19"/>
      <c r="R8" s="19"/>
      <c r="S8" s="19"/>
      <c r="T8" s="180"/>
      <c r="U8" s="180"/>
      <c r="V8" s="420">
        <f>'base(indices)'!I2</f>
        <v>45474</v>
      </c>
      <c r="W8" s="420"/>
    </row>
    <row r="9" spans="1:27" ht="13.5" thickBot="1">
      <c r="B9" s="6" t="s">
        <v>35</v>
      </c>
      <c r="C9" s="6"/>
      <c r="F9" s="5"/>
      <c r="G9" s="5"/>
      <c r="K9" s="117" t="s">
        <v>36</v>
      </c>
      <c r="L9" s="97"/>
      <c r="M9" s="98"/>
      <c r="N9" s="99"/>
      <c r="O9" s="98"/>
    </row>
    <row r="10" spans="1:27" ht="12" customHeight="1" thickBot="1">
      <c r="A10" s="422" t="s">
        <v>6</v>
      </c>
      <c r="B10" s="474" t="s">
        <v>7</v>
      </c>
      <c r="C10" s="432" t="s">
        <v>8</v>
      </c>
      <c r="D10" s="430" t="s">
        <v>9</v>
      </c>
      <c r="E10" s="430" t="s">
        <v>10</v>
      </c>
      <c r="F10" s="430" t="s">
        <v>37</v>
      </c>
      <c r="G10" s="430" t="s">
        <v>38</v>
      </c>
      <c r="H10" s="476" t="s">
        <v>39</v>
      </c>
      <c r="I10" s="478" t="s">
        <v>40</v>
      </c>
      <c r="J10" s="468" t="s">
        <v>41</v>
      </c>
      <c r="K10" s="469"/>
      <c r="L10" s="208" t="s">
        <v>42</v>
      </c>
      <c r="M10" s="126">
        <v>0.9</v>
      </c>
      <c r="N10" s="127" t="s">
        <v>42</v>
      </c>
      <c r="O10" s="128"/>
      <c r="P10" s="129">
        <v>0.8</v>
      </c>
      <c r="Q10" s="130" t="s">
        <v>42</v>
      </c>
      <c r="R10" s="131"/>
      <c r="S10" s="126">
        <v>0.7</v>
      </c>
      <c r="T10" s="127"/>
      <c r="U10" s="128"/>
      <c r="V10" s="129">
        <v>0.6</v>
      </c>
      <c r="W10" s="130" t="s">
        <v>43</v>
      </c>
      <c r="X10" s="131"/>
      <c r="Y10" s="132">
        <v>0.5</v>
      </c>
      <c r="Z10" s="127" t="s">
        <v>42</v>
      </c>
      <c r="AA10" s="133"/>
    </row>
    <row r="11" spans="1:27" ht="24" customHeight="1" thickBot="1">
      <c r="A11" s="473"/>
      <c r="B11" s="475"/>
      <c r="C11" s="458"/>
      <c r="D11" s="459"/>
      <c r="E11" s="459"/>
      <c r="F11" s="459"/>
      <c r="G11" s="459"/>
      <c r="H11" s="477"/>
      <c r="I11" s="479"/>
      <c r="J11" s="31" t="s">
        <v>44</v>
      </c>
      <c r="K11" s="140" t="s">
        <v>45</v>
      </c>
      <c r="L11" s="191" t="s">
        <v>18</v>
      </c>
      <c r="M11" s="31" t="s">
        <v>44</v>
      </c>
      <c r="N11" s="140" t="s">
        <v>45</v>
      </c>
      <c r="O11" s="30" t="s">
        <v>20</v>
      </c>
      <c r="P11" s="31" t="s">
        <v>44</v>
      </c>
      <c r="Q11" s="140" t="s">
        <v>45</v>
      </c>
      <c r="R11" s="30" t="s">
        <v>21</v>
      </c>
      <c r="S11" s="31" t="s">
        <v>44</v>
      </c>
      <c r="T11" s="140" t="s">
        <v>45</v>
      </c>
      <c r="U11" s="30" t="s">
        <v>22</v>
      </c>
      <c r="V11" s="31" t="s">
        <v>44</v>
      </c>
      <c r="W11" s="140" t="s">
        <v>45</v>
      </c>
      <c r="X11" s="30" t="s">
        <v>23</v>
      </c>
      <c r="Y11" s="140" t="s">
        <v>45</v>
      </c>
      <c r="Z11" s="140" t="s">
        <v>45</v>
      </c>
      <c r="AA11" s="30" t="s">
        <v>46</v>
      </c>
    </row>
    <row r="12" spans="1:27" ht="13.5" customHeight="1">
      <c r="A12" s="387">
        <v>5</v>
      </c>
      <c r="B12" s="136">
        <v>42370</v>
      </c>
      <c r="C12" s="120">
        <f>VLOOKUP(B12,'base(indices)'!$A$4:$C$183,3,FALSE)</f>
        <v>880</v>
      </c>
      <c r="D12" s="241">
        <f>'base(indices)'!G76</f>
        <v>1.35223581</v>
      </c>
      <c r="E12" s="137">
        <f t="shared" ref="E12:E23" si="0">C12*D12</f>
        <v>1189.9675128000001</v>
      </c>
      <c r="F12" s="371">
        <f>'base(indices)'!$I$147</f>
        <v>0.29920000000000002</v>
      </c>
      <c r="G12" s="78">
        <f t="shared" ref="G12:G23" si="1">E12*F12</f>
        <v>356.03827982976009</v>
      </c>
      <c r="H12" s="372">
        <f t="shared" ref="H12:H23" si="2">(E12+G12)*4</f>
        <v>6184.0231705190408</v>
      </c>
      <c r="I12" s="96">
        <f t="shared" ref="I12:I23" si="3">E12/3</f>
        <v>396.65583760000004</v>
      </c>
      <c r="J12" s="96">
        <f t="shared" ref="J12:J23" si="4">H12+I12</f>
        <v>6580.6790081190411</v>
      </c>
      <c r="K12" s="138"/>
      <c r="L12" s="320">
        <f t="shared" ref="L12:L23" si="5">J12+K12</f>
        <v>6580.6790081190411</v>
      </c>
      <c r="M12" s="48">
        <f t="shared" ref="M12:M23" si="6">J12*M$10</f>
        <v>5922.611107307137</v>
      </c>
      <c r="N12" s="138">
        <f t="shared" ref="N12:N23" si="7">K12*M$10</f>
        <v>0</v>
      </c>
      <c r="O12" s="49">
        <f t="shared" ref="O12:O23" si="8">M12+N12</f>
        <v>5922.611107307137</v>
      </c>
      <c r="P12" s="114">
        <f t="shared" ref="P12:P14" si="9">J12*$P$10</f>
        <v>5264.5432064952329</v>
      </c>
      <c r="Q12" s="138">
        <f t="shared" ref="Q12:Q23" si="10">K12*P$10</f>
        <v>0</v>
      </c>
      <c r="R12" s="139">
        <f t="shared" ref="R12:R18" si="11">P12+Q12</f>
        <v>5264.5432064952329</v>
      </c>
      <c r="S12" s="48">
        <f t="shared" ref="S12:S23" si="12">J12*S$10</f>
        <v>4606.4753056833288</v>
      </c>
      <c r="T12" s="138">
        <f t="shared" ref="T12:T23" si="13">K12*S$10</f>
        <v>0</v>
      </c>
      <c r="U12" s="49">
        <f t="shared" ref="U12:U23" si="14">S12+T12</f>
        <v>4606.4753056833288</v>
      </c>
      <c r="V12" s="48">
        <f t="shared" ref="V12:V23" si="15">J12*V$10</f>
        <v>3948.4074048714247</v>
      </c>
      <c r="W12" s="138">
        <f t="shared" ref="W12:W23" si="16">K12*V$10</f>
        <v>0</v>
      </c>
      <c r="X12" s="49">
        <f t="shared" ref="X12:X23" si="17">V12+W12</f>
        <v>3948.4074048714247</v>
      </c>
      <c r="Y12" s="48">
        <f t="shared" ref="Y12:Y23" si="18">J12*Y$10</f>
        <v>3290.3395040595206</v>
      </c>
      <c r="Z12" s="138">
        <f t="shared" ref="Z12:Z23" si="19">N12*Y$10</f>
        <v>0</v>
      </c>
      <c r="AA12" s="49">
        <f t="shared" ref="AA12:AA23" si="20">Y12+Z12</f>
        <v>3290.3395040595206</v>
      </c>
    </row>
    <row r="13" spans="1:27" s="26" customFormat="1" ht="13.5" customHeight="1">
      <c r="A13" s="110">
        <v>5</v>
      </c>
      <c r="B13" s="50">
        <v>42401</v>
      </c>
      <c r="C13" s="61">
        <f>VLOOKUP(B13,'base(indices)'!$A$4:$C$183,3,FALSE)</f>
        <v>880</v>
      </c>
      <c r="D13" s="87">
        <f>'base(indices)'!G77</f>
        <v>1.3399086499999999</v>
      </c>
      <c r="E13" s="52">
        <f t="shared" si="0"/>
        <v>1179.119612</v>
      </c>
      <c r="F13" s="307">
        <f>'base(indices)'!$I$147</f>
        <v>0.29920000000000002</v>
      </c>
      <c r="G13" s="54">
        <f t="shared" si="1"/>
        <v>352.79258791040002</v>
      </c>
      <c r="H13" s="373">
        <f t="shared" si="2"/>
        <v>6127.6487996415999</v>
      </c>
      <c r="I13" s="94">
        <f t="shared" si="3"/>
        <v>393.03987066666667</v>
      </c>
      <c r="J13" s="94">
        <f t="shared" si="4"/>
        <v>6520.6886703082664</v>
      </c>
      <c r="K13" s="57"/>
      <c r="L13" s="67">
        <f t="shared" si="5"/>
        <v>6520.6886703082664</v>
      </c>
      <c r="M13" s="58">
        <f t="shared" si="6"/>
        <v>5868.61980327744</v>
      </c>
      <c r="N13" s="57">
        <f t="shared" si="7"/>
        <v>0</v>
      </c>
      <c r="O13" s="59">
        <f t="shared" si="8"/>
        <v>5868.61980327744</v>
      </c>
      <c r="P13" s="57">
        <f t="shared" si="9"/>
        <v>5216.5509362466137</v>
      </c>
      <c r="Q13" s="57">
        <f t="shared" si="10"/>
        <v>0</v>
      </c>
      <c r="R13" s="60">
        <f t="shared" si="11"/>
        <v>5216.5509362466137</v>
      </c>
      <c r="S13" s="58">
        <f t="shared" si="12"/>
        <v>4564.4820692157864</v>
      </c>
      <c r="T13" s="57">
        <f t="shared" si="13"/>
        <v>0</v>
      </c>
      <c r="U13" s="59">
        <f t="shared" si="14"/>
        <v>4564.4820692157864</v>
      </c>
      <c r="V13" s="58">
        <f t="shared" si="15"/>
        <v>3912.4132021849596</v>
      </c>
      <c r="W13" s="57">
        <f t="shared" si="16"/>
        <v>0</v>
      </c>
      <c r="X13" s="59">
        <f t="shared" si="17"/>
        <v>3912.4132021849596</v>
      </c>
      <c r="Y13" s="58">
        <f t="shared" si="18"/>
        <v>3260.3443351541332</v>
      </c>
      <c r="Z13" s="57">
        <f t="shared" si="19"/>
        <v>0</v>
      </c>
      <c r="AA13" s="59">
        <f t="shared" si="20"/>
        <v>3260.3443351541332</v>
      </c>
    </row>
    <row r="14" spans="1:27" ht="13.5" customHeight="1">
      <c r="A14" s="110">
        <v>5</v>
      </c>
      <c r="B14" s="50">
        <v>42430</v>
      </c>
      <c r="C14" s="61">
        <f>VLOOKUP(B14,'base(indices)'!$A$4:$C$183,3,FALSE)</f>
        <v>880</v>
      </c>
      <c r="D14" s="87">
        <f>'base(indices)'!G78</f>
        <v>1.3211483399999999</v>
      </c>
      <c r="E14" s="62">
        <f t="shared" si="0"/>
        <v>1162.6105391999999</v>
      </c>
      <c r="F14" s="307">
        <f>'base(indices)'!$I$147</f>
        <v>0.29920000000000002</v>
      </c>
      <c r="G14" s="63">
        <f t="shared" si="1"/>
        <v>347.85307332863999</v>
      </c>
      <c r="H14" s="373">
        <f t="shared" si="2"/>
        <v>6041.8544501145598</v>
      </c>
      <c r="I14" s="95">
        <f t="shared" si="3"/>
        <v>387.5368464</v>
      </c>
      <c r="J14" s="95">
        <f t="shared" si="4"/>
        <v>6429.3912965145601</v>
      </c>
      <c r="K14" s="43"/>
      <c r="L14" s="44">
        <f t="shared" si="5"/>
        <v>6429.3912965145601</v>
      </c>
      <c r="M14" s="45">
        <f t="shared" si="6"/>
        <v>5786.4521668631041</v>
      </c>
      <c r="N14" s="43">
        <f t="shared" si="7"/>
        <v>0</v>
      </c>
      <c r="O14" s="46">
        <f t="shared" si="8"/>
        <v>5786.4521668631041</v>
      </c>
      <c r="P14" s="66">
        <f t="shared" si="9"/>
        <v>5143.5130372116482</v>
      </c>
      <c r="Q14" s="43">
        <f t="shared" si="10"/>
        <v>0</v>
      </c>
      <c r="R14" s="47">
        <f t="shared" si="11"/>
        <v>5143.5130372116482</v>
      </c>
      <c r="S14" s="45">
        <f t="shared" si="12"/>
        <v>4500.5739075601914</v>
      </c>
      <c r="T14" s="43">
        <f t="shared" si="13"/>
        <v>0</v>
      </c>
      <c r="U14" s="46">
        <f t="shared" si="14"/>
        <v>4500.5739075601914</v>
      </c>
      <c r="V14" s="45">
        <f t="shared" si="15"/>
        <v>3857.6347779087359</v>
      </c>
      <c r="W14" s="43">
        <f t="shared" si="16"/>
        <v>0</v>
      </c>
      <c r="X14" s="46">
        <f t="shared" si="17"/>
        <v>3857.6347779087359</v>
      </c>
      <c r="Y14" s="45">
        <f t="shared" si="18"/>
        <v>3214.69564825728</v>
      </c>
      <c r="Z14" s="43">
        <f t="shared" si="19"/>
        <v>0</v>
      </c>
      <c r="AA14" s="46">
        <f t="shared" si="20"/>
        <v>3214.69564825728</v>
      </c>
    </row>
    <row r="15" spans="1:27" s="26" customFormat="1" ht="13.5" customHeight="1">
      <c r="A15" s="110">
        <v>5</v>
      </c>
      <c r="B15" s="50">
        <v>42461</v>
      </c>
      <c r="C15" s="61">
        <f>VLOOKUP(B15,'base(indices)'!$A$4:$C$183,3,FALSE)</f>
        <v>880</v>
      </c>
      <c r="D15" s="87">
        <f>'base(indices)'!G79</f>
        <v>1.31549173</v>
      </c>
      <c r="E15" s="52">
        <f t="shared" si="0"/>
        <v>1157.6327223999999</v>
      </c>
      <c r="F15" s="307">
        <f>'base(indices)'!$I$147</f>
        <v>0.29920000000000002</v>
      </c>
      <c r="G15" s="54">
        <f t="shared" si="1"/>
        <v>346.36371054208001</v>
      </c>
      <c r="H15" s="373">
        <f t="shared" si="2"/>
        <v>6015.98573176832</v>
      </c>
      <c r="I15" s="94">
        <f t="shared" si="3"/>
        <v>385.87757413333333</v>
      </c>
      <c r="J15" s="94">
        <f t="shared" si="4"/>
        <v>6401.8633059016529</v>
      </c>
      <c r="K15" s="57"/>
      <c r="L15" s="67">
        <f t="shared" si="5"/>
        <v>6401.8633059016529</v>
      </c>
      <c r="M15" s="58">
        <f t="shared" si="6"/>
        <v>5761.6769753114877</v>
      </c>
      <c r="N15" s="57">
        <f t="shared" si="7"/>
        <v>0</v>
      </c>
      <c r="O15" s="59">
        <f t="shared" si="8"/>
        <v>5761.6769753114877</v>
      </c>
      <c r="P15" s="57">
        <f>J15*$P$10</f>
        <v>5121.4906447213225</v>
      </c>
      <c r="Q15" s="57">
        <f t="shared" si="10"/>
        <v>0</v>
      </c>
      <c r="R15" s="60">
        <f t="shared" si="11"/>
        <v>5121.4906447213225</v>
      </c>
      <c r="S15" s="58">
        <f t="shared" si="12"/>
        <v>4481.3043141311564</v>
      </c>
      <c r="T15" s="57">
        <f t="shared" si="13"/>
        <v>0</v>
      </c>
      <c r="U15" s="59">
        <f t="shared" si="14"/>
        <v>4481.3043141311564</v>
      </c>
      <c r="V15" s="58">
        <f t="shared" si="15"/>
        <v>3841.1179835409916</v>
      </c>
      <c r="W15" s="57">
        <f t="shared" si="16"/>
        <v>0</v>
      </c>
      <c r="X15" s="59">
        <f t="shared" si="17"/>
        <v>3841.1179835409916</v>
      </c>
      <c r="Y15" s="58">
        <f t="shared" si="18"/>
        <v>3200.9316529508264</v>
      </c>
      <c r="Z15" s="57">
        <f t="shared" si="19"/>
        <v>0</v>
      </c>
      <c r="AA15" s="59">
        <f t="shared" si="20"/>
        <v>3200.9316529508264</v>
      </c>
    </row>
    <row r="16" spans="1:27" ht="13.5" customHeight="1">
      <c r="A16" s="110">
        <v>5</v>
      </c>
      <c r="B16" s="50">
        <v>42491</v>
      </c>
      <c r="C16" s="61">
        <f>VLOOKUP(B16,'base(indices)'!$A$4:$C$183,3,FALSE)</f>
        <v>880</v>
      </c>
      <c r="D16" s="87">
        <f>'base(indices)'!G80</f>
        <v>1.30881676</v>
      </c>
      <c r="E16" s="62">
        <f t="shared" si="0"/>
        <v>1151.7587487999999</v>
      </c>
      <c r="F16" s="307">
        <f>'base(indices)'!$I$147</f>
        <v>0.29920000000000002</v>
      </c>
      <c r="G16" s="63">
        <f t="shared" si="1"/>
        <v>344.60621764095998</v>
      </c>
      <c r="H16" s="373">
        <f t="shared" si="2"/>
        <v>5985.4598657638398</v>
      </c>
      <c r="I16" s="95">
        <f t="shared" si="3"/>
        <v>383.91958293333329</v>
      </c>
      <c r="J16" s="95">
        <f t="shared" si="4"/>
        <v>6369.3794486971728</v>
      </c>
      <c r="K16" s="43"/>
      <c r="L16" s="44">
        <f t="shared" si="5"/>
        <v>6369.3794486971728</v>
      </c>
      <c r="M16" s="45">
        <f t="shared" si="6"/>
        <v>5732.4415038274556</v>
      </c>
      <c r="N16" s="43">
        <f t="shared" si="7"/>
        <v>0</v>
      </c>
      <c r="O16" s="46">
        <f t="shared" si="8"/>
        <v>5732.4415038274556</v>
      </c>
      <c r="P16" s="66">
        <f>J16*$P$10</f>
        <v>5095.5035589577383</v>
      </c>
      <c r="Q16" s="43">
        <f t="shared" si="10"/>
        <v>0</v>
      </c>
      <c r="R16" s="47">
        <f t="shared" si="11"/>
        <v>5095.5035589577383</v>
      </c>
      <c r="S16" s="45">
        <f t="shared" si="12"/>
        <v>4458.565614088021</v>
      </c>
      <c r="T16" s="43">
        <f t="shared" si="13"/>
        <v>0</v>
      </c>
      <c r="U16" s="46">
        <f t="shared" si="14"/>
        <v>4458.565614088021</v>
      </c>
      <c r="V16" s="45">
        <f t="shared" si="15"/>
        <v>3821.6276692183037</v>
      </c>
      <c r="W16" s="43">
        <f t="shared" si="16"/>
        <v>0</v>
      </c>
      <c r="X16" s="46">
        <f t="shared" si="17"/>
        <v>3821.6276692183037</v>
      </c>
      <c r="Y16" s="45">
        <f t="shared" si="18"/>
        <v>3184.6897243485864</v>
      </c>
      <c r="Z16" s="43">
        <f t="shared" si="19"/>
        <v>0</v>
      </c>
      <c r="AA16" s="46">
        <f t="shared" si="20"/>
        <v>3184.6897243485864</v>
      </c>
    </row>
    <row r="17" spans="1:27" s="26" customFormat="1" ht="13.5" customHeight="1">
      <c r="A17" s="110">
        <v>5</v>
      </c>
      <c r="B17" s="50">
        <v>42522</v>
      </c>
      <c r="C17" s="61">
        <f>VLOOKUP(B17,'base(indices)'!$A$4:$C$183,3,FALSE)</f>
        <v>880</v>
      </c>
      <c r="D17" s="87">
        <f>'base(indices)'!G81</f>
        <v>1.2976569099999999</v>
      </c>
      <c r="E17" s="52">
        <f t="shared" si="0"/>
        <v>1141.9380807999999</v>
      </c>
      <c r="F17" s="307">
        <f>'base(indices)'!$I$147</f>
        <v>0.29920000000000002</v>
      </c>
      <c r="G17" s="54">
        <f t="shared" si="1"/>
        <v>341.66787377535996</v>
      </c>
      <c r="H17" s="373">
        <f t="shared" si="2"/>
        <v>5934.4238183014395</v>
      </c>
      <c r="I17" s="94">
        <f t="shared" si="3"/>
        <v>380.6460269333333</v>
      </c>
      <c r="J17" s="94">
        <f t="shared" si="4"/>
        <v>6315.0698452347724</v>
      </c>
      <c r="K17" s="57"/>
      <c r="L17" s="67">
        <f t="shared" si="5"/>
        <v>6315.0698452347724</v>
      </c>
      <c r="M17" s="58">
        <f t="shared" si="6"/>
        <v>5683.5628607112949</v>
      </c>
      <c r="N17" s="57">
        <f t="shared" si="7"/>
        <v>0</v>
      </c>
      <c r="O17" s="59">
        <f t="shared" si="8"/>
        <v>5683.5628607112949</v>
      </c>
      <c r="P17" s="57">
        <f t="shared" ref="P17:P23" si="21">J17*$P$10</f>
        <v>5052.0558761878183</v>
      </c>
      <c r="Q17" s="57">
        <f t="shared" si="10"/>
        <v>0</v>
      </c>
      <c r="R17" s="60">
        <f t="shared" si="11"/>
        <v>5052.0558761878183</v>
      </c>
      <c r="S17" s="58">
        <f t="shared" si="12"/>
        <v>4420.5488916643408</v>
      </c>
      <c r="T17" s="57">
        <f t="shared" si="13"/>
        <v>0</v>
      </c>
      <c r="U17" s="59">
        <f t="shared" si="14"/>
        <v>4420.5488916643408</v>
      </c>
      <c r="V17" s="58">
        <f t="shared" si="15"/>
        <v>3789.0419071408633</v>
      </c>
      <c r="W17" s="57">
        <f t="shared" si="16"/>
        <v>0</v>
      </c>
      <c r="X17" s="59">
        <f t="shared" si="17"/>
        <v>3789.0419071408633</v>
      </c>
      <c r="Y17" s="58">
        <f t="shared" si="18"/>
        <v>3157.5349226173862</v>
      </c>
      <c r="Z17" s="57">
        <f t="shared" si="19"/>
        <v>0</v>
      </c>
      <c r="AA17" s="59">
        <f t="shared" si="20"/>
        <v>3157.5349226173862</v>
      </c>
    </row>
    <row r="18" spans="1:27" ht="13.5" customHeight="1">
      <c r="A18" s="110">
        <v>5</v>
      </c>
      <c r="B18" s="50">
        <v>42552</v>
      </c>
      <c r="C18" s="61">
        <f>VLOOKUP(B18,'base(indices)'!$A$4:$C$183,3,FALSE)</f>
        <v>880</v>
      </c>
      <c r="D18" s="87">
        <f>'base(indices)'!G82</f>
        <v>1.2924869699999999</v>
      </c>
      <c r="E18" s="62">
        <f t="shared" si="0"/>
        <v>1137.3885335999998</v>
      </c>
      <c r="F18" s="307">
        <f>'base(indices)'!$I$147</f>
        <v>0.29920000000000002</v>
      </c>
      <c r="G18" s="63">
        <f t="shared" si="1"/>
        <v>340.30664925311999</v>
      </c>
      <c r="H18" s="373">
        <f t="shared" si="2"/>
        <v>5910.7807314124793</v>
      </c>
      <c r="I18" s="95">
        <f t="shared" si="3"/>
        <v>379.12951119999997</v>
      </c>
      <c r="J18" s="95">
        <f t="shared" si="4"/>
        <v>6289.9102426124791</v>
      </c>
      <c r="K18" s="43"/>
      <c r="L18" s="44">
        <f t="shared" si="5"/>
        <v>6289.9102426124791</v>
      </c>
      <c r="M18" s="45">
        <f t="shared" si="6"/>
        <v>5660.9192183512314</v>
      </c>
      <c r="N18" s="43">
        <f t="shared" si="7"/>
        <v>0</v>
      </c>
      <c r="O18" s="46">
        <f t="shared" si="8"/>
        <v>5660.9192183512314</v>
      </c>
      <c r="P18" s="66">
        <f t="shared" si="21"/>
        <v>5031.9281940899837</v>
      </c>
      <c r="Q18" s="43">
        <f t="shared" si="10"/>
        <v>0</v>
      </c>
      <c r="R18" s="47">
        <f t="shared" si="11"/>
        <v>5031.9281940899837</v>
      </c>
      <c r="S18" s="45">
        <f t="shared" si="12"/>
        <v>4402.937169828735</v>
      </c>
      <c r="T18" s="43">
        <f t="shared" si="13"/>
        <v>0</v>
      </c>
      <c r="U18" s="46">
        <f t="shared" si="14"/>
        <v>4402.937169828735</v>
      </c>
      <c r="V18" s="45">
        <f t="shared" si="15"/>
        <v>3773.9461455674873</v>
      </c>
      <c r="W18" s="43">
        <f t="shared" si="16"/>
        <v>0</v>
      </c>
      <c r="X18" s="46">
        <f t="shared" si="17"/>
        <v>3773.9461455674873</v>
      </c>
      <c r="Y18" s="45">
        <f t="shared" si="18"/>
        <v>3144.9551213062396</v>
      </c>
      <c r="Z18" s="43">
        <f t="shared" si="19"/>
        <v>0</v>
      </c>
      <c r="AA18" s="46">
        <f t="shared" si="20"/>
        <v>3144.9551213062396</v>
      </c>
    </row>
    <row r="19" spans="1:27" s="26" customFormat="1" ht="13.5" customHeight="1">
      <c r="A19" s="110">
        <v>5</v>
      </c>
      <c r="B19" s="50">
        <v>42583</v>
      </c>
      <c r="C19" s="61">
        <f>VLOOKUP(B19,'base(indices)'!$A$4:$C$183,3,FALSE)</f>
        <v>880</v>
      </c>
      <c r="D19" s="87">
        <f>'base(indices)'!G83</f>
        <v>1.28554502</v>
      </c>
      <c r="E19" s="52">
        <f t="shared" si="0"/>
        <v>1131.2796175999999</v>
      </c>
      <c r="F19" s="307">
        <f>'base(indices)'!$I$147</f>
        <v>0.29920000000000002</v>
      </c>
      <c r="G19" s="54">
        <f t="shared" si="1"/>
        <v>338.47886158592001</v>
      </c>
      <c r="H19" s="373">
        <f t="shared" si="2"/>
        <v>5879.0339167436796</v>
      </c>
      <c r="I19" s="94">
        <f t="shared" si="3"/>
        <v>377.09320586666666</v>
      </c>
      <c r="J19" s="94">
        <f t="shared" si="4"/>
        <v>6256.1271226103463</v>
      </c>
      <c r="K19" s="57"/>
      <c r="L19" s="67">
        <f t="shared" si="5"/>
        <v>6256.1271226103463</v>
      </c>
      <c r="M19" s="58">
        <f t="shared" si="6"/>
        <v>5630.5144103493121</v>
      </c>
      <c r="N19" s="57">
        <f t="shared" si="7"/>
        <v>0</v>
      </c>
      <c r="O19" s="59">
        <f t="shared" si="8"/>
        <v>5630.5144103493121</v>
      </c>
      <c r="P19" s="57">
        <f t="shared" si="21"/>
        <v>5004.901698088277</v>
      </c>
      <c r="Q19" s="57">
        <f t="shared" si="10"/>
        <v>0</v>
      </c>
      <c r="R19" s="60">
        <f>P19+Q19</f>
        <v>5004.901698088277</v>
      </c>
      <c r="S19" s="58">
        <f t="shared" si="12"/>
        <v>4379.288985827242</v>
      </c>
      <c r="T19" s="57">
        <f t="shared" si="13"/>
        <v>0</v>
      </c>
      <c r="U19" s="59">
        <f t="shared" si="14"/>
        <v>4379.288985827242</v>
      </c>
      <c r="V19" s="58">
        <f t="shared" si="15"/>
        <v>3753.6762735662078</v>
      </c>
      <c r="W19" s="57">
        <f t="shared" si="16"/>
        <v>0</v>
      </c>
      <c r="X19" s="59">
        <f t="shared" si="17"/>
        <v>3753.6762735662078</v>
      </c>
      <c r="Y19" s="58">
        <f t="shared" si="18"/>
        <v>3128.0635613051732</v>
      </c>
      <c r="Z19" s="57">
        <f t="shared" si="19"/>
        <v>0</v>
      </c>
      <c r="AA19" s="59">
        <f t="shared" si="20"/>
        <v>3128.0635613051732</v>
      </c>
    </row>
    <row r="20" spans="1:27" ht="13.5" customHeight="1">
      <c r="A20" s="110">
        <v>5</v>
      </c>
      <c r="B20" s="50">
        <v>42614</v>
      </c>
      <c r="C20" s="61">
        <f>VLOOKUP(B20,'base(indices)'!$A$4:$C$183,3,FALSE)</f>
        <v>880</v>
      </c>
      <c r="D20" s="87">
        <f>'base(indices)'!G84</f>
        <v>1.2797859899999999</v>
      </c>
      <c r="E20" s="62">
        <f t="shared" si="0"/>
        <v>1126.2116712</v>
      </c>
      <c r="F20" s="307">
        <f>'base(indices)'!$I$147</f>
        <v>0.29920000000000002</v>
      </c>
      <c r="G20" s="63">
        <f t="shared" si="1"/>
        <v>336.96253202304001</v>
      </c>
      <c r="H20" s="373">
        <f t="shared" si="2"/>
        <v>5852.6968128921599</v>
      </c>
      <c r="I20" s="95">
        <f t="shared" si="3"/>
        <v>375.40389039999997</v>
      </c>
      <c r="J20" s="95">
        <f t="shared" si="4"/>
        <v>6228.1007032921598</v>
      </c>
      <c r="K20" s="43"/>
      <c r="L20" s="44">
        <f t="shared" si="5"/>
        <v>6228.1007032921598</v>
      </c>
      <c r="M20" s="45">
        <f t="shared" si="6"/>
        <v>5605.2906329629441</v>
      </c>
      <c r="N20" s="43">
        <f t="shared" si="7"/>
        <v>0</v>
      </c>
      <c r="O20" s="46">
        <f t="shared" si="8"/>
        <v>5605.2906329629441</v>
      </c>
      <c r="P20" s="66">
        <f t="shared" si="21"/>
        <v>4982.4805626337284</v>
      </c>
      <c r="Q20" s="43">
        <f t="shared" si="10"/>
        <v>0</v>
      </c>
      <c r="R20" s="47">
        <f t="shared" ref="R20:R23" si="22">P20+Q20</f>
        <v>4982.4805626337284</v>
      </c>
      <c r="S20" s="45">
        <f t="shared" si="12"/>
        <v>4359.6704923045118</v>
      </c>
      <c r="T20" s="43">
        <f t="shared" si="13"/>
        <v>0</v>
      </c>
      <c r="U20" s="46">
        <f t="shared" si="14"/>
        <v>4359.6704923045118</v>
      </c>
      <c r="V20" s="45">
        <f t="shared" si="15"/>
        <v>3736.8604219752956</v>
      </c>
      <c r="W20" s="43">
        <f t="shared" si="16"/>
        <v>0</v>
      </c>
      <c r="X20" s="46">
        <f t="shared" si="17"/>
        <v>3736.8604219752956</v>
      </c>
      <c r="Y20" s="45">
        <f t="shared" si="18"/>
        <v>3114.0503516460799</v>
      </c>
      <c r="Z20" s="43">
        <f t="shared" si="19"/>
        <v>0</v>
      </c>
      <c r="AA20" s="46">
        <f t="shared" si="20"/>
        <v>3114.0503516460799</v>
      </c>
    </row>
    <row r="21" spans="1:27" s="26" customFormat="1" ht="13.5" customHeight="1">
      <c r="A21" s="110">
        <v>5</v>
      </c>
      <c r="B21" s="50">
        <v>42644</v>
      </c>
      <c r="C21" s="61">
        <f>VLOOKUP(B21,'base(indices)'!$A$4:$C$183,3,FALSE)</f>
        <v>880</v>
      </c>
      <c r="D21" s="87">
        <f>'base(indices)'!G85</f>
        <v>1.2768492300000001</v>
      </c>
      <c r="E21" s="52">
        <f t="shared" si="0"/>
        <v>1123.6273224000001</v>
      </c>
      <c r="F21" s="307">
        <f>'base(indices)'!$I$147</f>
        <v>0.29920000000000002</v>
      </c>
      <c r="G21" s="54">
        <f t="shared" si="1"/>
        <v>336.18929486208009</v>
      </c>
      <c r="H21" s="373">
        <f t="shared" si="2"/>
        <v>5839.2664690483207</v>
      </c>
      <c r="I21" s="94">
        <f t="shared" si="3"/>
        <v>374.54244080000007</v>
      </c>
      <c r="J21" s="94">
        <f t="shared" si="4"/>
        <v>6213.8089098483206</v>
      </c>
      <c r="K21" s="57"/>
      <c r="L21" s="67">
        <f t="shared" si="5"/>
        <v>6213.8089098483206</v>
      </c>
      <c r="M21" s="58">
        <f t="shared" si="6"/>
        <v>5592.4280188634884</v>
      </c>
      <c r="N21" s="57">
        <f t="shared" si="7"/>
        <v>0</v>
      </c>
      <c r="O21" s="59">
        <f t="shared" si="8"/>
        <v>5592.4280188634884</v>
      </c>
      <c r="P21" s="57">
        <f t="shared" si="21"/>
        <v>4971.0471278786572</v>
      </c>
      <c r="Q21" s="57">
        <f t="shared" si="10"/>
        <v>0</v>
      </c>
      <c r="R21" s="60">
        <f t="shared" si="22"/>
        <v>4971.0471278786572</v>
      </c>
      <c r="S21" s="58">
        <f t="shared" si="12"/>
        <v>4349.6662368938241</v>
      </c>
      <c r="T21" s="57">
        <f t="shared" si="13"/>
        <v>0</v>
      </c>
      <c r="U21" s="59">
        <f t="shared" si="14"/>
        <v>4349.6662368938241</v>
      </c>
      <c r="V21" s="58">
        <f t="shared" si="15"/>
        <v>3728.285345908992</v>
      </c>
      <c r="W21" s="57">
        <f t="shared" si="16"/>
        <v>0</v>
      </c>
      <c r="X21" s="59">
        <f t="shared" si="17"/>
        <v>3728.285345908992</v>
      </c>
      <c r="Y21" s="58">
        <f t="shared" si="18"/>
        <v>3106.9044549241603</v>
      </c>
      <c r="Z21" s="57">
        <f t="shared" si="19"/>
        <v>0</v>
      </c>
      <c r="AA21" s="59">
        <f t="shared" si="20"/>
        <v>3106.9044549241603</v>
      </c>
    </row>
    <row r="22" spans="1:27" ht="13.5" customHeight="1">
      <c r="A22" s="110">
        <v>5</v>
      </c>
      <c r="B22" s="50">
        <v>42675</v>
      </c>
      <c r="C22" s="61">
        <f>VLOOKUP(B22,'base(indices)'!$A$4:$C$183,3,FALSE)</f>
        <v>880</v>
      </c>
      <c r="D22" s="87">
        <f>'base(indices)'!G86</f>
        <v>1.2744278200000001</v>
      </c>
      <c r="E22" s="62">
        <f t="shared" si="0"/>
        <v>1121.4964816000002</v>
      </c>
      <c r="F22" s="307">
        <f>'base(indices)'!$I$147</f>
        <v>0.29920000000000002</v>
      </c>
      <c r="G22" s="63">
        <f t="shared" si="1"/>
        <v>335.55174729472009</v>
      </c>
      <c r="H22" s="373">
        <f t="shared" si="2"/>
        <v>5828.1929155788812</v>
      </c>
      <c r="I22" s="95">
        <f t="shared" si="3"/>
        <v>373.83216053333337</v>
      </c>
      <c r="J22" s="95">
        <f t="shared" si="4"/>
        <v>6202.0250761122143</v>
      </c>
      <c r="K22" s="43"/>
      <c r="L22" s="44">
        <f t="shared" si="5"/>
        <v>6202.0250761122143</v>
      </c>
      <c r="M22" s="45">
        <f t="shared" si="6"/>
        <v>5581.8225685009929</v>
      </c>
      <c r="N22" s="43">
        <f t="shared" si="7"/>
        <v>0</v>
      </c>
      <c r="O22" s="46">
        <f t="shared" si="8"/>
        <v>5581.8225685009929</v>
      </c>
      <c r="P22" s="66">
        <f t="shared" si="21"/>
        <v>4961.6200608897716</v>
      </c>
      <c r="Q22" s="43">
        <f t="shared" si="10"/>
        <v>0</v>
      </c>
      <c r="R22" s="47">
        <f t="shared" si="22"/>
        <v>4961.6200608897716</v>
      </c>
      <c r="S22" s="45">
        <f t="shared" si="12"/>
        <v>4341.4175532785493</v>
      </c>
      <c r="T22" s="43">
        <f t="shared" si="13"/>
        <v>0</v>
      </c>
      <c r="U22" s="46">
        <f t="shared" si="14"/>
        <v>4341.4175532785493</v>
      </c>
      <c r="V22" s="45">
        <f t="shared" si="15"/>
        <v>3721.2150456673285</v>
      </c>
      <c r="W22" s="43">
        <f t="shared" si="16"/>
        <v>0</v>
      </c>
      <c r="X22" s="46">
        <f t="shared" si="17"/>
        <v>3721.2150456673285</v>
      </c>
      <c r="Y22" s="45">
        <f t="shared" si="18"/>
        <v>3101.0125380561071</v>
      </c>
      <c r="Z22" s="43">
        <f t="shared" si="19"/>
        <v>0</v>
      </c>
      <c r="AA22" s="46">
        <f t="shared" si="20"/>
        <v>3101.0125380561071</v>
      </c>
    </row>
    <row r="23" spans="1:27" s="26" customFormat="1" ht="13.5" customHeight="1" thickBot="1">
      <c r="A23" s="161">
        <v>5</v>
      </c>
      <c r="B23" s="68">
        <v>42705</v>
      </c>
      <c r="C23" s="69">
        <f>VLOOKUP(B23,'base(indices)'!$A$4:$C$183,3,FALSE)</f>
        <v>880</v>
      </c>
      <c r="D23" s="242">
        <f>'base(indices)'!G87</f>
        <v>1.2711228999999999</v>
      </c>
      <c r="E23" s="182">
        <f t="shared" si="0"/>
        <v>1118.588152</v>
      </c>
      <c r="F23" s="304">
        <f>'base(indices)'!$I$147</f>
        <v>0.29920000000000002</v>
      </c>
      <c r="G23" s="163">
        <f t="shared" si="1"/>
        <v>334.68157507840004</v>
      </c>
      <c r="H23" s="374">
        <f t="shared" si="2"/>
        <v>5813.0789083136006</v>
      </c>
      <c r="I23" s="111">
        <f t="shared" si="3"/>
        <v>372.86271733333336</v>
      </c>
      <c r="J23" s="111">
        <f t="shared" si="4"/>
        <v>6185.941625646934</v>
      </c>
      <c r="K23" s="85"/>
      <c r="L23" s="184">
        <f t="shared" si="5"/>
        <v>6185.941625646934</v>
      </c>
      <c r="M23" s="175">
        <f t="shared" si="6"/>
        <v>5567.3474630822411</v>
      </c>
      <c r="N23" s="85">
        <f t="shared" si="7"/>
        <v>0</v>
      </c>
      <c r="O23" s="165">
        <f t="shared" si="8"/>
        <v>5567.3474630822411</v>
      </c>
      <c r="P23" s="85">
        <f t="shared" si="21"/>
        <v>4948.7533005175474</v>
      </c>
      <c r="Q23" s="85">
        <f t="shared" si="10"/>
        <v>0</v>
      </c>
      <c r="R23" s="107">
        <f t="shared" si="22"/>
        <v>4948.7533005175474</v>
      </c>
      <c r="S23" s="175">
        <f t="shared" si="12"/>
        <v>4330.1591379528536</v>
      </c>
      <c r="T23" s="85">
        <f t="shared" si="13"/>
        <v>0</v>
      </c>
      <c r="U23" s="165">
        <f t="shared" si="14"/>
        <v>4330.1591379528536</v>
      </c>
      <c r="V23" s="175">
        <f t="shared" si="15"/>
        <v>3711.5649753881603</v>
      </c>
      <c r="W23" s="85">
        <f t="shared" si="16"/>
        <v>0</v>
      </c>
      <c r="X23" s="165">
        <f t="shared" si="17"/>
        <v>3711.5649753881603</v>
      </c>
      <c r="Y23" s="175">
        <f t="shared" si="18"/>
        <v>3092.970812823467</v>
      </c>
      <c r="Z23" s="85">
        <f t="shared" si="19"/>
        <v>0</v>
      </c>
      <c r="AA23" s="165">
        <f t="shared" si="20"/>
        <v>3092.970812823467</v>
      </c>
    </row>
    <row r="24" spans="1:27" ht="13.5" customHeight="1">
      <c r="A24" s="388">
        <v>5</v>
      </c>
      <c r="B24" s="246">
        <v>42736</v>
      </c>
      <c r="C24" s="273">
        <f>VLOOKUP(B24,'base(indices)'!$A$4:$C$183,3,FALSE)</f>
        <v>937</v>
      </c>
      <c r="D24" s="241">
        <f>'base(indices)'!G88</f>
        <v>1.2687123499999999</v>
      </c>
      <c r="E24" s="206">
        <f t="shared" ref="E24:E51" si="23">C24*D24</f>
        <v>1188.7834719499999</v>
      </c>
      <c r="F24" s="264">
        <f>'base(indices)'!$I$147</f>
        <v>0.29920000000000002</v>
      </c>
      <c r="G24" s="154">
        <f t="shared" ref="G24:G51" si="24">E24*F24</f>
        <v>355.68401480744001</v>
      </c>
      <c r="H24" s="394">
        <f t="shared" ref="H24:H53" si="25">(E24+G24)*4</f>
        <v>6177.8699470297597</v>
      </c>
      <c r="I24" s="96">
        <f t="shared" ref="I24:I54" si="26">E24/3</f>
        <v>396.26115731666664</v>
      </c>
      <c r="J24" s="96">
        <f t="shared" ref="J24:J53" si="27">H24+I24</f>
        <v>6574.1311043464266</v>
      </c>
      <c r="K24" s="138"/>
      <c r="L24" s="320">
        <f t="shared" ref="L24:L63" si="28">J24+K24</f>
        <v>6574.1311043464266</v>
      </c>
      <c r="M24" s="48">
        <f t="shared" ref="M24:M63" si="29">J24*M$10</f>
        <v>5916.7179939117841</v>
      </c>
      <c r="N24" s="138">
        <f t="shared" ref="N24:N62" si="30">K24*M$10</f>
        <v>0</v>
      </c>
      <c r="O24" s="49">
        <f t="shared" ref="O24:O62" si="31">M24+N24</f>
        <v>5916.7179939117841</v>
      </c>
      <c r="P24" s="114">
        <f t="shared" ref="P24:P26" si="32">J24*$P$10</f>
        <v>5259.3048834771416</v>
      </c>
      <c r="Q24" s="138">
        <f t="shared" ref="Q24:Q51" si="33">K24*P$10</f>
        <v>0</v>
      </c>
      <c r="R24" s="139">
        <f t="shared" ref="R24:R30" si="34">P24+Q24</f>
        <v>5259.3048834771416</v>
      </c>
      <c r="S24" s="48">
        <f t="shared" ref="S24:S51" si="35">J24*S$10</f>
        <v>4601.8917730424982</v>
      </c>
      <c r="T24" s="138">
        <f t="shared" ref="T24:T51" si="36">K24*S$10</f>
        <v>0</v>
      </c>
      <c r="U24" s="49">
        <f t="shared" ref="U24:U51" si="37">S24+T24</f>
        <v>4601.8917730424982</v>
      </c>
      <c r="V24" s="48">
        <f t="shared" ref="V24:V52" si="38">J24*V$10</f>
        <v>3944.4786626078558</v>
      </c>
      <c r="W24" s="138">
        <f t="shared" ref="W24:W51" si="39">K24*V$10</f>
        <v>0</v>
      </c>
      <c r="X24" s="49">
        <f t="shared" ref="X24:X51" si="40">V24+W24</f>
        <v>3944.4786626078558</v>
      </c>
      <c r="Y24" s="48">
        <f t="shared" ref="Y24:Y51" si="41">J24*Y$10</f>
        <v>3287.0655521732133</v>
      </c>
      <c r="Z24" s="138">
        <f t="shared" ref="Z24:Z51" si="42">N24*Y$10</f>
        <v>0</v>
      </c>
      <c r="AA24" s="49">
        <f t="shared" ref="AA24:AA51" si="43">Y24+Z24</f>
        <v>3287.0655521732133</v>
      </c>
    </row>
    <row r="25" spans="1:27" s="26" customFormat="1" ht="13.5" customHeight="1">
      <c r="A25" s="110">
        <v>5</v>
      </c>
      <c r="B25" s="50">
        <v>42767</v>
      </c>
      <c r="C25" s="61">
        <f>VLOOKUP(B25,'base(indices)'!$A$4:$C$183,3,FALSE)</f>
        <v>937</v>
      </c>
      <c r="D25" s="87">
        <f>'base(indices)'!G89</f>
        <v>1.2647914899999999</v>
      </c>
      <c r="E25" s="52">
        <f t="shared" si="23"/>
        <v>1185.1096261299999</v>
      </c>
      <c r="F25" s="307">
        <f>'base(indices)'!$I$147</f>
        <v>0.29920000000000002</v>
      </c>
      <c r="G25" s="54">
        <f t="shared" si="24"/>
        <v>354.584800138096</v>
      </c>
      <c r="H25" s="373">
        <f t="shared" si="25"/>
        <v>6158.7777050723835</v>
      </c>
      <c r="I25" s="94">
        <f t="shared" si="26"/>
        <v>395.03654204333333</v>
      </c>
      <c r="J25" s="94">
        <f t="shared" si="27"/>
        <v>6553.8142471157171</v>
      </c>
      <c r="K25" s="57"/>
      <c r="L25" s="67">
        <f t="shared" si="28"/>
        <v>6553.8142471157171</v>
      </c>
      <c r="M25" s="58">
        <f t="shared" si="29"/>
        <v>5898.4328224041456</v>
      </c>
      <c r="N25" s="57">
        <f t="shared" si="30"/>
        <v>0</v>
      </c>
      <c r="O25" s="59">
        <f t="shared" si="31"/>
        <v>5898.4328224041456</v>
      </c>
      <c r="P25" s="57">
        <f t="shared" si="32"/>
        <v>5243.051397692574</v>
      </c>
      <c r="Q25" s="57">
        <f t="shared" si="33"/>
        <v>0</v>
      </c>
      <c r="R25" s="60">
        <f t="shared" si="34"/>
        <v>5243.051397692574</v>
      </c>
      <c r="S25" s="58">
        <f t="shared" si="35"/>
        <v>4587.6699729810016</v>
      </c>
      <c r="T25" s="57">
        <f t="shared" si="36"/>
        <v>0</v>
      </c>
      <c r="U25" s="59">
        <f t="shared" si="37"/>
        <v>4587.6699729810016</v>
      </c>
      <c r="V25" s="58">
        <f t="shared" si="38"/>
        <v>3932.2885482694301</v>
      </c>
      <c r="W25" s="57">
        <f t="shared" si="39"/>
        <v>0</v>
      </c>
      <c r="X25" s="59">
        <f t="shared" si="40"/>
        <v>3932.2885482694301</v>
      </c>
      <c r="Y25" s="58">
        <f t="shared" si="41"/>
        <v>3276.9071235578585</v>
      </c>
      <c r="Z25" s="57">
        <f t="shared" si="42"/>
        <v>0</v>
      </c>
      <c r="AA25" s="59">
        <f t="shared" si="43"/>
        <v>3276.9071235578585</v>
      </c>
    </row>
    <row r="26" spans="1:27" ht="13.5" customHeight="1">
      <c r="A26" s="110">
        <v>5</v>
      </c>
      <c r="B26" s="50">
        <v>42795</v>
      </c>
      <c r="C26" s="61">
        <f>VLOOKUP(B26,'base(indices)'!$A$4:$C$183,3,FALSE)</f>
        <v>937</v>
      </c>
      <c r="D26" s="87">
        <f>'base(indices)'!G90</f>
        <v>1.2579982999999999</v>
      </c>
      <c r="E26" s="62">
        <f t="shared" si="23"/>
        <v>1178.7444071</v>
      </c>
      <c r="F26" s="307">
        <f>'base(indices)'!$I$147</f>
        <v>0.29920000000000002</v>
      </c>
      <c r="G26" s="63">
        <f t="shared" si="24"/>
        <v>352.68032660432004</v>
      </c>
      <c r="H26" s="373">
        <f t="shared" si="25"/>
        <v>6125.6989348172801</v>
      </c>
      <c r="I26" s="95">
        <f t="shared" si="26"/>
        <v>392.91480236666666</v>
      </c>
      <c r="J26" s="95">
        <f t="shared" si="27"/>
        <v>6518.6137371839468</v>
      </c>
      <c r="K26" s="43"/>
      <c r="L26" s="44">
        <f t="shared" si="28"/>
        <v>6518.6137371839468</v>
      </c>
      <c r="M26" s="45">
        <f t="shared" si="29"/>
        <v>5866.7523634655527</v>
      </c>
      <c r="N26" s="43">
        <f t="shared" si="30"/>
        <v>0</v>
      </c>
      <c r="O26" s="46">
        <f t="shared" si="31"/>
        <v>5866.7523634655527</v>
      </c>
      <c r="P26" s="66">
        <f t="shared" si="32"/>
        <v>5214.8909897471576</v>
      </c>
      <c r="Q26" s="43">
        <f t="shared" si="33"/>
        <v>0</v>
      </c>
      <c r="R26" s="47">
        <f t="shared" si="34"/>
        <v>5214.8909897471576</v>
      </c>
      <c r="S26" s="45">
        <f t="shared" si="35"/>
        <v>4563.0296160287626</v>
      </c>
      <c r="T26" s="43">
        <f t="shared" si="36"/>
        <v>0</v>
      </c>
      <c r="U26" s="46">
        <f t="shared" si="37"/>
        <v>4563.0296160287626</v>
      </c>
      <c r="V26" s="45">
        <f t="shared" si="38"/>
        <v>3911.168242310368</v>
      </c>
      <c r="W26" s="43">
        <f t="shared" si="39"/>
        <v>0</v>
      </c>
      <c r="X26" s="46">
        <f t="shared" si="40"/>
        <v>3911.168242310368</v>
      </c>
      <c r="Y26" s="45">
        <f t="shared" si="41"/>
        <v>3259.3068685919734</v>
      </c>
      <c r="Z26" s="43">
        <f t="shared" si="42"/>
        <v>0</v>
      </c>
      <c r="AA26" s="46">
        <f t="shared" si="43"/>
        <v>3259.3068685919734</v>
      </c>
    </row>
    <row r="27" spans="1:27" s="26" customFormat="1" ht="13.5" customHeight="1">
      <c r="A27" s="110">
        <v>5</v>
      </c>
      <c r="B27" s="50">
        <v>42826</v>
      </c>
      <c r="C27" s="61">
        <f>VLOOKUP(B27,'base(indices)'!$A$4:$C$183,3,FALSE)</f>
        <v>937</v>
      </c>
      <c r="D27" s="87">
        <f>'base(indices)'!G91</f>
        <v>1.2561141300000001</v>
      </c>
      <c r="E27" s="52">
        <f t="shared" si="23"/>
        <v>1176.9789398100002</v>
      </c>
      <c r="F27" s="307">
        <f>'base(indices)'!$I$147</f>
        <v>0.29920000000000002</v>
      </c>
      <c r="G27" s="54">
        <f t="shared" si="24"/>
        <v>352.15209879115207</v>
      </c>
      <c r="H27" s="373">
        <f t="shared" si="25"/>
        <v>6116.5241544046094</v>
      </c>
      <c r="I27" s="94">
        <f t="shared" si="26"/>
        <v>392.32631327000007</v>
      </c>
      <c r="J27" s="94">
        <f t="shared" si="27"/>
        <v>6508.8504676746097</v>
      </c>
      <c r="K27" s="57"/>
      <c r="L27" s="67">
        <f t="shared" si="28"/>
        <v>6508.8504676746097</v>
      </c>
      <c r="M27" s="58">
        <f t="shared" si="29"/>
        <v>5857.9654209071487</v>
      </c>
      <c r="N27" s="57">
        <f t="shared" si="30"/>
        <v>0</v>
      </c>
      <c r="O27" s="59">
        <f t="shared" si="31"/>
        <v>5857.9654209071487</v>
      </c>
      <c r="P27" s="57">
        <f>J27*$P$10</f>
        <v>5207.0803741396885</v>
      </c>
      <c r="Q27" s="57">
        <f t="shared" si="33"/>
        <v>0</v>
      </c>
      <c r="R27" s="60">
        <f t="shared" si="34"/>
        <v>5207.0803741396885</v>
      </c>
      <c r="S27" s="58">
        <f t="shared" si="35"/>
        <v>4556.1953273722265</v>
      </c>
      <c r="T27" s="57">
        <f t="shared" si="36"/>
        <v>0</v>
      </c>
      <c r="U27" s="59">
        <f t="shared" si="37"/>
        <v>4556.1953273722265</v>
      </c>
      <c r="V27" s="58">
        <f t="shared" si="38"/>
        <v>3905.3102806047655</v>
      </c>
      <c r="W27" s="57">
        <f t="shared" si="39"/>
        <v>0</v>
      </c>
      <c r="X27" s="59">
        <f t="shared" si="40"/>
        <v>3905.3102806047655</v>
      </c>
      <c r="Y27" s="58">
        <f t="shared" si="41"/>
        <v>3254.4252338373049</v>
      </c>
      <c r="Z27" s="57">
        <f t="shared" si="42"/>
        <v>0</v>
      </c>
      <c r="AA27" s="59">
        <f t="shared" si="43"/>
        <v>3254.4252338373049</v>
      </c>
    </row>
    <row r="28" spans="1:27" ht="13.5" customHeight="1">
      <c r="A28" s="110">
        <v>5</v>
      </c>
      <c r="B28" s="50">
        <v>42856</v>
      </c>
      <c r="C28" s="61">
        <f>VLOOKUP(B28,'base(indices)'!$A$4:$C$183,3,FALSE)</f>
        <v>937</v>
      </c>
      <c r="D28" s="87">
        <f>'base(indices)'!G92</f>
        <v>1.25348182</v>
      </c>
      <c r="E28" s="62">
        <f t="shared" si="23"/>
        <v>1174.5124653400001</v>
      </c>
      <c r="F28" s="307">
        <f>'base(indices)'!$I$147</f>
        <v>0.29920000000000002</v>
      </c>
      <c r="G28" s="63">
        <f t="shared" si="24"/>
        <v>351.41412962972805</v>
      </c>
      <c r="H28" s="373">
        <f t="shared" si="25"/>
        <v>6103.7063798789122</v>
      </c>
      <c r="I28" s="95">
        <f t="shared" si="26"/>
        <v>391.50415511333335</v>
      </c>
      <c r="J28" s="95">
        <f t="shared" si="27"/>
        <v>6495.2105349922458</v>
      </c>
      <c r="K28" s="43"/>
      <c r="L28" s="44">
        <f t="shared" si="28"/>
        <v>6495.2105349922458</v>
      </c>
      <c r="M28" s="45">
        <f t="shared" si="29"/>
        <v>5845.689481493021</v>
      </c>
      <c r="N28" s="43">
        <f t="shared" si="30"/>
        <v>0</v>
      </c>
      <c r="O28" s="46">
        <f t="shared" si="31"/>
        <v>5845.689481493021</v>
      </c>
      <c r="P28" s="66">
        <f>J28*$P$10</f>
        <v>5196.1684279937972</v>
      </c>
      <c r="Q28" s="43">
        <f t="shared" si="33"/>
        <v>0</v>
      </c>
      <c r="R28" s="47">
        <f t="shared" si="34"/>
        <v>5196.1684279937972</v>
      </c>
      <c r="S28" s="45">
        <f t="shared" si="35"/>
        <v>4546.6473744945715</v>
      </c>
      <c r="T28" s="43">
        <f t="shared" si="36"/>
        <v>0</v>
      </c>
      <c r="U28" s="46">
        <f t="shared" si="37"/>
        <v>4546.6473744945715</v>
      </c>
      <c r="V28" s="45">
        <f t="shared" si="38"/>
        <v>3897.1263209953472</v>
      </c>
      <c r="W28" s="43">
        <f t="shared" si="39"/>
        <v>0</v>
      </c>
      <c r="X28" s="46">
        <f t="shared" si="40"/>
        <v>3897.1263209953472</v>
      </c>
      <c r="Y28" s="45">
        <f t="shared" si="41"/>
        <v>3247.6052674961229</v>
      </c>
      <c r="Z28" s="43">
        <f t="shared" si="42"/>
        <v>0</v>
      </c>
      <c r="AA28" s="46">
        <f t="shared" si="43"/>
        <v>3247.6052674961229</v>
      </c>
    </row>
    <row r="29" spans="1:27" s="26" customFormat="1" ht="13.5" customHeight="1">
      <c r="A29" s="110">
        <v>5</v>
      </c>
      <c r="B29" s="50">
        <v>42887</v>
      </c>
      <c r="C29" s="61">
        <f>VLOOKUP(B29,'base(indices)'!$A$4:$C$183,3,FALSE)</f>
        <v>937</v>
      </c>
      <c r="D29" s="87">
        <f>'base(indices)'!G93</f>
        <v>1.25048067</v>
      </c>
      <c r="E29" s="52">
        <f t="shared" si="23"/>
        <v>1171.7003877899999</v>
      </c>
      <c r="F29" s="307">
        <f>'base(indices)'!$I$147</f>
        <v>0.29920000000000002</v>
      </c>
      <c r="G29" s="54">
        <f t="shared" si="24"/>
        <v>350.57275602676799</v>
      </c>
      <c r="H29" s="373">
        <f t="shared" si="25"/>
        <v>6089.0925752670719</v>
      </c>
      <c r="I29" s="94">
        <f t="shared" si="26"/>
        <v>390.56679592999996</v>
      </c>
      <c r="J29" s="94">
        <f t="shared" si="27"/>
        <v>6479.6593711970718</v>
      </c>
      <c r="K29" s="57"/>
      <c r="L29" s="67">
        <f t="shared" si="28"/>
        <v>6479.6593711970718</v>
      </c>
      <c r="M29" s="58">
        <f t="shared" si="29"/>
        <v>5831.6934340773651</v>
      </c>
      <c r="N29" s="57">
        <f t="shared" si="30"/>
        <v>0</v>
      </c>
      <c r="O29" s="59">
        <f t="shared" si="31"/>
        <v>5831.6934340773651</v>
      </c>
      <c r="P29" s="57">
        <f t="shared" ref="P29:P48" si="44">J29*$P$10</f>
        <v>5183.7274969576574</v>
      </c>
      <c r="Q29" s="57">
        <f t="shared" si="33"/>
        <v>0</v>
      </c>
      <c r="R29" s="60">
        <f t="shared" si="34"/>
        <v>5183.7274969576574</v>
      </c>
      <c r="S29" s="58">
        <f t="shared" si="35"/>
        <v>4535.7615598379498</v>
      </c>
      <c r="T29" s="57">
        <f t="shared" si="36"/>
        <v>0</v>
      </c>
      <c r="U29" s="59">
        <f t="shared" si="37"/>
        <v>4535.7615598379498</v>
      </c>
      <c r="V29" s="58">
        <f t="shared" si="38"/>
        <v>3887.7956227182431</v>
      </c>
      <c r="W29" s="57">
        <f t="shared" si="39"/>
        <v>0</v>
      </c>
      <c r="X29" s="59">
        <f t="shared" si="40"/>
        <v>3887.7956227182431</v>
      </c>
      <c r="Y29" s="58">
        <f t="shared" si="41"/>
        <v>3239.8296855985359</v>
      </c>
      <c r="Z29" s="57">
        <f t="shared" si="42"/>
        <v>0</v>
      </c>
      <c r="AA29" s="59">
        <f t="shared" si="43"/>
        <v>3239.8296855985359</v>
      </c>
    </row>
    <row r="30" spans="1:27" ht="13.5" customHeight="1">
      <c r="A30" s="110">
        <v>5</v>
      </c>
      <c r="B30" s="50">
        <v>42917</v>
      </c>
      <c r="C30" s="61">
        <f>VLOOKUP(B30,'base(indices)'!$A$4:$C$183,3,FALSE)</f>
        <v>937</v>
      </c>
      <c r="D30" s="87">
        <f>'base(indices)'!G94</f>
        <v>1.2484830899999999</v>
      </c>
      <c r="E30" s="62">
        <f t="shared" si="23"/>
        <v>1169.8286553299999</v>
      </c>
      <c r="F30" s="307">
        <f>'base(indices)'!$I$147</f>
        <v>0.29920000000000002</v>
      </c>
      <c r="G30" s="63">
        <f t="shared" si="24"/>
        <v>350.01273367473601</v>
      </c>
      <c r="H30" s="373">
        <f t="shared" si="25"/>
        <v>6079.3655560189436</v>
      </c>
      <c r="I30" s="95">
        <f t="shared" si="26"/>
        <v>389.94288510999996</v>
      </c>
      <c r="J30" s="95">
        <f t="shared" si="27"/>
        <v>6469.3084411289437</v>
      </c>
      <c r="K30" s="43"/>
      <c r="L30" s="44">
        <f t="shared" si="28"/>
        <v>6469.3084411289437</v>
      </c>
      <c r="M30" s="45">
        <f t="shared" si="29"/>
        <v>5822.3775970160495</v>
      </c>
      <c r="N30" s="43">
        <f t="shared" si="30"/>
        <v>0</v>
      </c>
      <c r="O30" s="46">
        <f t="shared" si="31"/>
        <v>5822.3775970160495</v>
      </c>
      <c r="P30" s="66">
        <f t="shared" si="44"/>
        <v>5175.4467529031554</v>
      </c>
      <c r="Q30" s="43">
        <f t="shared" si="33"/>
        <v>0</v>
      </c>
      <c r="R30" s="47">
        <f t="shared" si="34"/>
        <v>5175.4467529031554</v>
      </c>
      <c r="S30" s="45">
        <f t="shared" si="35"/>
        <v>4528.5159087902603</v>
      </c>
      <c r="T30" s="43">
        <f t="shared" si="36"/>
        <v>0</v>
      </c>
      <c r="U30" s="46">
        <f t="shared" si="37"/>
        <v>4528.5159087902603</v>
      </c>
      <c r="V30" s="45">
        <f t="shared" si="38"/>
        <v>3881.5850646773661</v>
      </c>
      <c r="W30" s="43">
        <f t="shared" si="39"/>
        <v>0</v>
      </c>
      <c r="X30" s="46">
        <f t="shared" si="40"/>
        <v>3881.5850646773661</v>
      </c>
      <c r="Y30" s="45">
        <f t="shared" si="41"/>
        <v>3234.6542205644719</v>
      </c>
      <c r="Z30" s="43">
        <f t="shared" si="42"/>
        <v>0</v>
      </c>
      <c r="AA30" s="46">
        <f t="shared" si="43"/>
        <v>3234.6542205644719</v>
      </c>
    </row>
    <row r="31" spans="1:27" s="26" customFormat="1" ht="13.5" customHeight="1">
      <c r="A31" s="110">
        <v>5</v>
      </c>
      <c r="B31" s="50">
        <v>42948</v>
      </c>
      <c r="C31" s="61">
        <f>VLOOKUP(B31,'base(indices)'!$A$4:$C$183,3,FALSE)</f>
        <v>937</v>
      </c>
      <c r="D31" s="87">
        <f>'base(indices)'!G95</f>
        <v>1.2507344199999999</v>
      </c>
      <c r="E31" s="52">
        <f t="shared" si="23"/>
        <v>1171.9381515399998</v>
      </c>
      <c r="F31" s="307">
        <f>'base(indices)'!$I$147</f>
        <v>0.29920000000000002</v>
      </c>
      <c r="G31" s="54">
        <f t="shared" si="24"/>
        <v>350.64389494076795</v>
      </c>
      <c r="H31" s="373">
        <f t="shared" si="25"/>
        <v>6090.328185923071</v>
      </c>
      <c r="I31" s="94">
        <f t="shared" si="26"/>
        <v>390.64605051333325</v>
      </c>
      <c r="J31" s="94">
        <f t="shared" si="27"/>
        <v>6480.9742364364047</v>
      </c>
      <c r="K31" s="57"/>
      <c r="L31" s="67">
        <f t="shared" si="28"/>
        <v>6480.9742364364047</v>
      </c>
      <c r="M31" s="58">
        <f t="shared" si="29"/>
        <v>5832.8768127927642</v>
      </c>
      <c r="N31" s="57">
        <f t="shared" si="30"/>
        <v>0</v>
      </c>
      <c r="O31" s="59">
        <f t="shared" si="31"/>
        <v>5832.8768127927642</v>
      </c>
      <c r="P31" s="57">
        <f t="shared" si="44"/>
        <v>5184.7793891491237</v>
      </c>
      <c r="Q31" s="57">
        <f t="shared" si="33"/>
        <v>0</v>
      </c>
      <c r="R31" s="60">
        <f>P31+Q31</f>
        <v>5184.7793891491237</v>
      </c>
      <c r="S31" s="58">
        <f t="shared" si="35"/>
        <v>4536.6819655054833</v>
      </c>
      <c r="T31" s="57">
        <f t="shared" si="36"/>
        <v>0</v>
      </c>
      <c r="U31" s="59">
        <f t="shared" si="37"/>
        <v>4536.6819655054833</v>
      </c>
      <c r="V31" s="58">
        <f t="shared" si="38"/>
        <v>3888.5845418618428</v>
      </c>
      <c r="W31" s="57">
        <f t="shared" si="39"/>
        <v>0</v>
      </c>
      <c r="X31" s="59">
        <f t="shared" si="40"/>
        <v>3888.5845418618428</v>
      </c>
      <c r="Y31" s="58">
        <f t="shared" si="41"/>
        <v>3240.4871182182023</v>
      </c>
      <c r="Z31" s="57">
        <f t="shared" si="42"/>
        <v>0</v>
      </c>
      <c r="AA31" s="59">
        <f t="shared" si="43"/>
        <v>3240.4871182182023</v>
      </c>
    </row>
    <row r="32" spans="1:27" ht="13.5" customHeight="1">
      <c r="A32" s="110">
        <v>5</v>
      </c>
      <c r="B32" s="50">
        <v>42979</v>
      </c>
      <c r="C32" s="61">
        <f>VLOOKUP(B32,'base(indices)'!$A$4:$C$183,3,FALSE)</f>
        <v>937</v>
      </c>
      <c r="D32" s="87">
        <f>'base(indices)'!G96</f>
        <v>1.24637211</v>
      </c>
      <c r="E32" s="62">
        <f t="shared" si="23"/>
        <v>1167.8506670700001</v>
      </c>
      <c r="F32" s="307">
        <f>'base(indices)'!$I$147</f>
        <v>0.29920000000000002</v>
      </c>
      <c r="G32" s="63">
        <f t="shared" si="24"/>
        <v>349.42091958734403</v>
      </c>
      <c r="H32" s="373">
        <f t="shared" si="25"/>
        <v>6069.0863466293767</v>
      </c>
      <c r="I32" s="95">
        <f t="shared" si="26"/>
        <v>389.28355569000001</v>
      </c>
      <c r="J32" s="95">
        <f t="shared" si="27"/>
        <v>6458.3699023193767</v>
      </c>
      <c r="K32" s="43"/>
      <c r="L32" s="44">
        <f t="shared" si="28"/>
        <v>6458.3699023193767</v>
      </c>
      <c r="M32" s="45">
        <f t="shared" si="29"/>
        <v>5812.5329120874394</v>
      </c>
      <c r="N32" s="43">
        <f t="shared" si="30"/>
        <v>0</v>
      </c>
      <c r="O32" s="46">
        <f t="shared" si="31"/>
        <v>5812.5329120874394</v>
      </c>
      <c r="P32" s="66">
        <f t="shared" si="44"/>
        <v>5166.6959218555021</v>
      </c>
      <c r="Q32" s="43">
        <f t="shared" si="33"/>
        <v>0</v>
      </c>
      <c r="R32" s="47">
        <f t="shared" ref="R32:R50" si="45">P32+Q32</f>
        <v>5166.6959218555021</v>
      </c>
      <c r="S32" s="45">
        <f t="shared" si="35"/>
        <v>4520.858931623563</v>
      </c>
      <c r="T32" s="43">
        <f t="shared" si="36"/>
        <v>0</v>
      </c>
      <c r="U32" s="46">
        <f t="shared" si="37"/>
        <v>4520.858931623563</v>
      </c>
      <c r="V32" s="45">
        <f t="shared" si="38"/>
        <v>3875.0219413916257</v>
      </c>
      <c r="W32" s="43">
        <f t="shared" si="39"/>
        <v>0</v>
      </c>
      <c r="X32" s="46">
        <f t="shared" si="40"/>
        <v>3875.0219413916257</v>
      </c>
      <c r="Y32" s="45">
        <f t="shared" si="41"/>
        <v>3229.1849511596884</v>
      </c>
      <c r="Z32" s="43">
        <f t="shared" si="42"/>
        <v>0</v>
      </c>
      <c r="AA32" s="46">
        <f t="shared" si="43"/>
        <v>3229.1849511596884</v>
      </c>
    </row>
    <row r="33" spans="1:27" s="26" customFormat="1" ht="13.5" customHeight="1">
      <c r="A33" s="110">
        <v>5</v>
      </c>
      <c r="B33" s="50">
        <v>43009</v>
      </c>
      <c r="C33" s="61">
        <f>VLOOKUP(B33,'base(indices)'!$A$4:$C$183,3,FALSE)</f>
        <v>937</v>
      </c>
      <c r="D33" s="87">
        <f>'base(indices)'!G97</f>
        <v>1.24500261</v>
      </c>
      <c r="E33" s="52">
        <f t="shared" si="23"/>
        <v>1166.56744557</v>
      </c>
      <c r="F33" s="307">
        <f>'base(indices)'!$I$147</f>
        <v>0.29920000000000002</v>
      </c>
      <c r="G33" s="54">
        <f t="shared" si="24"/>
        <v>349.03697971454403</v>
      </c>
      <c r="H33" s="373">
        <f t="shared" si="25"/>
        <v>6062.4177011381762</v>
      </c>
      <c r="I33" s="94">
        <f t="shared" si="26"/>
        <v>388.85581518999999</v>
      </c>
      <c r="J33" s="94">
        <f t="shared" si="27"/>
        <v>6451.2735163281759</v>
      </c>
      <c r="K33" s="57"/>
      <c r="L33" s="67">
        <f t="shared" si="28"/>
        <v>6451.2735163281759</v>
      </c>
      <c r="M33" s="58">
        <f t="shared" si="29"/>
        <v>5806.1461646953585</v>
      </c>
      <c r="N33" s="57">
        <f t="shared" si="30"/>
        <v>0</v>
      </c>
      <c r="O33" s="59">
        <f t="shared" si="31"/>
        <v>5806.1461646953585</v>
      </c>
      <c r="P33" s="57">
        <f t="shared" si="44"/>
        <v>5161.0188130625411</v>
      </c>
      <c r="Q33" s="57">
        <f t="shared" si="33"/>
        <v>0</v>
      </c>
      <c r="R33" s="60">
        <f t="shared" si="45"/>
        <v>5161.0188130625411</v>
      </c>
      <c r="S33" s="58">
        <f t="shared" si="35"/>
        <v>4515.8914614297228</v>
      </c>
      <c r="T33" s="57">
        <f t="shared" si="36"/>
        <v>0</v>
      </c>
      <c r="U33" s="59">
        <f t="shared" si="37"/>
        <v>4515.8914614297228</v>
      </c>
      <c r="V33" s="58">
        <f t="shared" si="38"/>
        <v>3870.7641097969054</v>
      </c>
      <c r="W33" s="57">
        <f t="shared" si="39"/>
        <v>0</v>
      </c>
      <c r="X33" s="59">
        <f t="shared" si="40"/>
        <v>3870.7641097969054</v>
      </c>
      <c r="Y33" s="58">
        <f t="shared" si="41"/>
        <v>3225.636758164088</v>
      </c>
      <c r="Z33" s="57">
        <f t="shared" si="42"/>
        <v>0</v>
      </c>
      <c r="AA33" s="59">
        <f t="shared" si="43"/>
        <v>3225.636758164088</v>
      </c>
    </row>
    <row r="34" spans="1:27" ht="13.5" customHeight="1">
      <c r="A34" s="110">
        <v>5</v>
      </c>
      <c r="B34" s="50">
        <v>43040</v>
      </c>
      <c r="C34" s="61">
        <f>VLOOKUP(B34,'base(indices)'!$A$4:$C$183,3,FALSE)</f>
        <v>937</v>
      </c>
      <c r="D34" s="87">
        <f>'base(indices)'!G98</f>
        <v>1.24078394</v>
      </c>
      <c r="E34" s="62">
        <f t="shared" si="23"/>
        <v>1162.6145517800001</v>
      </c>
      <c r="F34" s="307">
        <f>'base(indices)'!$I$147</f>
        <v>0.29920000000000002</v>
      </c>
      <c r="G34" s="63">
        <f t="shared" si="24"/>
        <v>347.85427389257603</v>
      </c>
      <c r="H34" s="373">
        <f t="shared" si="25"/>
        <v>6041.8753026903041</v>
      </c>
      <c r="I34" s="95">
        <f t="shared" si="26"/>
        <v>387.5381839266667</v>
      </c>
      <c r="J34" s="95">
        <f t="shared" si="27"/>
        <v>6429.4134866169707</v>
      </c>
      <c r="K34" s="43"/>
      <c r="L34" s="44">
        <f t="shared" si="28"/>
        <v>6429.4134866169707</v>
      </c>
      <c r="M34" s="45">
        <f t="shared" si="29"/>
        <v>5786.4721379552739</v>
      </c>
      <c r="N34" s="43">
        <f t="shared" si="30"/>
        <v>0</v>
      </c>
      <c r="O34" s="46">
        <f t="shared" si="31"/>
        <v>5786.4721379552739</v>
      </c>
      <c r="P34" s="66">
        <f t="shared" si="44"/>
        <v>5143.5307892935771</v>
      </c>
      <c r="Q34" s="43">
        <f t="shared" si="33"/>
        <v>0</v>
      </c>
      <c r="R34" s="47">
        <f t="shared" si="45"/>
        <v>5143.5307892935771</v>
      </c>
      <c r="S34" s="45">
        <f t="shared" si="35"/>
        <v>4500.5894406318794</v>
      </c>
      <c r="T34" s="43">
        <f t="shared" si="36"/>
        <v>0</v>
      </c>
      <c r="U34" s="46">
        <f t="shared" si="37"/>
        <v>4500.5894406318794</v>
      </c>
      <c r="V34" s="45">
        <f t="shared" si="38"/>
        <v>3857.6480919701821</v>
      </c>
      <c r="W34" s="43">
        <f t="shared" si="39"/>
        <v>0</v>
      </c>
      <c r="X34" s="46">
        <f t="shared" si="40"/>
        <v>3857.6480919701821</v>
      </c>
      <c r="Y34" s="45">
        <f t="shared" si="41"/>
        <v>3214.7067433084853</v>
      </c>
      <c r="Z34" s="43">
        <f t="shared" si="42"/>
        <v>0</v>
      </c>
      <c r="AA34" s="46">
        <f t="shared" si="43"/>
        <v>3214.7067433084853</v>
      </c>
    </row>
    <row r="35" spans="1:27" s="26" customFormat="1" ht="13.5" customHeight="1" thickBot="1">
      <c r="A35" s="110">
        <v>5</v>
      </c>
      <c r="B35" s="247">
        <v>43070</v>
      </c>
      <c r="C35" s="69">
        <f>VLOOKUP(B35,'base(indices)'!$A$4:$C$183,3,FALSE)</f>
        <v>937</v>
      </c>
      <c r="D35" s="242">
        <f>'base(indices)'!G99</f>
        <v>1.2368261</v>
      </c>
      <c r="E35" s="182">
        <f t="shared" si="23"/>
        <v>1158.9060557</v>
      </c>
      <c r="F35" s="304">
        <f>'base(indices)'!$I$147</f>
        <v>0.29920000000000002</v>
      </c>
      <c r="G35" s="163">
        <f t="shared" si="24"/>
        <v>346.74469186544002</v>
      </c>
      <c r="H35" s="374">
        <f t="shared" si="25"/>
        <v>6022.6029902617602</v>
      </c>
      <c r="I35" s="111">
        <f t="shared" si="26"/>
        <v>386.30201856666667</v>
      </c>
      <c r="J35" s="111">
        <f t="shared" si="27"/>
        <v>6408.9050088284266</v>
      </c>
      <c r="K35" s="85"/>
      <c r="L35" s="184">
        <f t="shared" si="28"/>
        <v>6408.9050088284266</v>
      </c>
      <c r="M35" s="175">
        <f t="shared" si="29"/>
        <v>5768.0145079455842</v>
      </c>
      <c r="N35" s="85">
        <f t="shared" si="30"/>
        <v>0</v>
      </c>
      <c r="O35" s="165">
        <f t="shared" si="31"/>
        <v>5768.0145079455842</v>
      </c>
      <c r="P35" s="85">
        <f t="shared" si="44"/>
        <v>5127.1240070627418</v>
      </c>
      <c r="Q35" s="85">
        <f t="shared" si="33"/>
        <v>0</v>
      </c>
      <c r="R35" s="107">
        <f t="shared" si="45"/>
        <v>5127.1240070627418</v>
      </c>
      <c r="S35" s="175">
        <f t="shared" si="35"/>
        <v>4486.2335061798985</v>
      </c>
      <c r="T35" s="85">
        <f t="shared" si="36"/>
        <v>0</v>
      </c>
      <c r="U35" s="165">
        <f t="shared" si="37"/>
        <v>4486.2335061798985</v>
      </c>
      <c r="V35" s="175">
        <f t="shared" si="38"/>
        <v>3845.3430052970557</v>
      </c>
      <c r="W35" s="85">
        <f t="shared" si="39"/>
        <v>0</v>
      </c>
      <c r="X35" s="165">
        <f t="shared" si="40"/>
        <v>3845.3430052970557</v>
      </c>
      <c r="Y35" s="175">
        <f t="shared" si="41"/>
        <v>3204.4525044142133</v>
      </c>
      <c r="Z35" s="85">
        <f t="shared" si="42"/>
        <v>0</v>
      </c>
      <c r="AA35" s="165">
        <f t="shared" si="43"/>
        <v>3204.4525044142133</v>
      </c>
    </row>
    <row r="36" spans="1:27" ht="13.5" customHeight="1">
      <c r="A36" s="387">
        <v>5</v>
      </c>
      <c r="B36" s="136">
        <v>43101</v>
      </c>
      <c r="C36" s="120">
        <f>VLOOKUP(B36,'base(indices)'!$A$4:$C$183,3,FALSE)</f>
        <v>954</v>
      </c>
      <c r="D36" s="241">
        <f>'base(indices)'!G100</f>
        <v>1.2325123099999999</v>
      </c>
      <c r="E36" s="206">
        <f t="shared" si="23"/>
        <v>1175.81674374</v>
      </c>
      <c r="F36" s="264">
        <f>'base(indices)'!$I$147</f>
        <v>0.29920000000000002</v>
      </c>
      <c r="G36" s="154">
        <f t="shared" si="24"/>
        <v>351.80436972700801</v>
      </c>
      <c r="H36" s="316">
        <f t="shared" si="25"/>
        <v>6110.4844538680318</v>
      </c>
      <c r="I36" s="317">
        <f t="shared" si="26"/>
        <v>391.93891458000002</v>
      </c>
      <c r="J36" s="317">
        <f t="shared" si="27"/>
        <v>6502.4233684480314</v>
      </c>
      <c r="K36" s="283"/>
      <c r="L36" s="318">
        <f t="shared" si="28"/>
        <v>6502.4233684480314</v>
      </c>
      <c r="M36" s="288">
        <f t="shared" si="29"/>
        <v>5852.1810316032288</v>
      </c>
      <c r="N36" s="283">
        <f t="shared" si="30"/>
        <v>0</v>
      </c>
      <c r="O36" s="150">
        <f t="shared" si="31"/>
        <v>5852.1810316032288</v>
      </c>
      <c r="P36" s="319">
        <f t="shared" si="44"/>
        <v>5201.9386947584253</v>
      </c>
      <c r="Q36" s="283">
        <f t="shared" si="33"/>
        <v>0</v>
      </c>
      <c r="R36" s="290">
        <f t="shared" si="45"/>
        <v>5201.9386947584253</v>
      </c>
      <c r="S36" s="288">
        <f t="shared" si="35"/>
        <v>4551.6963579136218</v>
      </c>
      <c r="T36" s="283">
        <f t="shared" si="36"/>
        <v>0</v>
      </c>
      <c r="U36" s="150">
        <f t="shared" si="37"/>
        <v>4551.6963579136218</v>
      </c>
      <c r="V36" s="288">
        <f t="shared" si="38"/>
        <v>3901.4540210688187</v>
      </c>
      <c r="W36" s="283">
        <f t="shared" si="39"/>
        <v>0</v>
      </c>
      <c r="X36" s="150">
        <f t="shared" si="40"/>
        <v>3901.4540210688187</v>
      </c>
      <c r="Y36" s="288">
        <f t="shared" si="41"/>
        <v>3251.2116842240157</v>
      </c>
      <c r="Z36" s="283">
        <f t="shared" si="42"/>
        <v>0</v>
      </c>
      <c r="AA36" s="150">
        <f t="shared" si="43"/>
        <v>3251.2116842240157</v>
      </c>
    </row>
    <row r="37" spans="1:27" s="26" customFormat="1" ht="13.5" customHeight="1">
      <c r="A37" s="110">
        <v>5</v>
      </c>
      <c r="B37" s="50">
        <v>43132</v>
      </c>
      <c r="C37" s="61">
        <f>VLOOKUP(B37,'base(indices)'!$A$4:$C$183,3,FALSE)</f>
        <v>954</v>
      </c>
      <c r="D37" s="87">
        <f>'base(indices)'!G101</f>
        <v>1.2277241800000001</v>
      </c>
      <c r="E37" s="52">
        <f t="shared" si="23"/>
        <v>1171.2488677200001</v>
      </c>
      <c r="F37" s="307">
        <f>'base(indices)'!$I$147</f>
        <v>0.29920000000000002</v>
      </c>
      <c r="G37" s="54">
        <f t="shared" si="24"/>
        <v>350.43766122182404</v>
      </c>
      <c r="H37" s="146">
        <f t="shared" si="25"/>
        <v>6086.7461157672969</v>
      </c>
      <c r="I37" s="94">
        <f t="shared" si="26"/>
        <v>390.41628924000003</v>
      </c>
      <c r="J37" s="94">
        <f t="shared" si="27"/>
        <v>6477.1624050072969</v>
      </c>
      <c r="K37" s="57"/>
      <c r="L37" s="67">
        <f t="shared" si="28"/>
        <v>6477.1624050072969</v>
      </c>
      <c r="M37" s="58">
        <f t="shared" si="29"/>
        <v>5829.4461645065676</v>
      </c>
      <c r="N37" s="57">
        <f t="shared" si="30"/>
        <v>0</v>
      </c>
      <c r="O37" s="59">
        <f t="shared" si="31"/>
        <v>5829.4461645065676</v>
      </c>
      <c r="P37" s="57">
        <f t="shared" si="44"/>
        <v>5181.7299240058383</v>
      </c>
      <c r="Q37" s="57">
        <f t="shared" si="33"/>
        <v>0</v>
      </c>
      <c r="R37" s="60">
        <f t="shared" si="45"/>
        <v>5181.7299240058383</v>
      </c>
      <c r="S37" s="58">
        <f t="shared" si="35"/>
        <v>4534.0136835051071</v>
      </c>
      <c r="T37" s="57">
        <f t="shared" si="36"/>
        <v>0</v>
      </c>
      <c r="U37" s="59">
        <f t="shared" si="37"/>
        <v>4534.0136835051071</v>
      </c>
      <c r="V37" s="58">
        <f t="shared" si="38"/>
        <v>3886.2974430043778</v>
      </c>
      <c r="W37" s="57">
        <f t="shared" si="39"/>
        <v>0</v>
      </c>
      <c r="X37" s="59">
        <f t="shared" si="40"/>
        <v>3886.2974430043778</v>
      </c>
      <c r="Y37" s="58">
        <f t="shared" si="41"/>
        <v>3238.5812025036485</v>
      </c>
      <c r="Z37" s="57">
        <f t="shared" si="42"/>
        <v>0</v>
      </c>
      <c r="AA37" s="59">
        <f t="shared" si="43"/>
        <v>3238.5812025036485</v>
      </c>
    </row>
    <row r="38" spans="1:27" ht="13.5" customHeight="1">
      <c r="A38" s="110">
        <v>5</v>
      </c>
      <c r="B38" s="50">
        <v>43160</v>
      </c>
      <c r="C38" s="61">
        <f>VLOOKUP(B38,'base(indices)'!$A$4:$C$183,3,FALSE)</f>
        <v>954</v>
      </c>
      <c r="D38" s="87">
        <f>'base(indices)'!G102</f>
        <v>1.22307649</v>
      </c>
      <c r="E38" s="62">
        <f t="shared" si="23"/>
        <v>1166.8149714599999</v>
      </c>
      <c r="F38" s="307">
        <f>'base(indices)'!$I$147</f>
        <v>0.29920000000000002</v>
      </c>
      <c r="G38" s="63">
        <f t="shared" si="24"/>
        <v>349.11103946083199</v>
      </c>
      <c r="H38" s="146">
        <f t="shared" si="25"/>
        <v>6063.7040436833277</v>
      </c>
      <c r="I38" s="95">
        <f t="shared" si="26"/>
        <v>388.93832381999999</v>
      </c>
      <c r="J38" s="95">
        <f t="shared" si="27"/>
        <v>6452.6423675033275</v>
      </c>
      <c r="K38" s="43"/>
      <c r="L38" s="44">
        <f t="shared" si="28"/>
        <v>6452.6423675033275</v>
      </c>
      <c r="M38" s="45">
        <f t="shared" si="29"/>
        <v>5807.3781307529953</v>
      </c>
      <c r="N38" s="43">
        <f t="shared" si="30"/>
        <v>0</v>
      </c>
      <c r="O38" s="46">
        <f t="shared" si="31"/>
        <v>5807.3781307529953</v>
      </c>
      <c r="P38" s="66">
        <f t="shared" si="44"/>
        <v>5162.1138940026622</v>
      </c>
      <c r="Q38" s="43">
        <f t="shared" si="33"/>
        <v>0</v>
      </c>
      <c r="R38" s="47">
        <f t="shared" si="45"/>
        <v>5162.1138940026622</v>
      </c>
      <c r="S38" s="45">
        <f t="shared" si="35"/>
        <v>4516.8496572523291</v>
      </c>
      <c r="T38" s="43">
        <f t="shared" si="36"/>
        <v>0</v>
      </c>
      <c r="U38" s="46">
        <f t="shared" si="37"/>
        <v>4516.8496572523291</v>
      </c>
      <c r="V38" s="45">
        <f t="shared" si="38"/>
        <v>3871.5854205019964</v>
      </c>
      <c r="W38" s="43">
        <f t="shared" si="39"/>
        <v>0</v>
      </c>
      <c r="X38" s="46">
        <f t="shared" si="40"/>
        <v>3871.5854205019964</v>
      </c>
      <c r="Y38" s="45">
        <f t="shared" si="41"/>
        <v>3226.3211837516637</v>
      </c>
      <c r="Z38" s="43">
        <f t="shared" si="42"/>
        <v>0</v>
      </c>
      <c r="AA38" s="46">
        <f t="shared" si="43"/>
        <v>3226.3211837516637</v>
      </c>
    </row>
    <row r="39" spans="1:27" s="26" customFormat="1" ht="13.5" customHeight="1">
      <c r="A39" s="110">
        <v>5</v>
      </c>
      <c r="B39" s="50">
        <v>43191</v>
      </c>
      <c r="C39" s="61">
        <f>VLOOKUP(B39,'base(indices)'!$A$4:$C$183,3,FALSE)</f>
        <v>954</v>
      </c>
      <c r="D39" s="87">
        <f>'base(indices)'!G103</f>
        <v>1.2218546400000001</v>
      </c>
      <c r="E39" s="52">
        <f t="shared" si="23"/>
        <v>1165.6493265600002</v>
      </c>
      <c r="F39" s="307">
        <f>'base(indices)'!$I$147</f>
        <v>0.29920000000000002</v>
      </c>
      <c r="G39" s="54">
        <f t="shared" si="24"/>
        <v>348.76227850675207</v>
      </c>
      <c r="H39" s="146">
        <f t="shared" si="25"/>
        <v>6057.6464202670086</v>
      </c>
      <c r="I39" s="94">
        <f t="shared" si="26"/>
        <v>388.54977552000008</v>
      </c>
      <c r="J39" s="94">
        <f t="shared" si="27"/>
        <v>6446.1961957870089</v>
      </c>
      <c r="K39" s="57"/>
      <c r="L39" s="67">
        <f t="shared" si="28"/>
        <v>6446.1961957870089</v>
      </c>
      <c r="M39" s="58">
        <f t="shared" si="29"/>
        <v>5801.5765762083083</v>
      </c>
      <c r="N39" s="57">
        <f t="shared" si="30"/>
        <v>0</v>
      </c>
      <c r="O39" s="59">
        <f t="shared" si="31"/>
        <v>5801.5765762083083</v>
      </c>
      <c r="P39" s="57">
        <f t="shared" si="44"/>
        <v>5156.9569566296077</v>
      </c>
      <c r="Q39" s="57">
        <f t="shared" si="33"/>
        <v>0</v>
      </c>
      <c r="R39" s="60">
        <f t="shared" si="45"/>
        <v>5156.9569566296077</v>
      </c>
      <c r="S39" s="58">
        <f t="shared" si="35"/>
        <v>4512.3373370509062</v>
      </c>
      <c r="T39" s="57">
        <f t="shared" si="36"/>
        <v>0</v>
      </c>
      <c r="U39" s="59">
        <f t="shared" si="37"/>
        <v>4512.3373370509062</v>
      </c>
      <c r="V39" s="58">
        <f t="shared" si="38"/>
        <v>3867.7177174722051</v>
      </c>
      <c r="W39" s="57">
        <f t="shared" si="39"/>
        <v>0</v>
      </c>
      <c r="X39" s="59">
        <f t="shared" si="40"/>
        <v>3867.7177174722051</v>
      </c>
      <c r="Y39" s="58">
        <f t="shared" si="41"/>
        <v>3223.0980978935045</v>
      </c>
      <c r="Z39" s="57">
        <f t="shared" si="42"/>
        <v>0</v>
      </c>
      <c r="AA39" s="59">
        <f t="shared" si="43"/>
        <v>3223.0980978935045</v>
      </c>
    </row>
    <row r="40" spans="1:27" ht="13.5" customHeight="1">
      <c r="A40" s="110">
        <v>5</v>
      </c>
      <c r="B40" s="50">
        <v>43221</v>
      </c>
      <c r="C40" s="61">
        <f>VLOOKUP(B40,'base(indices)'!$A$4:$C$183,3,FALSE)</f>
        <v>954</v>
      </c>
      <c r="D40" s="87">
        <f>'base(indices)'!G104</f>
        <v>1.21929412</v>
      </c>
      <c r="E40" s="62">
        <f t="shared" si="23"/>
        <v>1163.2065904799999</v>
      </c>
      <c r="F40" s="307">
        <f>'base(indices)'!$I$147</f>
        <v>0.29920000000000002</v>
      </c>
      <c r="G40" s="63">
        <f t="shared" si="24"/>
        <v>348.031411871616</v>
      </c>
      <c r="H40" s="146">
        <f t="shared" si="25"/>
        <v>6044.9520094064637</v>
      </c>
      <c r="I40" s="95">
        <f t="shared" si="26"/>
        <v>387.73553016</v>
      </c>
      <c r="J40" s="95">
        <f t="shared" si="27"/>
        <v>6432.6875395664638</v>
      </c>
      <c r="K40" s="43"/>
      <c r="L40" s="44">
        <f t="shared" si="28"/>
        <v>6432.6875395664638</v>
      </c>
      <c r="M40" s="45">
        <f t="shared" si="29"/>
        <v>5789.4187856098179</v>
      </c>
      <c r="N40" s="43">
        <f t="shared" si="30"/>
        <v>0</v>
      </c>
      <c r="O40" s="46">
        <f t="shared" si="31"/>
        <v>5789.4187856098179</v>
      </c>
      <c r="P40" s="66">
        <f t="shared" si="44"/>
        <v>5146.150031653171</v>
      </c>
      <c r="Q40" s="43">
        <f t="shared" si="33"/>
        <v>0</v>
      </c>
      <c r="R40" s="47">
        <f t="shared" si="45"/>
        <v>5146.150031653171</v>
      </c>
      <c r="S40" s="45">
        <f t="shared" si="35"/>
        <v>4502.8812776965242</v>
      </c>
      <c r="T40" s="43">
        <f t="shared" si="36"/>
        <v>0</v>
      </c>
      <c r="U40" s="46">
        <f t="shared" si="37"/>
        <v>4502.8812776965242</v>
      </c>
      <c r="V40" s="45">
        <f t="shared" si="38"/>
        <v>3859.6125237398783</v>
      </c>
      <c r="W40" s="43">
        <f t="shared" si="39"/>
        <v>0</v>
      </c>
      <c r="X40" s="46">
        <f t="shared" si="40"/>
        <v>3859.6125237398783</v>
      </c>
      <c r="Y40" s="45">
        <f t="shared" si="41"/>
        <v>3216.3437697832319</v>
      </c>
      <c r="Z40" s="43">
        <f t="shared" si="42"/>
        <v>0</v>
      </c>
      <c r="AA40" s="46">
        <f t="shared" si="43"/>
        <v>3216.3437697832319</v>
      </c>
    </row>
    <row r="41" spans="1:27" s="26" customFormat="1" ht="13.5" customHeight="1">
      <c r="A41" s="110">
        <v>5</v>
      </c>
      <c r="B41" s="50">
        <v>43252</v>
      </c>
      <c r="C41" s="61">
        <f>VLOOKUP(B41,'base(indices)'!$A$4:$C$183,3,FALSE)</f>
        <v>954</v>
      </c>
      <c r="D41" s="87">
        <f>'base(indices)'!G105</f>
        <v>1.2175895000000001</v>
      </c>
      <c r="E41" s="52">
        <f t="shared" si="23"/>
        <v>1161.5803830000002</v>
      </c>
      <c r="F41" s="307">
        <f>'base(indices)'!$I$147</f>
        <v>0.29920000000000002</v>
      </c>
      <c r="G41" s="54">
        <f t="shared" si="24"/>
        <v>347.54485059360007</v>
      </c>
      <c r="H41" s="146">
        <f t="shared" si="25"/>
        <v>6036.5009343744014</v>
      </c>
      <c r="I41" s="94">
        <f t="shared" si="26"/>
        <v>387.19346100000007</v>
      </c>
      <c r="J41" s="94">
        <f t="shared" si="27"/>
        <v>6423.6943953744012</v>
      </c>
      <c r="K41" s="57"/>
      <c r="L41" s="67">
        <f t="shared" si="28"/>
        <v>6423.6943953744012</v>
      </c>
      <c r="M41" s="58">
        <f t="shared" si="29"/>
        <v>5781.3249558369616</v>
      </c>
      <c r="N41" s="57">
        <f t="shared" si="30"/>
        <v>0</v>
      </c>
      <c r="O41" s="59">
        <f t="shared" si="31"/>
        <v>5781.3249558369616</v>
      </c>
      <c r="P41" s="57">
        <f t="shared" si="44"/>
        <v>5138.9555162995212</v>
      </c>
      <c r="Q41" s="57">
        <f t="shared" si="33"/>
        <v>0</v>
      </c>
      <c r="R41" s="60">
        <f t="shared" si="45"/>
        <v>5138.9555162995212</v>
      </c>
      <c r="S41" s="58">
        <f t="shared" si="35"/>
        <v>4496.5860767620807</v>
      </c>
      <c r="T41" s="57">
        <f t="shared" si="36"/>
        <v>0</v>
      </c>
      <c r="U41" s="59">
        <f t="shared" si="37"/>
        <v>4496.5860767620807</v>
      </c>
      <c r="V41" s="58">
        <f t="shared" si="38"/>
        <v>3854.2166372246406</v>
      </c>
      <c r="W41" s="57">
        <f t="shared" si="39"/>
        <v>0</v>
      </c>
      <c r="X41" s="59">
        <f t="shared" si="40"/>
        <v>3854.2166372246406</v>
      </c>
      <c r="Y41" s="58">
        <f t="shared" si="41"/>
        <v>3211.8471976872006</v>
      </c>
      <c r="Z41" s="57">
        <f t="shared" si="42"/>
        <v>0</v>
      </c>
      <c r="AA41" s="59">
        <f t="shared" si="43"/>
        <v>3211.8471976872006</v>
      </c>
    </row>
    <row r="42" spans="1:27" ht="13.5" customHeight="1">
      <c r="A42" s="110">
        <v>5</v>
      </c>
      <c r="B42" s="50">
        <v>43282</v>
      </c>
      <c r="C42" s="61">
        <f>VLOOKUP(B42,'base(indices)'!$A$4:$C$183,3,FALSE)</f>
        <v>954</v>
      </c>
      <c r="D42" s="87">
        <f>'base(indices)'!G106</f>
        <v>1.2042226199999999</v>
      </c>
      <c r="E42" s="62">
        <f t="shared" si="23"/>
        <v>1148.82837948</v>
      </c>
      <c r="F42" s="307">
        <f>'base(indices)'!$I$147</f>
        <v>0.29920000000000002</v>
      </c>
      <c r="G42" s="63">
        <f t="shared" si="24"/>
        <v>343.72945114041602</v>
      </c>
      <c r="H42" s="146">
        <f t="shared" si="25"/>
        <v>5970.2313224816644</v>
      </c>
      <c r="I42" s="95">
        <f t="shared" si="26"/>
        <v>382.94279316000001</v>
      </c>
      <c r="J42" s="95">
        <f t="shared" si="27"/>
        <v>6353.1741156416647</v>
      </c>
      <c r="K42" s="43"/>
      <c r="L42" s="44">
        <f t="shared" si="28"/>
        <v>6353.1741156416647</v>
      </c>
      <c r="M42" s="45">
        <f t="shared" si="29"/>
        <v>5717.8567040774988</v>
      </c>
      <c r="N42" s="43">
        <f t="shared" si="30"/>
        <v>0</v>
      </c>
      <c r="O42" s="46">
        <f t="shared" si="31"/>
        <v>5717.8567040774988</v>
      </c>
      <c r="P42" s="66">
        <f t="shared" si="44"/>
        <v>5082.5392925133319</v>
      </c>
      <c r="Q42" s="43">
        <f t="shared" si="33"/>
        <v>0</v>
      </c>
      <c r="R42" s="47">
        <f t="shared" si="45"/>
        <v>5082.5392925133319</v>
      </c>
      <c r="S42" s="45">
        <f t="shared" si="35"/>
        <v>4447.2218809491651</v>
      </c>
      <c r="T42" s="43">
        <f t="shared" si="36"/>
        <v>0</v>
      </c>
      <c r="U42" s="46">
        <f t="shared" si="37"/>
        <v>4447.2218809491651</v>
      </c>
      <c r="V42" s="45">
        <f t="shared" si="38"/>
        <v>3811.9044693849987</v>
      </c>
      <c r="W42" s="43">
        <f t="shared" si="39"/>
        <v>0</v>
      </c>
      <c r="X42" s="46">
        <f t="shared" si="40"/>
        <v>3811.9044693849987</v>
      </c>
      <c r="Y42" s="45">
        <f t="shared" si="41"/>
        <v>3176.5870578208323</v>
      </c>
      <c r="Z42" s="43">
        <f t="shared" si="42"/>
        <v>0</v>
      </c>
      <c r="AA42" s="46">
        <f t="shared" si="43"/>
        <v>3176.5870578208323</v>
      </c>
    </row>
    <row r="43" spans="1:27" s="26" customFormat="1" ht="13.5" customHeight="1">
      <c r="A43" s="110">
        <v>5</v>
      </c>
      <c r="B43" s="50">
        <v>43313</v>
      </c>
      <c r="C43" s="61">
        <f>VLOOKUP(B43,'base(indices)'!$A$4:$C$183,3,FALSE)</f>
        <v>954</v>
      </c>
      <c r="D43" s="87">
        <f>'base(indices)'!G107</f>
        <v>1.19656461</v>
      </c>
      <c r="E43" s="52">
        <f t="shared" si="23"/>
        <v>1141.5226379400001</v>
      </c>
      <c r="F43" s="307">
        <f>'base(indices)'!$I$147</f>
        <v>0.29920000000000002</v>
      </c>
      <c r="G43" s="54">
        <f t="shared" si="24"/>
        <v>341.54357327164803</v>
      </c>
      <c r="H43" s="146">
        <f t="shared" si="25"/>
        <v>5932.2648448465925</v>
      </c>
      <c r="I43" s="94">
        <f t="shared" si="26"/>
        <v>380.50754598000003</v>
      </c>
      <c r="J43" s="94">
        <f t="shared" si="27"/>
        <v>6312.7723908265925</v>
      </c>
      <c r="K43" s="57"/>
      <c r="L43" s="67">
        <f t="shared" si="28"/>
        <v>6312.7723908265925</v>
      </c>
      <c r="M43" s="58">
        <f t="shared" si="29"/>
        <v>5681.4951517439331</v>
      </c>
      <c r="N43" s="57">
        <f t="shared" si="30"/>
        <v>0</v>
      </c>
      <c r="O43" s="59">
        <f t="shared" si="31"/>
        <v>5681.4951517439331</v>
      </c>
      <c r="P43" s="57">
        <f t="shared" si="44"/>
        <v>5050.2179126612746</v>
      </c>
      <c r="Q43" s="57">
        <f t="shared" si="33"/>
        <v>0</v>
      </c>
      <c r="R43" s="60">
        <f t="shared" si="45"/>
        <v>5050.2179126612746</v>
      </c>
      <c r="S43" s="58">
        <f t="shared" si="35"/>
        <v>4418.9406735786142</v>
      </c>
      <c r="T43" s="57">
        <f t="shared" si="36"/>
        <v>0</v>
      </c>
      <c r="U43" s="59">
        <f t="shared" si="37"/>
        <v>4418.9406735786142</v>
      </c>
      <c r="V43" s="58">
        <f t="shared" si="38"/>
        <v>3787.6634344959552</v>
      </c>
      <c r="W43" s="57">
        <f t="shared" si="39"/>
        <v>0</v>
      </c>
      <c r="X43" s="59">
        <f t="shared" si="40"/>
        <v>3787.6634344959552</v>
      </c>
      <c r="Y43" s="58">
        <f t="shared" si="41"/>
        <v>3156.3861954132963</v>
      </c>
      <c r="Z43" s="57">
        <f t="shared" si="42"/>
        <v>0</v>
      </c>
      <c r="AA43" s="59">
        <f t="shared" si="43"/>
        <v>3156.3861954132963</v>
      </c>
    </row>
    <row r="44" spans="1:27" ht="13.5" customHeight="1">
      <c r="A44" s="110">
        <v>5</v>
      </c>
      <c r="B44" s="50">
        <v>43344</v>
      </c>
      <c r="C44" s="61">
        <f>VLOOKUP(B44,'base(indices)'!$A$4:$C$183,3,FALSE)</f>
        <v>954</v>
      </c>
      <c r="D44" s="87">
        <f>'base(indices)'!G108</f>
        <v>1.1950111000000001</v>
      </c>
      <c r="E44" s="62">
        <f t="shared" si="23"/>
        <v>1140.0405894</v>
      </c>
      <c r="F44" s="307">
        <f>'base(indices)'!$I$147</f>
        <v>0.29920000000000002</v>
      </c>
      <c r="G44" s="63">
        <f t="shared" si="24"/>
        <v>341.10014434848006</v>
      </c>
      <c r="H44" s="146">
        <f t="shared" si="25"/>
        <v>5924.5629349939209</v>
      </c>
      <c r="I44" s="95">
        <f t="shared" si="26"/>
        <v>380.01352980000001</v>
      </c>
      <c r="J44" s="95">
        <f t="shared" si="27"/>
        <v>6304.5764647939213</v>
      </c>
      <c r="K44" s="43"/>
      <c r="L44" s="44">
        <f t="shared" si="28"/>
        <v>6304.5764647939213</v>
      </c>
      <c r="M44" s="45">
        <f t="shared" si="29"/>
        <v>5674.1188183145296</v>
      </c>
      <c r="N44" s="43">
        <f t="shared" si="30"/>
        <v>0</v>
      </c>
      <c r="O44" s="46">
        <f t="shared" si="31"/>
        <v>5674.1188183145296</v>
      </c>
      <c r="P44" s="66">
        <f t="shared" si="44"/>
        <v>5043.6611718351378</v>
      </c>
      <c r="Q44" s="43">
        <f t="shared" si="33"/>
        <v>0</v>
      </c>
      <c r="R44" s="47">
        <f t="shared" si="45"/>
        <v>5043.6611718351378</v>
      </c>
      <c r="S44" s="45">
        <f t="shared" si="35"/>
        <v>4413.2035253557442</v>
      </c>
      <c r="T44" s="43">
        <f t="shared" si="36"/>
        <v>0</v>
      </c>
      <c r="U44" s="46">
        <f t="shared" si="37"/>
        <v>4413.2035253557442</v>
      </c>
      <c r="V44" s="45">
        <f t="shared" si="38"/>
        <v>3782.7458788763524</v>
      </c>
      <c r="W44" s="43">
        <f t="shared" si="39"/>
        <v>0</v>
      </c>
      <c r="X44" s="46">
        <f t="shared" si="40"/>
        <v>3782.7458788763524</v>
      </c>
      <c r="Y44" s="45">
        <f t="shared" si="41"/>
        <v>3152.2882323969607</v>
      </c>
      <c r="Z44" s="43">
        <f t="shared" si="42"/>
        <v>0</v>
      </c>
      <c r="AA44" s="46">
        <f t="shared" si="43"/>
        <v>3152.2882323969607</v>
      </c>
    </row>
    <row r="45" spans="1:27" s="26" customFormat="1" ht="13.5" customHeight="1">
      <c r="A45" s="110">
        <v>5</v>
      </c>
      <c r="B45" s="50">
        <v>43374</v>
      </c>
      <c r="C45" s="61">
        <f>VLOOKUP(B45,'base(indices)'!$A$4:$C$183,3,FALSE)</f>
        <v>954</v>
      </c>
      <c r="D45" s="87">
        <f>'base(indices)'!G109</f>
        <v>1.1939365500000001</v>
      </c>
      <c r="E45" s="52">
        <f t="shared" si="23"/>
        <v>1139.0154687000002</v>
      </c>
      <c r="F45" s="307">
        <f>'base(indices)'!$I$147</f>
        <v>0.29920000000000002</v>
      </c>
      <c r="G45" s="54">
        <f t="shared" si="24"/>
        <v>340.7934282350401</v>
      </c>
      <c r="H45" s="146">
        <f t="shared" si="25"/>
        <v>5919.2355877401606</v>
      </c>
      <c r="I45" s="94">
        <f t="shared" si="26"/>
        <v>379.67182290000005</v>
      </c>
      <c r="J45" s="94">
        <f t="shared" si="27"/>
        <v>6298.9074106401604</v>
      </c>
      <c r="K45" s="57"/>
      <c r="L45" s="67">
        <f t="shared" si="28"/>
        <v>6298.9074106401604</v>
      </c>
      <c r="M45" s="58">
        <f t="shared" si="29"/>
        <v>5669.0166695761445</v>
      </c>
      <c r="N45" s="57">
        <f t="shared" si="30"/>
        <v>0</v>
      </c>
      <c r="O45" s="59">
        <f t="shared" si="31"/>
        <v>5669.0166695761445</v>
      </c>
      <c r="P45" s="57">
        <f t="shared" si="44"/>
        <v>5039.1259285121287</v>
      </c>
      <c r="Q45" s="57">
        <f t="shared" si="33"/>
        <v>0</v>
      </c>
      <c r="R45" s="60">
        <f t="shared" si="45"/>
        <v>5039.1259285121287</v>
      </c>
      <c r="S45" s="58">
        <f t="shared" si="35"/>
        <v>4409.2351874481119</v>
      </c>
      <c r="T45" s="57">
        <f t="shared" si="36"/>
        <v>0</v>
      </c>
      <c r="U45" s="59">
        <f t="shared" si="37"/>
        <v>4409.2351874481119</v>
      </c>
      <c r="V45" s="58">
        <f t="shared" si="38"/>
        <v>3779.344446384096</v>
      </c>
      <c r="W45" s="57">
        <f t="shared" si="39"/>
        <v>0</v>
      </c>
      <c r="X45" s="59">
        <f t="shared" si="40"/>
        <v>3779.344446384096</v>
      </c>
      <c r="Y45" s="58">
        <f t="shared" si="41"/>
        <v>3149.4537053200802</v>
      </c>
      <c r="Z45" s="57">
        <f t="shared" si="42"/>
        <v>0</v>
      </c>
      <c r="AA45" s="59">
        <f t="shared" si="43"/>
        <v>3149.4537053200802</v>
      </c>
    </row>
    <row r="46" spans="1:27" ht="13.5" customHeight="1">
      <c r="A46" s="110">
        <v>5</v>
      </c>
      <c r="B46" s="50">
        <v>43405</v>
      </c>
      <c r="C46" s="61">
        <f>VLOOKUP(B46,'base(indices)'!$A$4:$C$183,3,FALSE)</f>
        <v>954</v>
      </c>
      <c r="D46" s="87">
        <f>'base(indices)'!G110</f>
        <v>1.1870516499999999</v>
      </c>
      <c r="E46" s="62">
        <f t="shared" si="23"/>
        <v>1132.4472741</v>
      </c>
      <c r="F46" s="307">
        <f>'base(indices)'!$I$147</f>
        <v>0.29920000000000002</v>
      </c>
      <c r="G46" s="63">
        <f t="shared" si="24"/>
        <v>338.82822441072</v>
      </c>
      <c r="H46" s="146">
        <f t="shared" si="25"/>
        <v>5885.1019940428796</v>
      </c>
      <c r="I46" s="95">
        <f t="shared" si="26"/>
        <v>377.48242469999997</v>
      </c>
      <c r="J46" s="95">
        <f t="shared" si="27"/>
        <v>6262.5844187428793</v>
      </c>
      <c r="K46" s="43"/>
      <c r="L46" s="44">
        <f t="shared" si="28"/>
        <v>6262.5844187428793</v>
      </c>
      <c r="M46" s="45">
        <f t="shared" si="29"/>
        <v>5636.3259768685912</v>
      </c>
      <c r="N46" s="43">
        <f t="shared" si="30"/>
        <v>0</v>
      </c>
      <c r="O46" s="46">
        <f t="shared" si="31"/>
        <v>5636.3259768685912</v>
      </c>
      <c r="P46" s="66">
        <f t="shared" si="44"/>
        <v>5010.067534994304</v>
      </c>
      <c r="Q46" s="43">
        <f t="shared" si="33"/>
        <v>0</v>
      </c>
      <c r="R46" s="47">
        <f t="shared" si="45"/>
        <v>5010.067534994304</v>
      </c>
      <c r="S46" s="45">
        <f t="shared" si="35"/>
        <v>4383.8090931200149</v>
      </c>
      <c r="T46" s="43">
        <f t="shared" si="36"/>
        <v>0</v>
      </c>
      <c r="U46" s="46">
        <f t="shared" si="37"/>
        <v>4383.8090931200149</v>
      </c>
      <c r="V46" s="45">
        <f t="shared" si="38"/>
        <v>3757.5506512457273</v>
      </c>
      <c r="W46" s="43">
        <f t="shared" si="39"/>
        <v>0</v>
      </c>
      <c r="X46" s="46">
        <f t="shared" si="40"/>
        <v>3757.5506512457273</v>
      </c>
      <c r="Y46" s="45">
        <f t="shared" si="41"/>
        <v>3131.2922093714396</v>
      </c>
      <c r="Z46" s="43">
        <f t="shared" si="42"/>
        <v>0</v>
      </c>
      <c r="AA46" s="46">
        <f t="shared" si="43"/>
        <v>3131.2922093714396</v>
      </c>
    </row>
    <row r="47" spans="1:27" s="26" customFormat="1" ht="13.5" customHeight="1" thickBot="1">
      <c r="A47" s="161">
        <v>5</v>
      </c>
      <c r="B47" s="68">
        <v>43435</v>
      </c>
      <c r="C47" s="69">
        <f>VLOOKUP(B47,'base(indices)'!$A$4:$C$183,3,FALSE)</f>
        <v>954</v>
      </c>
      <c r="D47" s="242">
        <f>'base(indices)'!G111</f>
        <v>1.18480053</v>
      </c>
      <c r="E47" s="321">
        <f t="shared" si="23"/>
        <v>1130.2997056199999</v>
      </c>
      <c r="F47" s="307">
        <f>'base(indices)'!$I$147</f>
        <v>0.29920000000000002</v>
      </c>
      <c r="G47" s="170">
        <f t="shared" si="24"/>
        <v>338.18567192150402</v>
      </c>
      <c r="H47" s="322">
        <f t="shared" si="25"/>
        <v>5873.9415101660161</v>
      </c>
      <c r="I47" s="207">
        <f t="shared" si="26"/>
        <v>376.76656853999998</v>
      </c>
      <c r="J47" s="207">
        <f t="shared" si="27"/>
        <v>6250.7080787060158</v>
      </c>
      <c r="K47" s="282"/>
      <c r="L47" s="323">
        <f t="shared" si="28"/>
        <v>6250.7080787060158</v>
      </c>
      <c r="M47" s="285">
        <f t="shared" si="29"/>
        <v>5625.6372708354147</v>
      </c>
      <c r="N47" s="282">
        <f t="shared" si="30"/>
        <v>0</v>
      </c>
      <c r="O47" s="203">
        <f t="shared" si="31"/>
        <v>5625.6372708354147</v>
      </c>
      <c r="P47" s="282">
        <f t="shared" si="44"/>
        <v>5000.5664629648127</v>
      </c>
      <c r="Q47" s="282">
        <f t="shared" si="33"/>
        <v>0</v>
      </c>
      <c r="R47" s="289">
        <f t="shared" si="45"/>
        <v>5000.5664629648127</v>
      </c>
      <c r="S47" s="285">
        <f t="shared" si="35"/>
        <v>4375.4956550942106</v>
      </c>
      <c r="T47" s="282">
        <f t="shared" si="36"/>
        <v>0</v>
      </c>
      <c r="U47" s="203">
        <f t="shared" si="37"/>
        <v>4375.4956550942106</v>
      </c>
      <c r="V47" s="285">
        <f t="shared" si="38"/>
        <v>3750.4248472236095</v>
      </c>
      <c r="W47" s="282">
        <f t="shared" si="39"/>
        <v>0</v>
      </c>
      <c r="X47" s="203">
        <f t="shared" si="40"/>
        <v>3750.4248472236095</v>
      </c>
      <c r="Y47" s="285">
        <f t="shared" si="41"/>
        <v>3125.3540393530079</v>
      </c>
      <c r="Z47" s="282">
        <f t="shared" si="42"/>
        <v>0</v>
      </c>
      <c r="AA47" s="203">
        <f t="shared" si="43"/>
        <v>3125.3540393530079</v>
      </c>
    </row>
    <row r="48" spans="1:27" ht="13.5" customHeight="1">
      <c r="A48" s="388">
        <v>5</v>
      </c>
      <c r="B48" s="246">
        <v>43466</v>
      </c>
      <c r="C48" s="120">
        <f>VLOOKUP(B48,'base(indices)'!$A$4:$C$183,3,FALSE)</f>
        <v>998</v>
      </c>
      <c r="D48" s="241">
        <f>'base(indices)'!G112</f>
        <v>1.18669925</v>
      </c>
      <c r="E48" s="137">
        <f t="shared" si="23"/>
        <v>1184.3258515</v>
      </c>
      <c r="F48" s="371">
        <f>'base(indices)'!$I$147</f>
        <v>0.29920000000000002</v>
      </c>
      <c r="G48" s="78">
        <f t="shared" si="24"/>
        <v>354.35029476880004</v>
      </c>
      <c r="H48" s="372">
        <f t="shared" si="25"/>
        <v>6154.7045850752002</v>
      </c>
      <c r="I48" s="96">
        <f t="shared" si="26"/>
        <v>394.77528383333333</v>
      </c>
      <c r="J48" s="96">
        <f t="shared" si="27"/>
        <v>6549.4798689085337</v>
      </c>
      <c r="K48" s="138"/>
      <c r="L48" s="320">
        <f t="shared" si="28"/>
        <v>6549.4798689085337</v>
      </c>
      <c r="M48" s="48">
        <f t="shared" si="29"/>
        <v>5894.5318820176808</v>
      </c>
      <c r="N48" s="138">
        <f t="shared" si="30"/>
        <v>0</v>
      </c>
      <c r="O48" s="49">
        <f t="shared" si="31"/>
        <v>5894.5318820176808</v>
      </c>
      <c r="P48" s="114">
        <f t="shared" si="44"/>
        <v>5239.583895126827</v>
      </c>
      <c r="Q48" s="138">
        <f t="shared" si="33"/>
        <v>0</v>
      </c>
      <c r="R48" s="139">
        <f t="shared" si="45"/>
        <v>5239.583895126827</v>
      </c>
      <c r="S48" s="48">
        <f t="shared" si="35"/>
        <v>4584.6359082359731</v>
      </c>
      <c r="T48" s="138">
        <f t="shared" si="36"/>
        <v>0</v>
      </c>
      <c r="U48" s="49">
        <f t="shared" si="37"/>
        <v>4584.6359082359731</v>
      </c>
      <c r="V48" s="48">
        <f t="shared" si="38"/>
        <v>3929.6879213451202</v>
      </c>
      <c r="W48" s="138">
        <f t="shared" si="39"/>
        <v>0</v>
      </c>
      <c r="X48" s="49">
        <f t="shared" si="40"/>
        <v>3929.6879213451202</v>
      </c>
      <c r="Y48" s="48">
        <f t="shared" si="41"/>
        <v>3274.7399344542669</v>
      </c>
      <c r="Z48" s="138">
        <f t="shared" si="42"/>
        <v>0</v>
      </c>
      <c r="AA48" s="49">
        <f t="shared" si="43"/>
        <v>3274.7399344542669</v>
      </c>
    </row>
    <row r="49" spans="1:27" s="26" customFormat="1" ht="13.5" customHeight="1">
      <c r="A49" s="110">
        <v>5</v>
      </c>
      <c r="B49" s="50">
        <v>43497</v>
      </c>
      <c r="C49" s="61">
        <f>VLOOKUP(B49,'base(indices)'!$A$4:$C$183,3,FALSE)</f>
        <v>998</v>
      </c>
      <c r="D49" s="87">
        <f>'base(indices)'!G113</f>
        <v>1.1831498</v>
      </c>
      <c r="E49" s="52">
        <f t="shared" si="23"/>
        <v>1180.7835004000001</v>
      </c>
      <c r="F49" s="307">
        <f>'base(indices)'!$I$147</f>
        <v>0.29920000000000002</v>
      </c>
      <c r="G49" s="54">
        <f t="shared" si="24"/>
        <v>353.29042331968003</v>
      </c>
      <c r="H49" s="373">
        <f t="shared" si="25"/>
        <v>6136.2956948787205</v>
      </c>
      <c r="I49" s="94">
        <f t="shared" si="26"/>
        <v>393.59450013333338</v>
      </c>
      <c r="J49" s="94">
        <f t="shared" si="27"/>
        <v>6529.8901950120535</v>
      </c>
      <c r="K49" s="57"/>
      <c r="L49" s="67">
        <f t="shared" si="28"/>
        <v>6529.8901950120535</v>
      </c>
      <c r="M49" s="58">
        <f t="shared" si="29"/>
        <v>5876.9011755108486</v>
      </c>
      <c r="N49" s="57">
        <f t="shared" si="30"/>
        <v>0</v>
      </c>
      <c r="O49" s="59">
        <f t="shared" si="31"/>
        <v>5876.9011755108486</v>
      </c>
      <c r="P49" s="57">
        <f>J49*$P$10</f>
        <v>5223.9121560096428</v>
      </c>
      <c r="Q49" s="57">
        <f t="shared" si="33"/>
        <v>0</v>
      </c>
      <c r="R49" s="60">
        <f t="shared" si="45"/>
        <v>5223.9121560096428</v>
      </c>
      <c r="S49" s="58">
        <f t="shared" si="35"/>
        <v>4570.923136508437</v>
      </c>
      <c r="T49" s="57">
        <f t="shared" si="36"/>
        <v>0</v>
      </c>
      <c r="U49" s="59">
        <f t="shared" si="37"/>
        <v>4570.923136508437</v>
      </c>
      <c r="V49" s="58">
        <f t="shared" si="38"/>
        <v>3917.9341170072321</v>
      </c>
      <c r="W49" s="57">
        <f t="shared" si="39"/>
        <v>0</v>
      </c>
      <c r="X49" s="59">
        <f t="shared" si="40"/>
        <v>3917.9341170072321</v>
      </c>
      <c r="Y49" s="58">
        <f t="shared" si="41"/>
        <v>3264.9450975060267</v>
      </c>
      <c r="Z49" s="57">
        <f t="shared" si="42"/>
        <v>0</v>
      </c>
      <c r="AA49" s="59">
        <f t="shared" si="43"/>
        <v>3264.9450975060267</v>
      </c>
    </row>
    <row r="50" spans="1:27" ht="13.5" customHeight="1">
      <c r="A50" s="110">
        <v>5</v>
      </c>
      <c r="B50" s="50">
        <v>43525</v>
      </c>
      <c r="C50" s="61">
        <f>VLOOKUP(B50,'base(indices)'!$A$4:$C$183,3,FALSE)</f>
        <v>998</v>
      </c>
      <c r="D50" s="87">
        <f>'base(indices)'!G114</f>
        <v>1.1791407199999999</v>
      </c>
      <c r="E50" s="62">
        <f t="shared" si="23"/>
        <v>1176.7824385599999</v>
      </c>
      <c r="F50" s="307">
        <f>'base(indices)'!$I$147</f>
        <v>0.29920000000000002</v>
      </c>
      <c r="G50" s="63">
        <f t="shared" si="24"/>
        <v>352.093305617152</v>
      </c>
      <c r="H50" s="373">
        <f t="shared" si="25"/>
        <v>6115.502976708608</v>
      </c>
      <c r="I50" s="95">
        <f t="shared" si="26"/>
        <v>392.26081285333333</v>
      </c>
      <c r="J50" s="95">
        <f t="shared" si="27"/>
        <v>6507.7637895619409</v>
      </c>
      <c r="K50" s="43"/>
      <c r="L50" s="44">
        <f t="shared" si="28"/>
        <v>6507.7637895619409</v>
      </c>
      <c r="M50" s="45">
        <f t="shared" si="29"/>
        <v>5856.9874106057468</v>
      </c>
      <c r="N50" s="43">
        <f t="shared" si="30"/>
        <v>0</v>
      </c>
      <c r="O50" s="46">
        <f t="shared" si="31"/>
        <v>5856.9874106057468</v>
      </c>
      <c r="P50" s="66">
        <f>J50*$P$10</f>
        <v>5206.2110316495528</v>
      </c>
      <c r="Q50" s="43">
        <f t="shared" si="33"/>
        <v>0</v>
      </c>
      <c r="R50" s="47">
        <f t="shared" si="45"/>
        <v>5206.2110316495528</v>
      </c>
      <c r="S50" s="45">
        <f t="shared" si="35"/>
        <v>4555.4346526933587</v>
      </c>
      <c r="T50" s="43">
        <f t="shared" si="36"/>
        <v>0</v>
      </c>
      <c r="U50" s="46">
        <f t="shared" si="37"/>
        <v>4555.4346526933587</v>
      </c>
      <c r="V50" s="45">
        <f t="shared" si="38"/>
        <v>3904.6582737371646</v>
      </c>
      <c r="W50" s="43">
        <f t="shared" si="39"/>
        <v>0</v>
      </c>
      <c r="X50" s="46">
        <f t="shared" si="40"/>
        <v>3904.6582737371646</v>
      </c>
      <c r="Y50" s="45">
        <f t="shared" si="41"/>
        <v>3253.8818947809705</v>
      </c>
      <c r="Z50" s="43">
        <f t="shared" si="42"/>
        <v>0</v>
      </c>
      <c r="AA50" s="46">
        <f t="shared" si="43"/>
        <v>3253.8818947809705</v>
      </c>
    </row>
    <row r="51" spans="1:27" s="26" customFormat="1" ht="13.5" customHeight="1">
      <c r="A51" s="110">
        <v>5</v>
      </c>
      <c r="B51" s="50">
        <v>43556</v>
      </c>
      <c r="C51" s="61">
        <f>VLOOKUP(B51,'base(indices)'!$A$4:$C$183,3,FALSE)</f>
        <v>998</v>
      </c>
      <c r="D51" s="87">
        <f>'base(indices)'!G115</f>
        <v>1.1728075600000001</v>
      </c>
      <c r="E51" s="52">
        <f t="shared" si="23"/>
        <v>1170.4619448800001</v>
      </c>
      <c r="F51" s="307">
        <f>'base(indices)'!$I$147</f>
        <v>0.29920000000000002</v>
      </c>
      <c r="G51" s="54">
        <f t="shared" si="24"/>
        <v>350.20221390809604</v>
      </c>
      <c r="H51" s="373">
        <f t="shared" si="25"/>
        <v>6082.6566351523852</v>
      </c>
      <c r="I51" s="94">
        <f t="shared" si="26"/>
        <v>390.15398162666673</v>
      </c>
      <c r="J51" s="94">
        <f t="shared" si="27"/>
        <v>6472.810616779052</v>
      </c>
      <c r="K51" s="57"/>
      <c r="L51" s="67">
        <f t="shared" si="28"/>
        <v>6472.810616779052</v>
      </c>
      <c r="M51" s="58">
        <f t="shared" si="29"/>
        <v>5825.5295551011468</v>
      </c>
      <c r="N51" s="57">
        <f t="shared" si="30"/>
        <v>0</v>
      </c>
      <c r="O51" s="59">
        <f t="shared" si="31"/>
        <v>5825.5295551011468</v>
      </c>
      <c r="P51" s="57">
        <f t="shared" ref="P51:P64" si="46">J51*$P$10</f>
        <v>5178.2484934232416</v>
      </c>
      <c r="Q51" s="57">
        <f t="shared" si="33"/>
        <v>0</v>
      </c>
      <c r="R51" s="60">
        <f>P51+Q51</f>
        <v>5178.2484934232416</v>
      </c>
      <c r="S51" s="58">
        <f t="shared" si="35"/>
        <v>4530.9674317453364</v>
      </c>
      <c r="T51" s="57">
        <f t="shared" si="36"/>
        <v>0</v>
      </c>
      <c r="U51" s="59">
        <f t="shared" si="37"/>
        <v>4530.9674317453364</v>
      </c>
      <c r="V51" s="58">
        <f t="shared" si="38"/>
        <v>3883.6863700674312</v>
      </c>
      <c r="W51" s="57">
        <f t="shared" si="39"/>
        <v>0</v>
      </c>
      <c r="X51" s="59">
        <f t="shared" si="40"/>
        <v>3883.6863700674312</v>
      </c>
      <c r="Y51" s="58">
        <f t="shared" si="41"/>
        <v>3236.405308389526</v>
      </c>
      <c r="Z51" s="57">
        <f t="shared" si="42"/>
        <v>0</v>
      </c>
      <c r="AA51" s="59">
        <f t="shared" si="43"/>
        <v>3236.405308389526</v>
      </c>
    </row>
    <row r="52" spans="1:27" ht="13.5" customHeight="1">
      <c r="A52" s="110">
        <v>5</v>
      </c>
      <c r="B52" s="50">
        <v>43586</v>
      </c>
      <c r="C52" s="61">
        <f>VLOOKUP(B52,'base(indices)'!$A$4:$C$183,3,FALSE)</f>
        <v>998</v>
      </c>
      <c r="D52" s="87">
        <f>'base(indices)'!G116</f>
        <v>1.1644237099999999</v>
      </c>
      <c r="E52" s="62">
        <f t="shared" ref="E52:E107" si="47">C52*D52</f>
        <v>1162.0948625799999</v>
      </c>
      <c r="F52" s="307">
        <f>'base(indices)'!$I$147</f>
        <v>0.29920000000000002</v>
      </c>
      <c r="G52" s="63">
        <f t="shared" ref="G52:G107" si="48">E52*F52</f>
        <v>347.69878288393602</v>
      </c>
      <c r="H52" s="373">
        <f t="shared" si="25"/>
        <v>6039.1745818557438</v>
      </c>
      <c r="I52" s="95">
        <f t="shared" si="26"/>
        <v>387.36495419333329</v>
      </c>
      <c r="J52" s="95">
        <f t="shared" si="27"/>
        <v>6426.5395360490775</v>
      </c>
      <c r="K52" s="43"/>
      <c r="L52" s="44">
        <f t="shared" si="28"/>
        <v>6426.5395360490775</v>
      </c>
      <c r="M52" s="45">
        <f t="shared" si="29"/>
        <v>5783.8855824441698</v>
      </c>
      <c r="N52" s="43">
        <f t="shared" si="30"/>
        <v>0</v>
      </c>
      <c r="O52" s="46">
        <f t="shared" si="31"/>
        <v>5783.8855824441698</v>
      </c>
      <c r="P52" s="66">
        <f t="shared" si="46"/>
        <v>5141.2316288392622</v>
      </c>
      <c r="Q52" s="43">
        <f t="shared" ref="Q52:Q107" si="49">K52*P$10</f>
        <v>0</v>
      </c>
      <c r="R52" s="47">
        <f t="shared" ref="R52:R107" si="50">P52+Q52</f>
        <v>5141.2316288392622</v>
      </c>
      <c r="S52" s="45">
        <f t="shared" ref="S52:S107" si="51">J52*S$10</f>
        <v>4498.5776752343536</v>
      </c>
      <c r="T52" s="43">
        <f t="shared" ref="T52:T107" si="52">K52*S$10</f>
        <v>0</v>
      </c>
      <c r="U52" s="46">
        <f t="shared" ref="U52:U107" si="53">S52+T52</f>
        <v>4498.5776752343536</v>
      </c>
      <c r="V52" s="45">
        <f t="shared" si="38"/>
        <v>3855.9237216294464</v>
      </c>
      <c r="W52" s="43">
        <f t="shared" ref="W52:W107" si="54">K52*V$10</f>
        <v>0</v>
      </c>
      <c r="X52" s="46">
        <f t="shared" ref="X52:X107" si="55">V52+W52</f>
        <v>3855.9237216294464</v>
      </c>
      <c r="Y52" s="45">
        <f t="shared" ref="Y52:Y107" si="56">J52*Y$10</f>
        <v>3213.2697680245387</v>
      </c>
      <c r="Z52" s="43">
        <f t="shared" ref="Z52:Z107" si="57">N52*Y$10</f>
        <v>0</v>
      </c>
      <c r="AA52" s="46">
        <f t="shared" ref="AA52:AA107" si="58">Y52+Z52</f>
        <v>3213.2697680245387</v>
      </c>
    </row>
    <row r="53" spans="1:27" s="26" customFormat="1" ht="13.5" customHeight="1">
      <c r="A53" s="110">
        <v>5</v>
      </c>
      <c r="B53" s="50">
        <v>43617</v>
      </c>
      <c r="C53" s="61">
        <f>VLOOKUP(B53,'base(indices)'!$A$4:$C$183,3,FALSE)</f>
        <v>998</v>
      </c>
      <c r="D53" s="87">
        <f>'base(indices)'!G117</f>
        <v>1.1603624400000001</v>
      </c>
      <c r="E53" s="52">
        <f t="shared" si="47"/>
        <v>1158.0417151200002</v>
      </c>
      <c r="F53" s="307">
        <f>'base(indices)'!$I$147</f>
        <v>0.29920000000000002</v>
      </c>
      <c r="G53" s="54">
        <f t="shared" si="48"/>
        <v>346.48608116390409</v>
      </c>
      <c r="H53" s="373">
        <f t="shared" si="25"/>
        <v>6018.1111851356172</v>
      </c>
      <c r="I53" s="94">
        <f t="shared" si="26"/>
        <v>386.01390504000005</v>
      </c>
      <c r="J53" s="94">
        <f t="shared" si="27"/>
        <v>6404.1250901756175</v>
      </c>
      <c r="K53" s="57"/>
      <c r="L53" s="67">
        <f t="shared" si="28"/>
        <v>6404.1250901756175</v>
      </c>
      <c r="M53" s="58">
        <f t="shared" si="29"/>
        <v>5763.7125811580563</v>
      </c>
      <c r="N53" s="57">
        <f t="shared" si="30"/>
        <v>0</v>
      </c>
      <c r="O53" s="59">
        <f t="shared" si="31"/>
        <v>5763.7125811580563</v>
      </c>
      <c r="P53" s="57">
        <f t="shared" si="46"/>
        <v>5123.3000721404942</v>
      </c>
      <c r="Q53" s="57">
        <f t="shared" si="49"/>
        <v>0</v>
      </c>
      <c r="R53" s="60">
        <f t="shared" si="50"/>
        <v>5123.3000721404942</v>
      </c>
      <c r="S53" s="58">
        <f t="shared" si="51"/>
        <v>4482.8875631229321</v>
      </c>
      <c r="T53" s="57">
        <f t="shared" si="52"/>
        <v>0</v>
      </c>
      <c r="U53" s="59">
        <f t="shared" si="53"/>
        <v>4482.8875631229321</v>
      </c>
      <c r="V53" s="58">
        <f t="shared" ref="V53:V107" si="59">J53*V$10</f>
        <v>3842.4750541053704</v>
      </c>
      <c r="W53" s="57">
        <f t="shared" si="54"/>
        <v>0</v>
      </c>
      <c r="X53" s="59">
        <f t="shared" si="55"/>
        <v>3842.4750541053704</v>
      </c>
      <c r="Y53" s="58">
        <f t="shared" si="56"/>
        <v>3202.0625450878088</v>
      </c>
      <c r="Z53" s="57">
        <f t="shared" si="57"/>
        <v>0</v>
      </c>
      <c r="AA53" s="59">
        <f t="shared" si="58"/>
        <v>3202.0625450878088</v>
      </c>
    </row>
    <row r="54" spans="1:27" ht="13.5" customHeight="1">
      <c r="A54" s="110">
        <v>5</v>
      </c>
      <c r="B54" s="50">
        <v>43647</v>
      </c>
      <c r="C54" s="61">
        <f>VLOOKUP(B54,'base(indices)'!$A$4:$C$183,3,FALSE)</f>
        <v>998</v>
      </c>
      <c r="D54" s="87">
        <f>'base(indices)'!G118</f>
        <v>1.15966664</v>
      </c>
      <c r="E54" s="62">
        <f t="shared" si="47"/>
        <v>1157.34730672</v>
      </c>
      <c r="F54" s="307">
        <f>'base(indices)'!$I$147</f>
        <v>0.29920000000000002</v>
      </c>
      <c r="G54" s="63">
        <f t="shared" si="48"/>
        <v>346.27831417062401</v>
      </c>
      <c r="H54" s="373">
        <f t="shared" ref="H54:H107" si="60">(E54+G54)*4</f>
        <v>6014.5024835624963</v>
      </c>
      <c r="I54" s="95">
        <f t="shared" si="26"/>
        <v>385.78243557333332</v>
      </c>
      <c r="J54" s="95">
        <f t="shared" ref="J54:J107" si="61">H54+I54</f>
        <v>6400.28491913583</v>
      </c>
      <c r="K54" s="43"/>
      <c r="L54" s="44">
        <f t="shared" si="28"/>
        <v>6400.28491913583</v>
      </c>
      <c r="M54" s="45">
        <f t="shared" si="29"/>
        <v>5760.2564272222471</v>
      </c>
      <c r="N54" s="43">
        <f t="shared" si="30"/>
        <v>0</v>
      </c>
      <c r="O54" s="46">
        <f t="shared" si="31"/>
        <v>5760.2564272222471</v>
      </c>
      <c r="P54" s="66">
        <f t="shared" si="46"/>
        <v>5120.2279353086642</v>
      </c>
      <c r="Q54" s="43">
        <f t="shared" si="49"/>
        <v>0</v>
      </c>
      <c r="R54" s="47">
        <f t="shared" si="50"/>
        <v>5120.2279353086642</v>
      </c>
      <c r="S54" s="45">
        <f t="shared" si="51"/>
        <v>4480.1994433950804</v>
      </c>
      <c r="T54" s="43">
        <f t="shared" si="52"/>
        <v>0</v>
      </c>
      <c r="U54" s="46">
        <f t="shared" si="53"/>
        <v>4480.1994433950804</v>
      </c>
      <c r="V54" s="45">
        <f t="shared" si="59"/>
        <v>3840.1709514814979</v>
      </c>
      <c r="W54" s="43">
        <f t="shared" si="54"/>
        <v>0</v>
      </c>
      <c r="X54" s="46">
        <f t="shared" si="55"/>
        <v>3840.1709514814979</v>
      </c>
      <c r="Y54" s="45">
        <f t="shared" si="56"/>
        <v>3200.142459567915</v>
      </c>
      <c r="Z54" s="43">
        <f t="shared" si="57"/>
        <v>0</v>
      </c>
      <c r="AA54" s="46">
        <f t="shared" si="58"/>
        <v>3200.142459567915</v>
      </c>
    </row>
    <row r="55" spans="1:27" s="26" customFormat="1" ht="13.5" customHeight="1">
      <c r="A55" s="110">
        <v>5</v>
      </c>
      <c r="B55" s="50">
        <v>43678</v>
      </c>
      <c r="C55" s="61">
        <f>VLOOKUP(B55,'base(indices)'!$A$4:$C$183,3,FALSE)</f>
        <v>998</v>
      </c>
      <c r="D55" s="87">
        <f>'base(indices)'!G119</f>
        <v>1.1586238799999999</v>
      </c>
      <c r="E55" s="52">
        <f t="shared" si="47"/>
        <v>1156.30663224</v>
      </c>
      <c r="F55" s="307">
        <f>'base(indices)'!$I$147</f>
        <v>0.29920000000000002</v>
      </c>
      <c r="G55" s="54">
        <f t="shared" si="48"/>
        <v>345.966944366208</v>
      </c>
      <c r="H55" s="373">
        <f t="shared" si="60"/>
        <v>6009.0943064248322</v>
      </c>
      <c r="I55" s="94">
        <f t="shared" ref="I55:I107" si="62">E55/3</f>
        <v>385.43554408</v>
      </c>
      <c r="J55" s="94">
        <f t="shared" si="61"/>
        <v>6394.5298505048322</v>
      </c>
      <c r="K55" s="57"/>
      <c r="L55" s="67">
        <f t="shared" si="28"/>
        <v>6394.5298505048322</v>
      </c>
      <c r="M55" s="58">
        <f t="shared" si="29"/>
        <v>5755.076865454349</v>
      </c>
      <c r="N55" s="57">
        <f t="shared" si="30"/>
        <v>0</v>
      </c>
      <c r="O55" s="59">
        <f t="shared" si="31"/>
        <v>5755.076865454349</v>
      </c>
      <c r="P55" s="57">
        <f t="shared" si="46"/>
        <v>5115.6238804038658</v>
      </c>
      <c r="Q55" s="57">
        <f t="shared" si="49"/>
        <v>0</v>
      </c>
      <c r="R55" s="60">
        <f t="shared" si="50"/>
        <v>5115.6238804038658</v>
      </c>
      <c r="S55" s="58">
        <f t="shared" si="51"/>
        <v>4476.1708953533825</v>
      </c>
      <c r="T55" s="57">
        <f t="shared" si="52"/>
        <v>0</v>
      </c>
      <c r="U55" s="59">
        <f t="shared" si="53"/>
        <v>4476.1708953533825</v>
      </c>
      <c r="V55" s="58">
        <f t="shared" si="59"/>
        <v>3836.7179103028993</v>
      </c>
      <c r="W55" s="57">
        <f t="shared" si="54"/>
        <v>0</v>
      </c>
      <c r="X55" s="59">
        <f t="shared" si="55"/>
        <v>3836.7179103028993</v>
      </c>
      <c r="Y55" s="58">
        <f t="shared" si="56"/>
        <v>3197.2649252524161</v>
      </c>
      <c r="Z55" s="57">
        <f t="shared" si="57"/>
        <v>0</v>
      </c>
      <c r="AA55" s="59">
        <f t="shared" si="58"/>
        <v>3197.2649252524161</v>
      </c>
    </row>
    <row r="56" spans="1:27" ht="13.5" customHeight="1">
      <c r="A56" s="110">
        <v>5</v>
      </c>
      <c r="B56" s="50">
        <v>43709</v>
      </c>
      <c r="C56" s="61">
        <f>VLOOKUP(B56,'base(indices)'!$A$4:$C$183,3,FALSE)</f>
        <v>998</v>
      </c>
      <c r="D56" s="87">
        <f>'base(indices)'!G120</f>
        <v>1.15769772</v>
      </c>
      <c r="E56" s="62">
        <f t="shared" si="47"/>
        <v>1155.3823245600001</v>
      </c>
      <c r="F56" s="307">
        <f>'base(indices)'!$I$147</f>
        <v>0.29920000000000002</v>
      </c>
      <c r="G56" s="63">
        <f t="shared" si="48"/>
        <v>345.69039150835209</v>
      </c>
      <c r="H56" s="373">
        <f t="shared" si="60"/>
        <v>6004.2908642734092</v>
      </c>
      <c r="I56" s="95">
        <f t="shared" si="62"/>
        <v>385.12744152000005</v>
      </c>
      <c r="J56" s="95">
        <f t="shared" si="61"/>
        <v>6389.4183057934097</v>
      </c>
      <c r="K56" s="43"/>
      <c r="L56" s="44">
        <f t="shared" si="28"/>
        <v>6389.4183057934097</v>
      </c>
      <c r="M56" s="45">
        <f t="shared" si="29"/>
        <v>5750.4764752140691</v>
      </c>
      <c r="N56" s="43">
        <f t="shared" si="30"/>
        <v>0</v>
      </c>
      <c r="O56" s="46">
        <f t="shared" si="31"/>
        <v>5750.4764752140691</v>
      </c>
      <c r="P56" s="66">
        <f t="shared" si="46"/>
        <v>5111.5346446347285</v>
      </c>
      <c r="Q56" s="43">
        <f t="shared" si="49"/>
        <v>0</v>
      </c>
      <c r="R56" s="47">
        <f t="shared" si="50"/>
        <v>5111.5346446347285</v>
      </c>
      <c r="S56" s="45">
        <f t="shared" si="51"/>
        <v>4472.592814055386</v>
      </c>
      <c r="T56" s="43">
        <f t="shared" si="52"/>
        <v>0</v>
      </c>
      <c r="U56" s="46">
        <f t="shared" si="53"/>
        <v>4472.592814055386</v>
      </c>
      <c r="V56" s="45">
        <f t="shared" si="59"/>
        <v>3833.6509834760454</v>
      </c>
      <c r="W56" s="43">
        <f t="shared" si="54"/>
        <v>0</v>
      </c>
      <c r="X56" s="46">
        <f t="shared" si="55"/>
        <v>3833.6509834760454</v>
      </c>
      <c r="Y56" s="45">
        <f t="shared" si="56"/>
        <v>3194.7091528967048</v>
      </c>
      <c r="Z56" s="43">
        <f t="shared" si="57"/>
        <v>0</v>
      </c>
      <c r="AA56" s="46">
        <f t="shared" si="58"/>
        <v>3194.7091528967048</v>
      </c>
    </row>
    <row r="57" spans="1:27" s="26" customFormat="1" ht="13.5" customHeight="1">
      <c r="A57" s="110">
        <v>5</v>
      </c>
      <c r="B57" s="50">
        <v>43739</v>
      </c>
      <c r="C57" s="61">
        <f>VLOOKUP(B57,'base(indices)'!$A$4:$C$183,3,FALSE)</f>
        <v>998</v>
      </c>
      <c r="D57" s="87">
        <f>'base(indices)'!G121</f>
        <v>1.1566567299999999</v>
      </c>
      <c r="E57" s="52">
        <f t="shared" si="47"/>
        <v>1154.3434165399999</v>
      </c>
      <c r="F57" s="307">
        <f>'base(indices)'!$I$147</f>
        <v>0.29920000000000002</v>
      </c>
      <c r="G57" s="54">
        <f t="shared" si="48"/>
        <v>345.37955022876798</v>
      </c>
      <c r="H57" s="373">
        <f t="shared" si="60"/>
        <v>5998.8918670750718</v>
      </c>
      <c r="I57" s="94">
        <f t="shared" si="62"/>
        <v>384.78113884666664</v>
      </c>
      <c r="J57" s="94">
        <f t="shared" si="61"/>
        <v>6383.6730059217389</v>
      </c>
      <c r="K57" s="57"/>
      <c r="L57" s="67">
        <f t="shared" si="28"/>
        <v>6383.6730059217389</v>
      </c>
      <c r="M57" s="58">
        <f t="shared" si="29"/>
        <v>5745.3057053295652</v>
      </c>
      <c r="N57" s="57">
        <f t="shared" si="30"/>
        <v>0</v>
      </c>
      <c r="O57" s="59">
        <f t="shared" si="31"/>
        <v>5745.3057053295652</v>
      </c>
      <c r="P57" s="57">
        <f t="shared" si="46"/>
        <v>5106.9384047373915</v>
      </c>
      <c r="Q57" s="57">
        <f t="shared" si="49"/>
        <v>0</v>
      </c>
      <c r="R57" s="60">
        <f t="shared" si="50"/>
        <v>5106.9384047373915</v>
      </c>
      <c r="S57" s="58">
        <f t="shared" si="51"/>
        <v>4468.5711041452169</v>
      </c>
      <c r="T57" s="57">
        <f t="shared" si="52"/>
        <v>0</v>
      </c>
      <c r="U57" s="59">
        <f t="shared" si="53"/>
        <v>4468.5711041452169</v>
      </c>
      <c r="V57" s="58">
        <f t="shared" si="59"/>
        <v>3830.2038035530431</v>
      </c>
      <c r="W57" s="57">
        <f t="shared" si="54"/>
        <v>0</v>
      </c>
      <c r="X57" s="59">
        <f t="shared" si="55"/>
        <v>3830.2038035530431</v>
      </c>
      <c r="Y57" s="58">
        <f t="shared" si="56"/>
        <v>3191.8365029608694</v>
      </c>
      <c r="Z57" s="57">
        <f t="shared" si="57"/>
        <v>0</v>
      </c>
      <c r="AA57" s="59">
        <f t="shared" si="58"/>
        <v>3191.8365029608694</v>
      </c>
    </row>
    <row r="58" spans="1:27" ht="13.5" customHeight="1">
      <c r="A58" s="110">
        <v>5</v>
      </c>
      <c r="B58" s="50">
        <v>43770</v>
      </c>
      <c r="C58" s="61">
        <f>VLOOKUP(B58,'base(indices)'!$A$4:$C$183,3,FALSE)</f>
        <v>998</v>
      </c>
      <c r="D58" s="87">
        <f>'base(indices)'!G122</f>
        <v>1.1556166800000001</v>
      </c>
      <c r="E58" s="62">
        <f t="shared" si="47"/>
        <v>1153.3054466400001</v>
      </c>
      <c r="F58" s="307">
        <f>'base(indices)'!$I$147</f>
        <v>0.29920000000000002</v>
      </c>
      <c r="G58" s="63">
        <f t="shared" si="48"/>
        <v>345.06898963468808</v>
      </c>
      <c r="H58" s="373">
        <f t="shared" si="60"/>
        <v>5993.4977450987526</v>
      </c>
      <c r="I58" s="95">
        <f t="shared" si="62"/>
        <v>384.43514888000004</v>
      </c>
      <c r="J58" s="95">
        <f t="shared" si="61"/>
        <v>6377.9328939787529</v>
      </c>
      <c r="K58" s="43"/>
      <c r="L58" s="44">
        <f t="shared" si="28"/>
        <v>6377.9328939787529</v>
      </c>
      <c r="M58" s="45">
        <f t="shared" si="29"/>
        <v>5740.1396045808779</v>
      </c>
      <c r="N58" s="43">
        <f t="shared" si="30"/>
        <v>0</v>
      </c>
      <c r="O58" s="46">
        <f t="shared" si="31"/>
        <v>5740.1396045808779</v>
      </c>
      <c r="P58" s="66">
        <f t="shared" si="46"/>
        <v>5102.3463151830028</v>
      </c>
      <c r="Q58" s="43">
        <f t="shared" si="49"/>
        <v>0</v>
      </c>
      <c r="R58" s="47">
        <f t="shared" si="50"/>
        <v>5102.3463151830028</v>
      </c>
      <c r="S58" s="45">
        <f t="shared" si="51"/>
        <v>4464.5530257851269</v>
      </c>
      <c r="T58" s="43">
        <f t="shared" si="52"/>
        <v>0</v>
      </c>
      <c r="U58" s="46">
        <f t="shared" si="53"/>
        <v>4464.5530257851269</v>
      </c>
      <c r="V58" s="45">
        <f t="shared" si="59"/>
        <v>3826.7597363872515</v>
      </c>
      <c r="W58" s="43">
        <f t="shared" si="54"/>
        <v>0</v>
      </c>
      <c r="X58" s="46">
        <f t="shared" si="55"/>
        <v>3826.7597363872515</v>
      </c>
      <c r="Y58" s="45">
        <f t="shared" si="56"/>
        <v>3188.9664469893764</v>
      </c>
      <c r="Z58" s="43">
        <f t="shared" si="57"/>
        <v>0</v>
      </c>
      <c r="AA58" s="46">
        <f t="shared" si="58"/>
        <v>3188.9664469893764</v>
      </c>
    </row>
    <row r="59" spans="1:27" s="26" customFormat="1" ht="13.5" customHeight="1" thickBot="1">
      <c r="A59" s="110">
        <v>5</v>
      </c>
      <c r="B59" s="247">
        <v>43800</v>
      </c>
      <c r="C59" s="69">
        <f>VLOOKUP(B59,'base(indices)'!$A$4:$C$183,3,FALSE)</f>
        <v>998</v>
      </c>
      <c r="D59" s="242">
        <f>'base(indices)'!G123</f>
        <v>1.15400108</v>
      </c>
      <c r="E59" s="182">
        <f t="shared" si="47"/>
        <v>1151.6930778400001</v>
      </c>
      <c r="F59" s="304">
        <f>'base(indices)'!$I$147</f>
        <v>0.29920000000000002</v>
      </c>
      <c r="G59" s="163">
        <f t="shared" si="48"/>
        <v>344.58656888972808</v>
      </c>
      <c r="H59" s="374">
        <f t="shared" si="60"/>
        <v>5985.118586918913</v>
      </c>
      <c r="I59" s="111">
        <f t="shared" si="62"/>
        <v>383.89769261333339</v>
      </c>
      <c r="J59" s="111">
        <f t="shared" si="61"/>
        <v>6369.0162795322467</v>
      </c>
      <c r="K59" s="85"/>
      <c r="L59" s="184">
        <f t="shared" si="28"/>
        <v>6369.0162795322467</v>
      </c>
      <c r="M59" s="175">
        <f t="shared" si="29"/>
        <v>5732.1146515790224</v>
      </c>
      <c r="N59" s="85">
        <f t="shared" si="30"/>
        <v>0</v>
      </c>
      <c r="O59" s="165">
        <f t="shared" si="31"/>
        <v>5732.1146515790224</v>
      </c>
      <c r="P59" s="85">
        <f t="shared" si="46"/>
        <v>5095.2130236257981</v>
      </c>
      <c r="Q59" s="85">
        <f t="shared" si="49"/>
        <v>0</v>
      </c>
      <c r="R59" s="107">
        <f t="shared" si="50"/>
        <v>5095.2130236257981</v>
      </c>
      <c r="S59" s="175">
        <f t="shared" si="51"/>
        <v>4458.311395672572</v>
      </c>
      <c r="T59" s="85">
        <f t="shared" si="52"/>
        <v>0</v>
      </c>
      <c r="U59" s="165">
        <f t="shared" si="53"/>
        <v>4458.311395672572</v>
      </c>
      <c r="V59" s="175">
        <f t="shared" si="59"/>
        <v>3821.4097677193477</v>
      </c>
      <c r="W59" s="85">
        <f t="shared" si="54"/>
        <v>0</v>
      </c>
      <c r="X59" s="165">
        <f t="shared" si="55"/>
        <v>3821.4097677193477</v>
      </c>
      <c r="Y59" s="175">
        <f t="shared" si="56"/>
        <v>3184.5081397661233</v>
      </c>
      <c r="Z59" s="85">
        <f t="shared" si="57"/>
        <v>0</v>
      </c>
      <c r="AA59" s="165">
        <f t="shared" si="58"/>
        <v>3184.5081397661233</v>
      </c>
    </row>
    <row r="60" spans="1:27" ht="13.5" customHeight="1">
      <c r="A60" s="387">
        <v>5</v>
      </c>
      <c r="B60" s="136">
        <v>43831</v>
      </c>
      <c r="C60" s="120">
        <f>VLOOKUP(B60,'base(indices)'!$A$4:$C$183,3,FALSE)</f>
        <v>1039</v>
      </c>
      <c r="D60" s="241">
        <f>'base(indices)'!G124</f>
        <v>1.1420099699999999</v>
      </c>
      <c r="E60" s="206">
        <f t="shared" si="47"/>
        <v>1186.5483588299999</v>
      </c>
      <c r="F60" s="264">
        <f>'base(indices)'!$I$147</f>
        <v>0.29920000000000002</v>
      </c>
      <c r="G60" s="154">
        <f t="shared" si="48"/>
        <v>355.01526896193599</v>
      </c>
      <c r="H60" s="316">
        <f t="shared" si="60"/>
        <v>6166.2545111677437</v>
      </c>
      <c r="I60" s="317">
        <f t="shared" si="62"/>
        <v>395.51611960999998</v>
      </c>
      <c r="J60" s="317">
        <f t="shared" si="61"/>
        <v>6561.7706307777435</v>
      </c>
      <c r="K60" s="283"/>
      <c r="L60" s="318">
        <f t="shared" si="28"/>
        <v>6561.7706307777435</v>
      </c>
      <c r="M60" s="288">
        <f t="shared" si="29"/>
        <v>5905.5935676999688</v>
      </c>
      <c r="N60" s="283">
        <f t="shared" si="30"/>
        <v>0</v>
      </c>
      <c r="O60" s="150">
        <f t="shared" si="31"/>
        <v>5905.5935676999688</v>
      </c>
      <c r="P60" s="319">
        <f t="shared" si="46"/>
        <v>5249.4165046221951</v>
      </c>
      <c r="Q60" s="283">
        <f t="shared" si="49"/>
        <v>0</v>
      </c>
      <c r="R60" s="290">
        <f t="shared" si="50"/>
        <v>5249.4165046221951</v>
      </c>
      <c r="S60" s="288">
        <f t="shared" si="51"/>
        <v>4593.2394415444205</v>
      </c>
      <c r="T60" s="283">
        <f t="shared" si="52"/>
        <v>0</v>
      </c>
      <c r="U60" s="150">
        <f t="shared" si="53"/>
        <v>4593.2394415444205</v>
      </c>
      <c r="V60" s="288">
        <f t="shared" si="59"/>
        <v>3937.0623784666459</v>
      </c>
      <c r="W60" s="283">
        <f t="shared" si="54"/>
        <v>0</v>
      </c>
      <c r="X60" s="150">
        <f t="shared" si="55"/>
        <v>3937.0623784666459</v>
      </c>
      <c r="Y60" s="288">
        <f t="shared" si="56"/>
        <v>3280.8853153888717</v>
      </c>
      <c r="Z60" s="283">
        <f t="shared" si="57"/>
        <v>0</v>
      </c>
      <c r="AA60" s="150">
        <f t="shared" si="58"/>
        <v>3280.8853153888717</v>
      </c>
    </row>
    <row r="61" spans="1:27" s="26" customFormat="1" ht="13.5" customHeight="1">
      <c r="A61" s="110">
        <v>5</v>
      </c>
      <c r="B61" s="50">
        <v>43862</v>
      </c>
      <c r="C61" s="61">
        <f>VLOOKUP(B61,'base(indices)'!$A$4:$C$183,3,FALSE)</f>
        <v>1045</v>
      </c>
      <c r="D61" s="87">
        <f>'base(indices)'!G125</f>
        <v>1.1339588599999999</v>
      </c>
      <c r="E61" s="52">
        <f t="shared" si="47"/>
        <v>1184.9870086999999</v>
      </c>
      <c r="F61" s="307">
        <f>'base(indices)'!$I$147</f>
        <v>0.29920000000000002</v>
      </c>
      <c r="G61" s="54">
        <f t="shared" si="48"/>
        <v>354.54811300303999</v>
      </c>
      <c r="H61" s="146">
        <f t="shared" si="60"/>
        <v>6158.1404868121599</v>
      </c>
      <c r="I61" s="94">
        <f t="shared" si="62"/>
        <v>394.99566956666666</v>
      </c>
      <c r="J61" s="94">
        <f t="shared" si="61"/>
        <v>6553.1361563788269</v>
      </c>
      <c r="K61" s="57"/>
      <c r="L61" s="67">
        <f t="shared" si="28"/>
        <v>6553.1361563788269</v>
      </c>
      <c r="M61" s="58">
        <f t="shared" si="29"/>
        <v>5897.8225407409445</v>
      </c>
      <c r="N61" s="57">
        <f t="shared" si="30"/>
        <v>0</v>
      </c>
      <c r="O61" s="59">
        <f t="shared" si="31"/>
        <v>5897.8225407409445</v>
      </c>
      <c r="P61" s="57">
        <f t="shared" si="46"/>
        <v>5242.5089251030622</v>
      </c>
      <c r="Q61" s="57">
        <f t="shared" si="49"/>
        <v>0</v>
      </c>
      <c r="R61" s="60">
        <f t="shared" si="50"/>
        <v>5242.5089251030622</v>
      </c>
      <c r="S61" s="58">
        <f t="shared" si="51"/>
        <v>4587.1953094651781</v>
      </c>
      <c r="T61" s="57">
        <f t="shared" si="52"/>
        <v>0</v>
      </c>
      <c r="U61" s="59">
        <f t="shared" si="53"/>
        <v>4587.1953094651781</v>
      </c>
      <c r="V61" s="58">
        <f t="shared" si="59"/>
        <v>3931.8816938272957</v>
      </c>
      <c r="W61" s="57">
        <f t="shared" si="54"/>
        <v>0</v>
      </c>
      <c r="X61" s="59">
        <f t="shared" si="55"/>
        <v>3931.8816938272957</v>
      </c>
      <c r="Y61" s="58">
        <f t="shared" si="56"/>
        <v>3276.5680781894134</v>
      </c>
      <c r="Z61" s="57">
        <f t="shared" si="57"/>
        <v>0</v>
      </c>
      <c r="AA61" s="59">
        <f t="shared" si="58"/>
        <v>3276.5680781894134</v>
      </c>
    </row>
    <row r="62" spans="1:27" ht="13.5" customHeight="1">
      <c r="A62" s="110">
        <v>5</v>
      </c>
      <c r="B62" s="50">
        <v>43891</v>
      </c>
      <c r="C62" s="61">
        <f>VLOOKUP(B62,'base(indices)'!$A$4:$C$183,3,FALSE)</f>
        <v>1045</v>
      </c>
      <c r="D62" s="87">
        <f>'base(indices)'!G126</f>
        <v>1.13146963</v>
      </c>
      <c r="E62" s="62">
        <f t="shared" si="47"/>
        <v>1182.3857633499999</v>
      </c>
      <c r="F62" s="307">
        <f>'base(indices)'!$I$147</f>
        <v>0.29920000000000002</v>
      </c>
      <c r="G62" s="63">
        <f t="shared" si="48"/>
        <v>353.76982039431999</v>
      </c>
      <c r="H62" s="146">
        <f t="shared" si="60"/>
        <v>6144.6223349772799</v>
      </c>
      <c r="I62" s="95">
        <f t="shared" si="62"/>
        <v>394.12858778333333</v>
      </c>
      <c r="J62" s="95">
        <f t="shared" si="61"/>
        <v>6538.7509227606133</v>
      </c>
      <c r="K62" s="43"/>
      <c r="L62" s="44">
        <f t="shared" si="28"/>
        <v>6538.7509227606133</v>
      </c>
      <c r="M62" s="45">
        <f t="shared" si="29"/>
        <v>5884.8758304845524</v>
      </c>
      <c r="N62" s="43">
        <f t="shared" si="30"/>
        <v>0</v>
      </c>
      <c r="O62" s="46">
        <f t="shared" si="31"/>
        <v>5884.8758304845524</v>
      </c>
      <c r="P62" s="66">
        <f t="shared" si="46"/>
        <v>5231.0007382084914</v>
      </c>
      <c r="Q62" s="43">
        <f t="shared" si="49"/>
        <v>0</v>
      </c>
      <c r="R62" s="47">
        <f t="shared" si="50"/>
        <v>5231.0007382084914</v>
      </c>
      <c r="S62" s="45">
        <f t="shared" si="51"/>
        <v>4577.1256459324286</v>
      </c>
      <c r="T62" s="43">
        <f t="shared" si="52"/>
        <v>0</v>
      </c>
      <c r="U62" s="46">
        <f t="shared" si="53"/>
        <v>4577.1256459324286</v>
      </c>
      <c r="V62" s="45">
        <f t="shared" si="59"/>
        <v>3923.2505536563676</v>
      </c>
      <c r="W62" s="43">
        <f t="shared" si="54"/>
        <v>0</v>
      </c>
      <c r="X62" s="46">
        <f t="shared" si="55"/>
        <v>3923.2505536563676</v>
      </c>
      <c r="Y62" s="45">
        <f t="shared" si="56"/>
        <v>3269.3754613803067</v>
      </c>
      <c r="Z62" s="43">
        <f t="shared" si="57"/>
        <v>0</v>
      </c>
      <c r="AA62" s="46">
        <f t="shared" si="58"/>
        <v>3269.3754613803067</v>
      </c>
    </row>
    <row r="63" spans="1:27" s="26" customFormat="1" ht="13.5" customHeight="1">
      <c r="A63" s="110">
        <v>5</v>
      </c>
      <c r="B63" s="50">
        <v>43922</v>
      </c>
      <c r="C63" s="61">
        <f>VLOOKUP(B63,'base(indices)'!$A$4:$C$183,3,FALSE)</f>
        <v>1045</v>
      </c>
      <c r="D63" s="87">
        <f>'base(indices)'!G127</f>
        <v>1.1312433799999999</v>
      </c>
      <c r="E63" s="52">
        <f t="shared" si="47"/>
        <v>1182.1493320999998</v>
      </c>
      <c r="F63" s="307">
        <f>'base(indices)'!$I$147</f>
        <v>0.29920000000000002</v>
      </c>
      <c r="G63" s="54">
        <f t="shared" si="48"/>
        <v>353.69908016431998</v>
      </c>
      <c r="H63" s="146">
        <f t="shared" si="60"/>
        <v>6143.3936490572796</v>
      </c>
      <c r="I63" s="94">
        <f t="shared" si="62"/>
        <v>394.0497773666666</v>
      </c>
      <c r="J63" s="94">
        <f t="shared" si="61"/>
        <v>6537.4434264239462</v>
      </c>
      <c r="K63" s="57"/>
      <c r="L63" s="67">
        <f t="shared" si="28"/>
        <v>6537.4434264239462</v>
      </c>
      <c r="M63" s="58">
        <f t="shared" si="29"/>
        <v>5883.699083781552</v>
      </c>
      <c r="N63" s="57">
        <f t="shared" ref="N63:N107" si="63">K63*M$10</f>
        <v>0</v>
      </c>
      <c r="O63" s="59">
        <f t="shared" ref="O63:O107" si="64">M63+N63</f>
        <v>5883.699083781552</v>
      </c>
      <c r="P63" s="57">
        <f t="shared" si="46"/>
        <v>5229.9547411391577</v>
      </c>
      <c r="Q63" s="57">
        <f t="shared" si="49"/>
        <v>0</v>
      </c>
      <c r="R63" s="60">
        <f t="shared" si="50"/>
        <v>5229.9547411391577</v>
      </c>
      <c r="S63" s="58">
        <f t="shared" si="51"/>
        <v>4576.2103984967616</v>
      </c>
      <c r="T63" s="57">
        <f t="shared" si="52"/>
        <v>0</v>
      </c>
      <c r="U63" s="59">
        <f t="shared" si="53"/>
        <v>4576.2103984967616</v>
      </c>
      <c r="V63" s="58">
        <f t="shared" si="59"/>
        <v>3922.4660558543674</v>
      </c>
      <c r="W63" s="57">
        <f t="shared" si="54"/>
        <v>0</v>
      </c>
      <c r="X63" s="59">
        <f t="shared" si="55"/>
        <v>3922.4660558543674</v>
      </c>
      <c r="Y63" s="58">
        <f t="shared" si="56"/>
        <v>3268.7217132119731</v>
      </c>
      <c r="Z63" s="57">
        <f t="shared" si="57"/>
        <v>0</v>
      </c>
      <c r="AA63" s="59">
        <f t="shared" si="58"/>
        <v>3268.7217132119731</v>
      </c>
    </row>
    <row r="64" spans="1:27" ht="13.5" customHeight="1">
      <c r="A64" s="110">
        <v>5</v>
      </c>
      <c r="B64" s="50">
        <v>43952</v>
      </c>
      <c r="C64" s="61">
        <f>VLOOKUP(B64,'base(indices)'!$A$4:$C$183,3,FALSE)</f>
        <v>1045</v>
      </c>
      <c r="D64" s="87">
        <f>'base(indices)'!G128</f>
        <v>1.13135652</v>
      </c>
      <c r="E64" s="62">
        <f t="shared" si="47"/>
        <v>1182.2675634</v>
      </c>
      <c r="F64" s="307">
        <f>'base(indices)'!$I$147</f>
        <v>0.29920000000000002</v>
      </c>
      <c r="G64" s="63">
        <f t="shared" si="48"/>
        <v>353.73445496928002</v>
      </c>
      <c r="H64" s="146">
        <f t="shared" si="60"/>
        <v>6144.00807347712</v>
      </c>
      <c r="I64" s="95">
        <f t="shared" si="62"/>
        <v>394.08918779999999</v>
      </c>
      <c r="J64" s="95">
        <f t="shared" si="61"/>
        <v>6538.0972612771202</v>
      </c>
      <c r="K64" s="43"/>
      <c r="L64" s="44">
        <f t="shared" ref="L64:L107" si="65">J64+K64</f>
        <v>6538.0972612771202</v>
      </c>
      <c r="M64" s="45">
        <f t="shared" ref="M64:M107" si="66">J64*M$10</f>
        <v>5884.2875351494085</v>
      </c>
      <c r="N64" s="43">
        <f t="shared" si="63"/>
        <v>0</v>
      </c>
      <c r="O64" s="46">
        <f t="shared" si="64"/>
        <v>5884.2875351494085</v>
      </c>
      <c r="P64" s="66">
        <f t="shared" si="46"/>
        <v>5230.4778090216969</v>
      </c>
      <c r="Q64" s="43">
        <f t="shared" si="49"/>
        <v>0</v>
      </c>
      <c r="R64" s="47">
        <f t="shared" si="50"/>
        <v>5230.4778090216969</v>
      </c>
      <c r="S64" s="45">
        <f t="shared" si="51"/>
        <v>4576.6680828939834</v>
      </c>
      <c r="T64" s="43">
        <f t="shared" si="52"/>
        <v>0</v>
      </c>
      <c r="U64" s="46">
        <f t="shared" si="53"/>
        <v>4576.6680828939834</v>
      </c>
      <c r="V64" s="45">
        <f t="shared" si="59"/>
        <v>3922.8583567662718</v>
      </c>
      <c r="W64" s="43">
        <f t="shared" si="54"/>
        <v>0</v>
      </c>
      <c r="X64" s="46">
        <f t="shared" si="55"/>
        <v>3922.8583567662718</v>
      </c>
      <c r="Y64" s="45">
        <f t="shared" si="56"/>
        <v>3269.0486306385601</v>
      </c>
      <c r="Z64" s="43">
        <f t="shared" si="57"/>
        <v>0</v>
      </c>
      <c r="AA64" s="46">
        <f t="shared" si="58"/>
        <v>3269.0486306385601</v>
      </c>
    </row>
    <row r="65" spans="1:27" s="26" customFormat="1" ht="13.5" customHeight="1">
      <c r="A65" s="110">
        <v>5</v>
      </c>
      <c r="B65" s="50">
        <v>43983</v>
      </c>
      <c r="C65" s="61">
        <f>VLOOKUP(B65,'base(indices)'!$A$4:$C$183,3,FALSE)</f>
        <v>1045</v>
      </c>
      <c r="D65" s="87">
        <f>'base(indices)'!G129</f>
        <v>1.1380711400000001</v>
      </c>
      <c r="E65" s="52">
        <f t="shared" si="47"/>
        <v>1189.2843413000001</v>
      </c>
      <c r="F65" s="307">
        <f>'base(indices)'!$I$147</f>
        <v>0.29920000000000002</v>
      </c>
      <c r="G65" s="54">
        <f t="shared" si="48"/>
        <v>355.83387491696004</v>
      </c>
      <c r="H65" s="146">
        <f t="shared" si="60"/>
        <v>6180.4728648678401</v>
      </c>
      <c r="I65" s="94">
        <f t="shared" si="62"/>
        <v>396.42811376666668</v>
      </c>
      <c r="J65" s="94">
        <f t="shared" si="61"/>
        <v>6576.9009786345068</v>
      </c>
      <c r="K65" s="57"/>
      <c r="L65" s="67">
        <f t="shared" si="65"/>
        <v>6576.9009786345068</v>
      </c>
      <c r="M65" s="58">
        <f t="shared" si="66"/>
        <v>5919.2108807710565</v>
      </c>
      <c r="N65" s="57">
        <f t="shared" si="63"/>
        <v>0</v>
      </c>
      <c r="O65" s="59">
        <f t="shared" si="64"/>
        <v>5919.2108807710565</v>
      </c>
      <c r="P65" s="57">
        <f>J65*$P$10</f>
        <v>5261.5207829076062</v>
      </c>
      <c r="Q65" s="57">
        <f t="shared" si="49"/>
        <v>0</v>
      </c>
      <c r="R65" s="60">
        <f t="shared" si="50"/>
        <v>5261.5207829076062</v>
      </c>
      <c r="S65" s="58">
        <f t="shared" si="51"/>
        <v>4603.8306850441541</v>
      </c>
      <c r="T65" s="57">
        <f t="shared" si="52"/>
        <v>0</v>
      </c>
      <c r="U65" s="59">
        <f t="shared" si="53"/>
        <v>4603.8306850441541</v>
      </c>
      <c r="V65" s="58">
        <f t="shared" si="59"/>
        <v>3946.1405871807037</v>
      </c>
      <c r="W65" s="57">
        <f t="shared" si="54"/>
        <v>0</v>
      </c>
      <c r="X65" s="59">
        <f t="shared" si="55"/>
        <v>3946.1405871807037</v>
      </c>
      <c r="Y65" s="58">
        <f t="shared" si="56"/>
        <v>3288.4504893172534</v>
      </c>
      <c r="Z65" s="57">
        <f t="shared" si="57"/>
        <v>0</v>
      </c>
      <c r="AA65" s="59">
        <f t="shared" si="58"/>
        <v>3288.4504893172534</v>
      </c>
    </row>
    <row r="66" spans="1:27" ht="13.5" customHeight="1">
      <c r="A66" s="110">
        <v>5</v>
      </c>
      <c r="B66" s="50">
        <v>44013</v>
      </c>
      <c r="C66" s="61">
        <f>VLOOKUP(B66,'base(indices)'!$A$4:$C$183,3,FALSE)</f>
        <v>1045</v>
      </c>
      <c r="D66" s="87">
        <f>'base(indices)'!G130</f>
        <v>1.13784357</v>
      </c>
      <c r="E66" s="62">
        <f t="shared" si="47"/>
        <v>1189.04653065</v>
      </c>
      <c r="F66" s="307">
        <f>'base(indices)'!$I$147</f>
        <v>0.29920000000000002</v>
      </c>
      <c r="G66" s="63">
        <f t="shared" si="48"/>
        <v>355.76272197048002</v>
      </c>
      <c r="H66" s="146">
        <f t="shared" si="60"/>
        <v>6179.2370104819202</v>
      </c>
      <c r="I66" s="95">
        <f t="shared" si="62"/>
        <v>396.34884355000003</v>
      </c>
      <c r="J66" s="95">
        <f t="shared" si="61"/>
        <v>6575.5858540319205</v>
      </c>
      <c r="K66" s="43"/>
      <c r="L66" s="44">
        <f t="shared" si="65"/>
        <v>6575.5858540319205</v>
      </c>
      <c r="M66" s="45">
        <f t="shared" si="66"/>
        <v>5918.027268628729</v>
      </c>
      <c r="N66" s="43">
        <f t="shared" si="63"/>
        <v>0</v>
      </c>
      <c r="O66" s="46">
        <f t="shared" si="64"/>
        <v>5918.027268628729</v>
      </c>
      <c r="P66" s="66">
        <f>J66*$P$10</f>
        <v>5260.4686832255366</v>
      </c>
      <c r="Q66" s="43">
        <f t="shared" si="49"/>
        <v>0</v>
      </c>
      <c r="R66" s="47">
        <f t="shared" si="50"/>
        <v>5260.4686832255366</v>
      </c>
      <c r="S66" s="45">
        <f t="shared" si="51"/>
        <v>4602.9100978223441</v>
      </c>
      <c r="T66" s="43">
        <f t="shared" si="52"/>
        <v>0</v>
      </c>
      <c r="U66" s="46">
        <f t="shared" si="53"/>
        <v>4602.9100978223441</v>
      </c>
      <c r="V66" s="45">
        <f t="shared" si="59"/>
        <v>3945.3515124191522</v>
      </c>
      <c r="W66" s="43">
        <f t="shared" si="54"/>
        <v>0</v>
      </c>
      <c r="X66" s="46">
        <f t="shared" si="55"/>
        <v>3945.3515124191522</v>
      </c>
      <c r="Y66" s="45">
        <f t="shared" si="56"/>
        <v>3287.7929270159602</v>
      </c>
      <c r="Z66" s="43">
        <f t="shared" si="57"/>
        <v>0</v>
      </c>
      <c r="AA66" s="46">
        <f t="shared" si="58"/>
        <v>3287.7929270159602</v>
      </c>
    </row>
    <row r="67" spans="1:27" s="26" customFormat="1" ht="13.5" customHeight="1">
      <c r="A67" s="110">
        <v>5</v>
      </c>
      <c r="B67" s="50">
        <v>44044</v>
      </c>
      <c r="C67" s="61">
        <f>VLOOKUP(B67,'base(indices)'!$A$4:$C$183,3,FALSE)</f>
        <v>1045</v>
      </c>
      <c r="D67" s="87">
        <f>'base(indices)'!G131</f>
        <v>1.1344402499999999</v>
      </c>
      <c r="E67" s="52">
        <f t="shared" si="47"/>
        <v>1185.4900612499998</v>
      </c>
      <c r="F67" s="307">
        <f>'base(indices)'!$I$147</f>
        <v>0.29920000000000002</v>
      </c>
      <c r="G67" s="54">
        <f t="shared" si="48"/>
        <v>354.69862632599995</v>
      </c>
      <c r="H67" s="146">
        <f t="shared" si="60"/>
        <v>6160.7547503039987</v>
      </c>
      <c r="I67" s="94">
        <f t="shared" si="62"/>
        <v>395.16335374999994</v>
      </c>
      <c r="J67" s="94">
        <f t="shared" si="61"/>
        <v>6555.9181040539988</v>
      </c>
      <c r="K67" s="57"/>
      <c r="L67" s="67">
        <f t="shared" si="65"/>
        <v>6555.9181040539988</v>
      </c>
      <c r="M67" s="58">
        <f t="shared" si="66"/>
        <v>5900.3262936485989</v>
      </c>
      <c r="N67" s="57">
        <f t="shared" si="63"/>
        <v>0</v>
      </c>
      <c r="O67" s="59">
        <f t="shared" si="64"/>
        <v>5900.3262936485989</v>
      </c>
      <c r="P67" s="57">
        <f t="shared" ref="P67:P107" si="67">J67*$P$10</f>
        <v>5244.7344832431991</v>
      </c>
      <c r="Q67" s="57">
        <f t="shared" si="49"/>
        <v>0</v>
      </c>
      <c r="R67" s="60">
        <f t="shared" si="50"/>
        <v>5244.7344832431991</v>
      </c>
      <c r="S67" s="58">
        <f t="shared" si="51"/>
        <v>4589.1426728377992</v>
      </c>
      <c r="T67" s="57">
        <f t="shared" si="52"/>
        <v>0</v>
      </c>
      <c r="U67" s="59">
        <f t="shared" si="53"/>
        <v>4589.1426728377992</v>
      </c>
      <c r="V67" s="58">
        <f t="shared" si="59"/>
        <v>3933.5508624323993</v>
      </c>
      <c r="W67" s="57">
        <f t="shared" si="54"/>
        <v>0</v>
      </c>
      <c r="X67" s="59">
        <f t="shared" si="55"/>
        <v>3933.5508624323993</v>
      </c>
      <c r="Y67" s="58">
        <f t="shared" si="56"/>
        <v>3277.9590520269994</v>
      </c>
      <c r="Z67" s="57">
        <f t="shared" si="57"/>
        <v>0</v>
      </c>
      <c r="AA67" s="59">
        <f t="shared" si="58"/>
        <v>3277.9590520269994</v>
      </c>
    </row>
    <row r="68" spans="1:27" ht="13.5" customHeight="1">
      <c r="A68" s="110">
        <v>5</v>
      </c>
      <c r="B68" s="50">
        <v>44075</v>
      </c>
      <c r="C68" s="61">
        <f>VLOOKUP(B68,'base(indices)'!$A$4:$C$183,3,FALSE)</f>
        <v>1045</v>
      </c>
      <c r="D68" s="87">
        <f>'base(indices)'!G132</f>
        <v>1.1318370200000001</v>
      </c>
      <c r="E68" s="62">
        <f t="shared" si="47"/>
        <v>1182.7696859</v>
      </c>
      <c r="F68" s="307">
        <f>'base(indices)'!$I$147</f>
        <v>0.29920000000000002</v>
      </c>
      <c r="G68" s="63">
        <f t="shared" si="48"/>
        <v>353.88469002128005</v>
      </c>
      <c r="H68" s="146">
        <f t="shared" si="60"/>
        <v>6146.61750368512</v>
      </c>
      <c r="I68" s="95">
        <f t="shared" si="62"/>
        <v>394.25656196666665</v>
      </c>
      <c r="J68" s="95">
        <f t="shared" si="61"/>
        <v>6540.8740656517866</v>
      </c>
      <c r="K68" s="43"/>
      <c r="L68" s="44">
        <f t="shared" si="65"/>
        <v>6540.8740656517866</v>
      </c>
      <c r="M68" s="45">
        <f t="shared" si="66"/>
        <v>5886.7866590866079</v>
      </c>
      <c r="N68" s="43">
        <f t="shared" si="63"/>
        <v>0</v>
      </c>
      <c r="O68" s="46">
        <f t="shared" si="64"/>
        <v>5886.7866590866079</v>
      </c>
      <c r="P68" s="66">
        <f t="shared" si="67"/>
        <v>5232.69925252143</v>
      </c>
      <c r="Q68" s="43">
        <f t="shared" si="49"/>
        <v>0</v>
      </c>
      <c r="R68" s="47">
        <f t="shared" si="50"/>
        <v>5232.69925252143</v>
      </c>
      <c r="S68" s="45">
        <f t="shared" si="51"/>
        <v>4578.6118459562504</v>
      </c>
      <c r="T68" s="43">
        <f t="shared" si="52"/>
        <v>0</v>
      </c>
      <c r="U68" s="46">
        <f t="shared" si="53"/>
        <v>4578.6118459562504</v>
      </c>
      <c r="V68" s="45">
        <f t="shared" si="59"/>
        <v>3924.5244393910716</v>
      </c>
      <c r="W68" s="43">
        <f t="shared" si="54"/>
        <v>0</v>
      </c>
      <c r="X68" s="46">
        <f t="shared" si="55"/>
        <v>3924.5244393910716</v>
      </c>
      <c r="Y68" s="45">
        <f t="shared" si="56"/>
        <v>3270.4370328258933</v>
      </c>
      <c r="Z68" s="43">
        <f t="shared" si="57"/>
        <v>0</v>
      </c>
      <c r="AA68" s="46">
        <f t="shared" si="58"/>
        <v>3270.4370328258933</v>
      </c>
    </row>
    <row r="69" spans="1:27" s="26" customFormat="1" ht="13.5" customHeight="1">
      <c r="A69" s="110">
        <v>5</v>
      </c>
      <c r="B69" s="50">
        <v>44105</v>
      </c>
      <c r="C69" s="61">
        <f>VLOOKUP(B69,'base(indices)'!$A$4:$C$183,3,FALSE)</f>
        <v>1045</v>
      </c>
      <c r="D69" s="87">
        <f>'base(indices)'!G133</f>
        <v>1.12676657</v>
      </c>
      <c r="E69" s="52">
        <f t="shared" si="47"/>
        <v>1177.4710656500001</v>
      </c>
      <c r="F69" s="307">
        <f>'base(indices)'!$I$147</f>
        <v>0.29920000000000002</v>
      </c>
      <c r="G69" s="54">
        <f t="shared" si="48"/>
        <v>352.29934284248009</v>
      </c>
      <c r="H69" s="146">
        <f t="shared" si="60"/>
        <v>6119.0816339699213</v>
      </c>
      <c r="I69" s="94">
        <f t="shared" si="62"/>
        <v>392.49035521666673</v>
      </c>
      <c r="J69" s="94">
        <f t="shared" si="61"/>
        <v>6511.5719891865883</v>
      </c>
      <c r="K69" s="57"/>
      <c r="L69" s="67">
        <f t="shared" si="65"/>
        <v>6511.5719891865883</v>
      </c>
      <c r="M69" s="58">
        <f t="shared" si="66"/>
        <v>5860.4147902679297</v>
      </c>
      <c r="N69" s="57">
        <f t="shared" si="63"/>
        <v>0</v>
      </c>
      <c r="O69" s="59">
        <f t="shared" si="64"/>
        <v>5860.4147902679297</v>
      </c>
      <c r="P69" s="57">
        <f t="shared" si="67"/>
        <v>5209.257591349271</v>
      </c>
      <c r="Q69" s="57">
        <f t="shared" si="49"/>
        <v>0</v>
      </c>
      <c r="R69" s="60">
        <f t="shared" si="50"/>
        <v>5209.257591349271</v>
      </c>
      <c r="S69" s="58">
        <f t="shared" si="51"/>
        <v>4558.1003924306115</v>
      </c>
      <c r="T69" s="57">
        <f t="shared" si="52"/>
        <v>0</v>
      </c>
      <c r="U69" s="59">
        <f t="shared" si="53"/>
        <v>4558.1003924306115</v>
      </c>
      <c r="V69" s="58">
        <f t="shared" si="59"/>
        <v>3906.9431935119528</v>
      </c>
      <c r="W69" s="57">
        <f t="shared" si="54"/>
        <v>0</v>
      </c>
      <c r="X69" s="59">
        <f t="shared" si="55"/>
        <v>3906.9431935119528</v>
      </c>
      <c r="Y69" s="58">
        <f t="shared" si="56"/>
        <v>3255.7859945932942</v>
      </c>
      <c r="Z69" s="57">
        <f t="shared" si="57"/>
        <v>0</v>
      </c>
      <c r="AA69" s="59">
        <f t="shared" si="58"/>
        <v>3255.7859945932942</v>
      </c>
    </row>
    <row r="70" spans="1:27" ht="13.5" customHeight="1">
      <c r="A70" s="110">
        <v>5</v>
      </c>
      <c r="B70" s="50">
        <v>44136</v>
      </c>
      <c r="C70" s="61">
        <f>VLOOKUP(B70,'base(indices)'!$A$4:$C$183,3,FALSE)</f>
        <v>1045</v>
      </c>
      <c r="D70" s="87">
        <f>'base(indices)'!G134</f>
        <v>1.1162736</v>
      </c>
      <c r="E70" s="62">
        <f t="shared" si="47"/>
        <v>1166.5059120000001</v>
      </c>
      <c r="F70" s="307">
        <f>'base(indices)'!$I$147</f>
        <v>0.29920000000000002</v>
      </c>
      <c r="G70" s="63">
        <f t="shared" si="48"/>
        <v>349.01856887040003</v>
      </c>
      <c r="H70" s="146">
        <f t="shared" si="60"/>
        <v>6062.0979234816004</v>
      </c>
      <c r="I70" s="95">
        <f t="shared" si="62"/>
        <v>388.83530400000001</v>
      </c>
      <c r="J70" s="95">
        <f t="shared" si="61"/>
        <v>6450.9332274816006</v>
      </c>
      <c r="K70" s="43"/>
      <c r="L70" s="44">
        <f t="shared" si="65"/>
        <v>6450.9332274816006</v>
      </c>
      <c r="M70" s="45">
        <f t="shared" si="66"/>
        <v>5805.8399047334406</v>
      </c>
      <c r="N70" s="43">
        <f t="shared" si="63"/>
        <v>0</v>
      </c>
      <c r="O70" s="46">
        <f t="shared" si="64"/>
        <v>5805.8399047334406</v>
      </c>
      <c r="P70" s="66">
        <f t="shared" si="67"/>
        <v>5160.7465819852805</v>
      </c>
      <c r="Q70" s="43">
        <f t="shared" si="49"/>
        <v>0</v>
      </c>
      <c r="R70" s="47">
        <f t="shared" si="50"/>
        <v>5160.7465819852805</v>
      </c>
      <c r="S70" s="45">
        <f t="shared" si="51"/>
        <v>4515.6532592371204</v>
      </c>
      <c r="T70" s="43">
        <f t="shared" si="52"/>
        <v>0</v>
      </c>
      <c r="U70" s="46">
        <f t="shared" si="53"/>
        <v>4515.6532592371204</v>
      </c>
      <c r="V70" s="45">
        <f t="shared" si="59"/>
        <v>3870.5599364889604</v>
      </c>
      <c r="W70" s="43">
        <f t="shared" si="54"/>
        <v>0</v>
      </c>
      <c r="X70" s="46">
        <f t="shared" si="55"/>
        <v>3870.5599364889604</v>
      </c>
      <c r="Y70" s="45">
        <f t="shared" si="56"/>
        <v>3225.4666137408003</v>
      </c>
      <c r="Z70" s="43">
        <f t="shared" si="57"/>
        <v>0</v>
      </c>
      <c r="AA70" s="46">
        <f t="shared" si="58"/>
        <v>3225.4666137408003</v>
      </c>
    </row>
    <row r="71" spans="1:27" s="26" customFormat="1" ht="13.5" customHeight="1" thickBot="1">
      <c r="A71" s="161">
        <v>5</v>
      </c>
      <c r="B71" s="68">
        <v>44166</v>
      </c>
      <c r="C71" s="69">
        <f>VLOOKUP(B71,'base(indices)'!$A$4:$C$183,3,FALSE)</f>
        <v>1045</v>
      </c>
      <c r="D71" s="242">
        <f>'base(indices)'!G135</f>
        <v>1.1073044400000001</v>
      </c>
      <c r="E71" s="321">
        <f t="shared" si="47"/>
        <v>1157.1331398</v>
      </c>
      <c r="F71" s="307">
        <f>'base(indices)'!$I$147</f>
        <v>0.29920000000000002</v>
      </c>
      <c r="G71" s="170">
        <f t="shared" si="48"/>
        <v>346.21423542816001</v>
      </c>
      <c r="H71" s="322">
        <f t="shared" si="60"/>
        <v>6013.38950091264</v>
      </c>
      <c r="I71" s="207">
        <f t="shared" si="62"/>
        <v>385.71104659999997</v>
      </c>
      <c r="J71" s="207">
        <f t="shared" si="61"/>
        <v>6399.1005475126403</v>
      </c>
      <c r="K71" s="282"/>
      <c r="L71" s="323">
        <f t="shared" si="65"/>
        <v>6399.1005475126403</v>
      </c>
      <c r="M71" s="285">
        <f t="shared" si="66"/>
        <v>5759.1904927613768</v>
      </c>
      <c r="N71" s="282">
        <f t="shared" si="63"/>
        <v>0</v>
      </c>
      <c r="O71" s="203">
        <f t="shared" si="64"/>
        <v>5759.1904927613768</v>
      </c>
      <c r="P71" s="282">
        <f t="shared" si="67"/>
        <v>5119.2804380101124</v>
      </c>
      <c r="Q71" s="282">
        <f t="shared" si="49"/>
        <v>0</v>
      </c>
      <c r="R71" s="289">
        <f t="shared" si="50"/>
        <v>5119.2804380101124</v>
      </c>
      <c r="S71" s="285">
        <f t="shared" si="51"/>
        <v>4479.3703832588481</v>
      </c>
      <c r="T71" s="282">
        <f t="shared" si="52"/>
        <v>0</v>
      </c>
      <c r="U71" s="203">
        <f t="shared" si="53"/>
        <v>4479.3703832588481</v>
      </c>
      <c r="V71" s="285">
        <f t="shared" si="59"/>
        <v>3839.4603285075841</v>
      </c>
      <c r="W71" s="282">
        <f t="shared" si="54"/>
        <v>0</v>
      </c>
      <c r="X71" s="203">
        <f t="shared" si="55"/>
        <v>3839.4603285075841</v>
      </c>
      <c r="Y71" s="285">
        <f t="shared" si="56"/>
        <v>3199.5502737563202</v>
      </c>
      <c r="Z71" s="282">
        <f t="shared" si="57"/>
        <v>0</v>
      </c>
      <c r="AA71" s="203">
        <f t="shared" si="58"/>
        <v>3199.5502737563202</v>
      </c>
    </row>
    <row r="72" spans="1:27" s="26" customFormat="1" ht="13.5" customHeight="1">
      <c r="A72" s="388">
        <v>5</v>
      </c>
      <c r="B72" s="246">
        <v>44197</v>
      </c>
      <c r="C72" s="120">
        <f>VLOOKUP(B72,'base(indices)'!$A$4:$C$183,3,FALSE)</f>
        <v>1100</v>
      </c>
      <c r="D72" s="241">
        <f>'base(indices)'!G136</f>
        <v>1.09569012</v>
      </c>
      <c r="E72" s="185">
        <f t="shared" si="47"/>
        <v>1205.2591319999999</v>
      </c>
      <c r="F72" s="371">
        <f>'base(indices)'!$I$147</f>
        <v>0.29920000000000002</v>
      </c>
      <c r="G72" s="186">
        <f t="shared" si="48"/>
        <v>360.61353229439999</v>
      </c>
      <c r="H72" s="372">
        <f t="shared" si="60"/>
        <v>6263.4906571775991</v>
      </c>
      <c r="I72" s="96">
        <f t="shared" si="62"/>
        <v>401.75304399999999</v>
      </c>
      <c r="J72" s="96">
        <f t="shared" si="61"/>
        <v>6665.2437011775992</v>
      </c>
      <c r="K72" s="138"/>
      <c r="L72" s="320">
        <f t="shared" si="65"/>
        <v>6665.2437011775992</v>
      </c>
      <c r="M72" s="48">
        <f t="shared" si="66"/>
        <v>5998.7193310598395</v>
      </c>
      <c r="N72" s="138">
        <f t="shared" si="63"/>
        <v>0</v>
      </c>
      <c r="O72" s="49">
        <f t="shared" si="64"/>
        <v>5998.7193310598395</v>
      </c>
      <c r="P72" s="114">
        <f t="shared" si="67"/>
        <v>5332.1949609420799</v>
      </c>
      <c r="Q72" s="138">
        <f t="shared" si="49"/>
        <v>0</v>
      </c>
      <c r="R72" s="139">
        <f t="shared" si="50"/>
        <v>5332.1949609420799</v>
      </c>
      <c r="S72" s="48">
        <f t="shared" si="51"/>
        <v>4665.6705908243193</v>
      </c>
      <c r="T72" s="138">
        <f t="shared" si="52"/>
        <v>0</v>
      </c>
      <c r="U72" s="49">
        <f t="shared" si="53"/>
        <v>4665.6705908243193</v>
      </c>
      <c r="V72" s="48">
        <f t="shared" si="59"/>
        <v>3999.1462207065592</v>
      </c>
      <c r="W72" s="138">
        <f t="shared" si="54"/>
        <v>0</v>
      </c>
      <c r="X72" s="49">
        <f t="shared" si="55"/>
        <v>3999.1462207065592</v>
      </c>
      <c r="Y72" s="48">
        <f t="shared" si="56"/>
        <v>3332.6218505887996</v>
      </c>
      <c r="Z72" s="138">
        <f t="shared" si="57"/>
        <v>0</v>
      </c>
      <c r="AA72" s="49">
        <f t="shared" si="58"/>
        <v>3332.6218505887996</v>
      </c>
    </row>
    <row r="73" spans="1:27" s="26" customFormat="1" ht="13.5" customHeight="1">
      <c r="A73" s="110">
        <v>5</v>
      </c>
      <c r="B73" s="50">
        <v>44228</v>
      </c>
      <c r="C73" s="61">
        <f>VLOOKUP(B73,'base(indices)'!$A$4:$C$183,3,FALSE)</f>
        <v>1100</v>
      </c>
      <c r="D73" s="87">
        <f>'base(indices)'!G137</f>
        <v>1.0872098800000001</v>
      </c>
      <c r="E73" s="52">
        <f t="shared" si="47"/>
        <v>1195.9308680000001</v>
      </c>
      <c r="F73" s="307">
        <f>'base(indices)'!$I$147</f>
        <v>0.29920000000000002</v>
      </c>
      <c r="G73" s="54">
        <f t="shared" si="48"/>
        <v>357.8225157056001</v>
      </c>
      <c r="H73" s="373">
        <f t="shared" si="60"/>
        <v>6215.0135348224012</v>
      </c>
      <c r="I73" s="94">
        <f t="shared" si="62"/>
        <v>398.64362266666672</v>
      </c>
      <c r="J73" s="94">
        <f t="shared" si="61"/>
        <v>6613.6571574890677</v>
      </c>
      <c r="K73" s="57"/>
      <c r="L73" s="67">
        <f t="shared" si="65"/>
        <v>6613.6571574890677</v>
      </c>
      <c r="M73" s="58">
        <f t="shared" si="66"/>
        <v>5952.2914417401607</v>
      </c>
      <c r="N73" s="57">
        <f t="shared" si="63"/>
        <v>0</v>
      </c>
      <c r="O73" s="59">
        <f t="shared" si="64"/>
        <v>5952.2914417401607</v>
      </c>
      <c r="P73" s="57">
        <f t="shared" si="67"/>
        <v>5290.9257259912547</v>
      </c>
      <c r="Q73" s="57">
        <f t="shared" si="49"/>
        <v>0</v>
      </c>
      <c r="R73" s="60">
        <f t="shared" si="50"/>
        <v>5290.9257259912547</v>
      </c>
      <c r="S73" s="58">
        <f t="shared" si="51"/>
        <v>4629.5600102423468</v>
      </c>
      <c r="T73" s="57">
        <f t="shared" si="52"/>
        <v>0</v>
      </c>
      <c r="U73" s="59">
        <f t="shared" si="53"/>
        <v>4629.5600102423468</v>
      </c>
      <c r="V73" s="58">
        <f t="shared" si="59"/>
        <v>3968.1942944934403</v>
      </c>
      <c r="W73" s="57">
        <f t="shared" si="54"/>
        <v>0</v>
      </c>
      <c r="X73" s="59">
        <f t="shared" si="55"/>
        <v>3968.1942944934403</v>
      </c>
      <c r="Y73" s="58">
        <f t="shared" si="56"/>
        <v>3306.8285787445338</v>
      </c>
      <c r="Z73" s="57">
        <f t="shared" si="57"/>
        <v>0</v>
      </c>
      <c r="AA73" s="59">
        <f t="shared" si="58"/>
        <v>3306.8285787445338</v>
      </c>
    </row>
    <row r="74" spans="1:27" s="26" customFormat="1" ht="13.5" customHeight="1">
      <c r="A74" s="110">
        <v>5</v>
      </c>
      <c r="B74" s="50">
        <v>44256</v>
      </c>
      <c r="C74" s="61">
        <f>VLOOKUP(B74,'base(indices)'!$A$4:$C$183,3,FALSE)</f>
        <v>1100</v>
      </c>
      <c r="D74" s="87">
        <f>'base(indices)'!G138</f>
        <v>1.0820162099999999</v>
      </c>
      <c r="E74" s="52">
        <f t="shared" si="47"/>
        <v>1190.2178309999999</v>
      </c>
      <c r="F74" s="307">
        <f>'base(indices)'!$I$147</f>
        <v>0.29920000000000002</v>
      </c>
      <c r="G74" s="54">
        <f t="shared" si="48"/>
        <v>356.11317503520002</v>
      </c>
      <c r="H74" s="373">
        <f t="shared" si="60"/>
        <v>6185.3240241408002</v>
      </c>
      <c r="I74" s="95">
        <f t="shared" si="62"/>
        <v>396.73927699999996</v>
      </c>
      <c r="J74" s="95">
        <f t="shared" si="61"/>
        <v>6582.0633011407999</v>
      </c>
      <c r="K74" s="43"/>
      <c r="L74" s="44">
        <f t="shared" si="65"/>
        <v>6582.0633011407999</v>
      </c>
      <c r="M74" s="45">
        <f t="shared" si="66"/>
        <v>5923.8569710267202</v>
      </c>
      <c r="N74" s="43">
        <f t="shared" si="63"/>
        <v>0</v>
      </c>
      <c r="O74" s="46">
        <f t="shared" si="64"/>
        <v>5923.8569710267202</v>
      </c>
      <c r="P74" s="66">
        <f t="shared" si="67"/>
        <v>5265.6506409126405</v>
      </c>
      <c r="Q74" s="43">
        <f t="shared" si="49"/>
        <v>0</v>
      </c>
      <c r="R74" s="47">
        <f t="shared" si="50"/>
        <v>5265.6506409126405</v>
      </c>
      <c r="S74" s="45">
        <f t="shared" si="51"/>
        <v>4607.4443107985599</v>
      </c>
      <c r="T74" s="43">
        <f t="shared" si="52"/>
        <v>0</v>
      </c>
      <c r="U74" s="46">
        <f t="shared" si="53"/>
        <v>4607.4443107985599</v>
      </c>
      <c r="V74" s="45">
        <f t="shared" si="59"/>
        <v>3949.2379806844797</v>
      </c>
      <c r="W74" s="43">
        <f t="shared" si="54"/>
        <v>0</v>
      </c>
      <c r="X74" s="46">
        <f t="shared" si="55"/>
        <v>3949.2379806844797</v>
      </c>
      <c r="Y74" s="45">
        <f t="shared" si="56"/>
        <v>3291.0316505704</v>
      </c>
      <c r="Z74" s="43">
        <f t="shared" si="57"/>
        <v>0</v>
      </c>
      <c r="AA74" s="46">
        <f t="shared" si="58"/>
        <v>3291.0316505704</v>
      </c>
    </row>
    <row r="75" spans="1:27" s="26" customFormat="1" ht="13.5" customHeight="1">
      <c r="A75" s="110">
        <v>5</v>
      </c>
      <c r="B75" s="50">
        <v>44287</v>
      </c>
      <c r="C75" s="61">
        <f>VLOOKUP(B75,'base(indices)'!$A$4:$C$183,3,FALSE)</f>
        <v>1100</v>
      </c>
      <c r="D75" s="87">
        <f>'base(indices)'!G139</f>
        <v>1.0720461800000001</v>
      </c>
      <c r="E75" s="52">
        <f t="shared" si="47"/>
        <v>1179.250798</v>
      </c>
      <c r="F75" s="307">
        <f>'base(indices)'!$I$147</f>
        <v>0.29920000000000002</v>
      </c>
      <c r="G75" s="54">
        <f t="shared" si="48"/>
        <v>352.83183876160001</v>
      </c>
      <c r="H75" s="373">
        <f t="shared" si="60"/>
        <v>6128.3305470464002</v>
      </c>
      <c r="I75" s="94">
        <f t="shared" si="62"/>
        <v>393.08359933333332</v>
      </c>
      <c r="J75" s="94">
        <f t="shared" si="61"/>
        <v>6521.4141463797332</v>
      </c>
      <c r="K75" s="57"/>
      <c r="L75" s="67">
        <f t="shared" si="65"/>
        <v>6521.4141463797332</v>
      </c>
      <c r="M75" s="58">
        <f t="shared" si="66"/>
        <v>5869.2727317417603</v>
      </c>
      <c r="N75" s="57">
        <f t="shared" si="63"/>
        <v>0</v>
      </c>
      <c r="O75" s="59">
        <f t="shared" si="64"/>
        <v>5869.2727317417603</v>
      </c>
      <c r="P75" s="57">
        <f t="shared" si="67"/>
        <v>5217.1313171037873</v>
      </c>
      <c r="Q75" s="57">
        <f t="shared" si="49"/>
        <v>0</v>
      </c>
      <c r="R75" s="60">
        <f t="shared" si="50"/>
        <v>5217.1313171037873</v>
      </c>
      <c r="S75" s="58">
        <f t="shared" si="51"/>
        <v>4564.9899024658125</v>
      </c>
      <c r="T75" s="57">
        <f t="shared" si="52"/>
        <v>0</v>
      </c>
      <c r="U75" s="59">
        <f t="shared" si="53"/>
        <v>4564.9899024658125</v>
      </c>
      <c r="V75" s="58">
        <f t="shared" si="59"/>
        <v>3912.8484878278396</v>
      </c>
      <c r="W75" s="57">
        <f t="shared" si="54"/>
        <v>0</v>
      </c>
      <c r="X75" s="59">
        <f t="shared" si="55"/>
        <v>3912.8484878278396</v>
      </c>
      <c r="Y75" s="58">
        <f t="shared" si="56"/>
        <v>3260.7070731898666</v>
      </c>
      <c r="Z75" s="57">
        <f t="shared" si="57"/>
        <v>0</v>
      </c>
      <c r="AA75" s="59">
        <f t="shared" si="58"/>
        <v>3260.7070731898666</v>
      </c>
    </row>
    <row r="76" spans="1:27" s="26" customFormat="1" ht="13.5" customHeight="1">
      <c r="A76" s="110">
        <v>5</v>
      </c>
      <c r="B76" s="50">
        <v>44317</v>
      </c>
      <c r="C76" s="61">
        <f>VLOOKUP(B76,'base(indices)'!$A$4:$C$183,3,FALSE)</f>
        <v>1100</v>
      </c>
      <c r="D76" s="87">
        <f>'base(indices)'!G140</f>
        <v>1.06565226</v>
      </c>
      <c r="E76" s="52">
        <f t="shared" si="47"/>
        <v>1172.217486</v>
      </c>
      <c r="F76" s="307">
        <f>'base(indices)'!$I$147</f>
        <v>0.29920000000000002</v>
      </c>
      <c r="G76" s="54">
        <f t="shared" si="48"/>
        <v>350.72747181120002</v>
      </c>
      <c r="H76" s="373">
        <f t="shared" si="60"/>
        <v>6091.7798312448003</v>
      </c>
      <c r="I76" s="95">
        <f t="shared" si="62"/>
        <v>390.73916200000002</v>
      </c>
      <c r="J76" s="95">
        <f t="shared" si="61"/>
        <v>6482.5189932448002</v>
      </c>
      <c r="K76" s="43"/>
      <c r="L76" s="44">
        <f t="shared" si="65"/>
        <v>6482.5189932448002</v>
      </c>
      <c r="M76" s="45">
        <f t="shared" si="66"/>
        <v>5834.2670939203199</v>
      </c>
      <c r="N76" s="43">
        <f t="shared" si="63"/>
        <v>0</v>
      </c>
      <c r="O76" s="46">
        <f t="shared" si="64"/>
        <v>5834.2670939203199</v>
      </c>
      <c r="P76" s="66">
        <f t="shared" si="67"/>
        <v>5186.0151945958405</v>
      </c>
      <c r="Q76" s="43">
        <f t="shared" si="49"/>
        <v>0</v>
      </c>
      <c r="R76" s="47">
        <f t="shared" si="50"/>
        <v>5186.0151945958405</v>
      </c>
      <c r="S76" s="45">
        <f t="shared" si="51"/>
        <v>4537.7632952713602</v>
      </c>
      <c r="T76" s="43">
        <f t="shared" si="52"/>
        <v>0</v>
      </c>
      <c r="U76" s="46">
        <f t="shared" si="53"/>
        <v>4537.7632952713602</v>
      </c>
      <c r="V76" s="45">
        <f t="shared" si="59"/>
        <v>3889.5113959468799</v>
      </c>
      <c r="W76" s="43">
        <f t="shared" si="54"/>
        <v>0</v>
      </c>
      <c r="X76" s="46">
        <f t="shared" si="55"/>
        <v>3889.5113959468799</v>
      </c>
      <c r="Y76" s="45">
        <f t="shared" si="56"/>
        <v>3241.2594966224001</v>
      </c>
      <c r="Z76" s="43">
        <f t="shared" si="57"/>
        <v>0</v>
      </c>
      <c r="AA76" s="46">
        <f t="shared" si="58"/>
        <v>3241.2594966224001</v>
      </c>
    </row>
    <row r="77" spans="1:27" s="26" customFormat="1" ht="13.5" customHeight="1">
      <c r="A77" s="110">
        <v>5</v>
      </c>
      <c r="B77" s="50">
        <v>44348</v>
      </c>
      <c r="C77" s="61">
        <f>VLOOKUP(B77,'base(indices)'!$A$4:$C$183,3,FALSE)</f>
        <v>1100</v>
      </c>
      <c r="D77" s="87">
        <f>'base(indices)'!G141</f>
        <v>1.0609839299999999</v>
      </c>
      <c r="E77" s="52">
        <f t="shared" si="47"/>
        <v>1167.0823229999999</v>
      </c>
      <c r="F77" s="307">
        <f>'base(indices)'!$I$147</f>
        <v>0.29920000000000002</v>
      </c>
      <c r="G77" s="54">
        <f t="shared" si="48"/>
        <v>349.19103104159996</v>
      </c>
      <c r="H77" s="373">
        <f t="shared" si="60"/>
        <v>6065.093416166399</v>
      </c>
      <c r="I77" s="94">
        <f t="shared" si="62"/>
        <v>389.02744099999995</v>
      </c>
      <c r="J77" s="94">
        <f t="shared" si="61"/>
        <v>6454.1208571663992</v>
      </c>
      <c r="K77" s="57"/>
      <c r="L77" s="67">
        <f t="shared" si="65"/>
        <v>6454.1208571663992</v>
      </c>
      <c r="M77" s="58">
        <f t="shared" si="66"/>
        <v>5808.7087714497593</v>
      </c>
      <c r="N77" s="57">
        <f t="shared" si="63"/>
        <v>0</v>
      </c>
      <c r="O77" s="59">
        <f t="shared" si="64"/>
        <v>5808.7087714497593</v>
      </c>
      <c r="P77" s="57">
        <f t="shared" si="67"/>
        <v>5163.2966857331194</v>
      </c>
      <c r="Q77" s="57">
        <f t="shared" si="49"/>
        <v>0</v>
      </c>
      <c r="R77" s="60">
        <f t="shared" si="50"/>
        <v>5163.2966857331194</v>
      </c>
      <c r="S77" s="58">
        <f t="shared" si="51"/>
        <v>4517.8846000164795</v>
      </c>
      <c r="T77" s="57">
        <f t="shared" si="52"/>
        <v>0</v>
      </c>
      <c r="U77" s="59">
        <f t="shared" si="53"/>
        <v>4517.8846000164795</v>
      </c>
      <c r="V77" s="58">
        <f t="shared" si="59"/>
        <v>3872.4725142998395</v>
      </c>
      <c r="W77" s="57">
        <f t="shared" si="54"/>
        <v>0</v>
      </c>
      <c r="X77" s="59">
        <f t="shared" si="55"/>
        <v>3872.4725142998395</v>
      </c>
      <c r="Y77" s="58">
        <f t="shared" si="56"/>
        <v>3227.0604285831996</v>
      </c>
      <c r="Z77" s="57">
        <f t="shared" si="57"/>
        <v>0</v>
      </c>
      <c r="AA77" s="59">
        <f t="shared" si="58"/>
        <v>3227.0604285831996</v>
      </c>
    </row>
    <row r="78" spans="1:27" s="26" customFormat="1" ht="13.5" customHeight="1">
      <c r="A78" s="110">
        <v>5</v>
      </c>
      <c r="B78" s="50">
        <v>44378</v>
      </c>
      <c r="C78" s="61">
        <f>VLOOKUP(B78,'base(indices)'!$A$4:$C$183,3,FALSE)</f>
        <v>1100</v>
      </c>
      <c r="D78" s="87">
        <f>'base(indices)'!G142</f>
        <v>1.0522502600000001</v>
      </c>
      <c r="E78" s="52">
        <f t="shared" si="47"/>
        <v>1157.4752860000001</v>
      </c>
      <c r="F78" s="307">
        <f>'base(indices)'!$I$147</f>
        <v>0.29920000000000002</v>
      </c>
      <c r="G78" s="54">
        <f t="shared" si="48"/>
        <v>346.31660557120006</v>
      </c>
      <c r="H78" s="373">
        <f t="shared" si="60"/>
        <v>6015.1675662848011</v>
      </c>
      <c r="I78" s="95">
        <f t="shared" si="62"/>
        <v>385.82509533333337</v>
      </c>
      <c r="J78" s="95">
        <f t="shared" si="61"/>
        <v>6400.9926616181347</v>
      </c>
      <c r="K78" s="43"/>
      <c r="L78" s="44">
        <f t="shared" si="65"/>
        <v>6400.9926616181347</v>
      </c>
      <c r="M78" s="45">
        <f t="shared" si="66"/>
        <v>5760.8933954563217</v>
      </c>
      <c r="N78" s="43">
        <f t="shared" si="63"/>
        <v>0</v>
      </c>
      <c r="O78" s="46">
        <f t="shared" si="64"/>
        <v>5760.8933954563217</v>
      </c>
      <c r="P78" s="66">
        <f t="shared" si="67"/>
        <v>5120.7941292945079</v>
      </c>
      <c r="Q78" s="43">
        <f t="shared" si="49"/>
        <v>0</v>
      </c>
      <c r="R78" s="47">
        <f t="shared" si="50"/>
        <v>5120.7941292945079</v>
      </c>
      <c r="S78" s="45">
        <f t="shared" si="51"/>
        <v>4480.6948631326941</v>
      </c>
      <c r="T78" s="43">
        <f t="shared" si="52"/>
        <v>0</v>
      </c>
      <c r="U78" s="46">
        <f t="shared" si="53"/>
        <v>4480.6948631326941</v>
      </c>
      <c r="V78" s="45">
        <f t="shared" si="59"/>
        <v>3840.5955969708807</v>
      </c>
      <c r="W78" s="43">
        <f t="shared" si="54"/>
        <v>0</v>
      </c>
      <c r="X78" s="46">
        <f t="shared" si="55"/>
        <v>3840.5955969708807</v>
      </c>
      <c r="Y78" s="45">
        <f t="shared" si="56"/>
        <v>3200.4963308090673</v>
      </c>
      <c r="Z78" s="43">
        <f t="shared" si="57"/>
        <v>0</v>
      </c>
      <c r="AA78" s="46">
        <f t="shared" si="58"/>
        <v>3200.4963308090673</v>
      </c>
    </row>
    <row r="79" spans="1:27" s="26" customFormat="1" ht="13.5" customHeight="1">
      <c r="A79" s="110">
        <v>5</v>
      </c>
      <c r="B79" s="50">
        <v>44409</v>
      </c>
      <c r="C79" s="61">
        <f>VLOOKUP(B79,'base(indices)'!$A$4:$C$183,3,FALSE)</f>
        <v>1100</v>
      </c>
      <c r="D79" s="87">
        <f>'base(indices)'!G143</f>
        <v>1.0447282099999999</v>
      </c>
      <c r="E79" s="52">
        <f t="shared" si="47"/>
        <v>1149.2010309999998</v>
      </c>
      <c r="F79" s="307">
        <f>'base(indices)'!$I$147</f>
        <v>0.29920000000000002</v>
      </c>
      <c r="G79" s="54">
        <f t="shared" si="48"/>
        <v>343.84094847519998</v>
      </c>
      <c r="H79" s="373">
        <f t="shared" si="60"/>
        <v>5972.1679179007988</v>
      </c>
      <c r="I79" s="94">
        <f t="shared" si="62"/>
        <v>383.06701033333326</v>
      </c>
      <c r="J79" s="94">
        <f t="shared" si="61"/>
        <v>6355.234928234132</v>
      </c>
      <c r="K79" s="57"/>
      <c r="L79" s="67">
        <f t="shared" si="65"/>
        <v>6355.234928234132</v>
      </c>
      <c r="M79" s="58">
        <f t="shared" si="66"/>
        <v>5719.7114354107189</v>
      </c>
      <c r="N79" s="57">
        <f t="shared" si="63"/>
        <v>0</v>
      </c>
      <c r="O79" s="59">
        <f t="shared" si="64"/>
        <v>5719.7114354107189</v>
      </c>
      <c r="P79" s="57">
        <f t="shared" si="67"/>
        <v>5084.1879425873058</v>
      </c>
      <c r="Q79" s="57">
        <f t="shared" si="49"/>
        <v>0</v>
      </c>
      <c r="R79" s="60">
        <f t="shared" si="50"/>
        <v>5084.1879425873058</v>
      </c>
      <c r="S79" s="58">
        <f t="shared" si="51"/>
        <v>4448.6644497638918</v>
      </c>
      <c r="T79" s="57">
        <f t="shared" si="52"/>
        <v>0</v>
      </c>
      <c r="U79" s="59">
        <f t="shared" si="53"/>
        <v>4448.6644497638918</v>
      </c>
      <c r="V79" s="58">
        <f t="shared" si="59"/>
        <v>3813.1409569404791</v>
      </c>
      <c r="W79" s="57">
        <f t="shared" si="54"/>
        <v>0</v>
      </c>
      <c r="X79" s="59">
        <f t="shared" si="55"/>
        <v>3813.1409569404791</v>
      </c>
      <c r="Y79" s="58">
        <f t="shared" si="56"/>
        <v>3177.617464117066</v>
      </c>
      <c r="Z79" s="57">
        <f t="shared" si="57"/>
        <v>0</v>
      </c>
      <c r="AA79" s="59">
        <f t="shared" si="58"/>
        <v>3177.617464117066</v>
      </c>
    </row>
    <row r="80" spans="1:27" s="26" customFormat="1" ht="13.5" customHeight="1">
      <c r="A80" s="110">
        <v>5</v>
      </c>
      <c r="B80" s="50">
        <v>44440</v>
      </c>
      <c r="C80" s="61">
        <f>VLOOKUP(B80,'base(indices)'!$A$4:$C$183,3,FALSE)</f>
        <v>1100</v>
      </c>
      <c r="D80" s="87">
        <f>'base(indices)'!G144</f>
        <v>1.0355121599999999</v>
      </c>
      <c r="E80" s="52">
        <f t="shared" si="47"/>
        <v>1139.0633759999998</v>
      </c>
      <c r="F80" s="307">
        <f>'base(indices)'!$I$147</f>
        <v>0.29920000000000002</v>
      </c>
      <c r="G80" s="54">
        <f t="shared" si="48"/>
        <v>340.80776209919998</v>
      </c>
      <c r="H80" s="373">
        <f t="shared" si="60"/>
        <v>5919.4845523967997</v>
      </c>
      <c r="I80" s="95">
        <f t="shared" si="62"/>
        <v>379.68779199999994</v>
      </c>
      <c r="J80" s="95">
        <f t="shared" si="61"/>
        <v>6299.1723443967994</v>
      </c>
      <c r="K80" s="43"/>
      <c r="L80" s="44">
        <f t="shared" si="65"/>
        <v>6299.1723443967994</v>
      </c>
      <c r="M80" s="45">
        <f t="shared" si="66"/>
        <v>5669.2551099571192</v>
      </c>
      <c r="N80" s="43">
        <f t="shared" si="63"/>
        <v>0</v>
      </c>
      <c r="O80" s="46">
        <f t="shared" si="64"/>
        <v>5669.2551099571192</v>
      </c>
      <c r="P80" s="66">
        <f t="shared" si="67"/>
        <v>5039.3378755174399</v>
      </c>
      <c r="Q80" s="43">
        <f t="shared" si="49"/>
        <v>0</v>
      </c>
      <c r="R80" s="47">
        <f t="shared" si="50"/>
        <v>5039.3378755174399</v>
      </c>
      <c r="S80" s="45">
        <f t="shared" si="51"/>
        <v>4409.4206410777597</v>
      </c>
      <c r="T80" s="43">
        <f t="shared" si="52"/>
        <v>0</v>
      </c>
      <c r="U80" s="46">
        <f t="shared" si="53"/>
        <v>4409.4206410777597</v>
      </c>
      <c r="V80" s="45">
        <f t="shared" si="59"/>
        <v>3779.5034066380795</v>
      </c>
      <c r="W80" s="43">
        <f t="shared" si="54"/>
        <v>0</v>
      </c>
      <c r="X80" s="46">
        <f t="shared" si="55"/>
        <v>3779.5034066380795</v>
      </c>
      <c r="Y80" s="45">
        <f t="shared" si="56"/>
        <v>3149.5861721983997</v>
      </c>
      <c r="Z80" s="43">
        <f t="shared" si="57"/>
        <v>0</v>
      </c>
      <c r="AA80" s="46">
        <f t="shared" si="58"/>
        <v>3149.5861721983997</v>
      </c>
    </row>
    <row r="81" spans="1:27" s="26" customFormat="1" ht="13.5" customHeight="1">
      <c r="A81" s="110">
        <v>5</v>
      </c>
      <c r="B81" s="50">
        <v>44470</v>
      </c>
      <c r="C81" s="61">
        <f>VLOOKUP(B81,'base(indices)'!$A$4:$C$183,3,FALSE)</f>
        <v>1100</v>
      </c>
      <c r="D81" s="87">
        <f>'base(indices)'!G145</f>
        <v>1.02384038</v>
      </c>
      <c r="E81" s="52">
        <f t="shared" si="47"/>
        <v>1126.224418</v>
      </c>
      <c r="F81" s="307">
        <f>'base(indices)'!$I$147</f>
        <v>0.29920000000000002</v>
      </c>
      <c r="G81" s="54">
        <f t="shared" si="48"/>
        <v>336.96634586560003</v>
      </c>
      <c r="H81" s="373">
        <f t="shared" si="60"/>
        <v>5852.7630554624002</v>
      </c>
      <c r="I81" s="94">
        <f t="shared" si="62"/>
        <v>375.40813933333334</v>
      </c>
      <c r="J81" s="94">
        <f t="shared" si="61"/>
        <v>6228.1711947957338</v>
      </c>
      <c r="K81" s="57"/>
      <c r="L81" s="67">
        <f t="shared" si="65"/>
        <v>6228.1711947957338</v>
      </c>
      <c r="M81" s="58">
        <f t="shared" si="66"/>
        <v>5605.3540753161606</v>
      </c>
      <c r="N81" s="57">
        <f t="shared" si="63"/>
        <v>0</v>
      </c>
      <c r="O81" s="59">
        <f t="shared" si="64"/>
        <v>5605.3540753161606</v>
      </c>
      <c r="P81" s="57">
        <f t="shared" si="67"/>
        <v>4982.5369558365874</v>
      </c>
      <c r="Q81" s="57">
        <f t="shared" si="49"/>
        <v>0</v>
      </c>
      <c r="R81" s="60">
        <f t="shared" si="50"/>
        <v>4982.5369558365874</v>
      </c>
      <c r="S81" s="58">
        <f t="shared" si="51"/>
        <v>4359.7198363570133</v>
      </c>
      <c r="T81" s="57">
        <f t="shared" si="52"/>
        <v>0</v>
      </c>
      <c r="U81" s="59">
        <f t="shared" si="53"/>
        <v>4359.7198363570133</v>
      </c>
      <c r="V81" s="58">
        <f t="shared" si="59"/>
        <v>3736.9027168774401</v>
      </c>
      <c r="W81" s="57">
        <f t="shared" si="54"/>
        <v>0</v>
      </c>
      <c r="X81" s="59">
        <f t="shared" si="55"/>
        <v>3736.9027168774401</v>
      </c>
      <c r="Y81" s="58">
        <f t="shared" si="56"/>
        <v>3114.0855973978669</v>
      </c>
      <c r="Z81" s="57">
        <f t="shared" si="57"/>
        <v>0</v>
      </c>
      <c r="AA81" s="59">
        <f t="shared" si="58"/>
        <v>3114.0855973978669</v>
      </c>
    </row>
    <row r="82" spans="1:27" s="26" customFormat="1" ht="13.5" customHeight="1">
      <c r="A82" s="110">
        <v>5</v>
      </c>
      <c r="B82" s="50">
        <v>44501</v>
      </c>
      <c r="C82" s="61">
        <f>VLOOKUP(B82,'base(indices)'!$A$4:$C$183,3,FALSE)</f>
        <v>1100</v>
      </c>
      <c r="D82" s="87">
        <f>'base(indices)'!G146</f>
        <v>1.0116999799999999</v>
      </c>
      <c r="E82" s="52">
        <f t="shared" si="47"/>
        <v>1112.8699779999999</v>
      </c>
      <c r="F82" s="307">
        <f>'base(indices)'!$I$147</f>
        <v>0.29920000000000002</v>
      </c>
      <c r="G82" s="54">
        <f t="shared" si="48"/>
        <v>332.97069741760004</v>
      </c>
      <c r="H82" s="373">
        <f t="shared" si="60"/>
        <v>5783.3627016703995</v>
      </c>
      <c r="I82" s="95">
        <f t="shared" si="62"/>
        <v>370.95665933333333</v>
      </c>
      <c r="J82" s="95">
        <f t="shared" si="61"/>
        <v>6154.3193610037324</v>
      </c>
      <c r="K82" s="43"/>
      <c r="L82" s="44">
        <f t="shared" si="65"/>
        <v>6154.3193610037324</v>
      </c>
      <c r="M82" s="45">
        <f t="shared" si="66"/>
        <v>5538.8874249033597</v>
      </c>
      <c r="N82" s="43">
        <f t="shared" si="63"/>
        <v>0</v>
      </c>
      <c r="O82" s="46">
        <f t="shared" si="64"/>
        <v>5538.8874249033597</v>
      </c>
      <c r="P82" s="66">
        <f t="shared" si="67"/>
        <v>4923.4554888029861</v>
      </c>
      <c r="Q82" s="43">
        <f t="shared" si="49"/>
        <v>0</v>
      </c>
      <c r="R82" s="47">
        <f t="shared" si="50"/>
        <v>4923.4554888029861</v>
      </c>
      <c r="S82" s="45">
        <f t="shared" si="51"/>
        <v>4308.0235527026125</v>
      </c>
      <c r="T82" s="43">
        <f t="shared" si="52"/>
        <v>0</v>
      </c>
      <c r="U82" s="46">
        <f t="shared" si="53"/>
        <v>4308.0235527026125</v>
      </c>
      <c r="V82" s="45">
        <f t="shared" si="59"/>
        <v>3692.5916166022394</v>
      </c>
      <c r="W82" s="43">
        <f t="shared" si="54"/>
        <v>0</v>
      </c>
      <c r="X82" s="46">
        <f t="shared" si="55"/>
        <v>3692.5916166022394</v>
      </c>
      <c r="Y82" s="45">
        <f t="shared" si="56"/>
        <v>3077.1596805018662</v>
      </c>
      <c r="Z82" s="43">
        <f t="shared" si="57"/>
        <v>0</v>
      </c>
      <c r="AA82" s="46">
        <f t="shared" si="58"/>
        <v>3077.1596805018662</v>
      </c>
    </row>
    <row r="83" spans="1:27" s="26" customFormat="1" ht="13.5" customHeight="1" thickBot="1">
      <c r="A83" s="110">
        <v>5</v>
      </c>
      <c r="B83" s="247">
        <v>44531</v>
      </c>
      <c r="C83" s="69">
        <f>VLOOKUP(B83,'base(indices)'!$A$4:$C$183,3,FALSE)</f>
        <v>1100</v>
      </c>
      <c r="D83" s="242">
        <f>'base(indices)'!G147</f>
        <v>0.99999998000000001</v>
      </c>
      <c r="E83" s="182">
        <f t="shared" si="47"/>
        <v>1099.9999780000001</v>
      </c>
      <c r="F83" s="304">
        <f>'base(indices)'!$I$147</f>
        <v>0.29920000000000002</v>
      </c>
      <c r="G83" s="163">
        <f t="shared" si="48"/>
        <v>329.11999341760003</v>
      </c>
      <c r="H83" s="374">
        <f t="shared" si="60"/>
        <v>5716.4798856704001</v>
      </c>
      <c r="I83" s="111">
        <f t="shared" si="62"/>
        <v>366.66665933333337</v>
      </c>
      <c r="J83" s="111">
        <f t="shared" si="61"/>
        <v>6083.1465450037331</v>
      </c>
      <c r="K83" s="85"/>
      <c r="L83" s="184">
        <f t="shared" si="65"/>
        <v>6083.1465450037331</v>
      </c>
      <c r="M83" s="175">
        <f t="shared" si="66"/>
        <v>5474.8318905033602</v>
      </c>
      <c r="N83" s="85">
        <f t="shared" si="63"/>
        <v>0</v>
      </c>
      <c r="O83" s="165">
        <f t="shared" si="64"/>
        <v>5474.8318905033602</v>
      </c>
      <c r="P83" s="85">
        <f t="shared" si="67"/>
        <v>4866.5172360029865</v>
      </c>
      <c r="Q83" s="85">
        <f t="shared" si="49"/>
        <v>0</v>
      </c>
      <c r="R83" s="107">
        <f t="shared" si="50"/>
        <v>4866.5172360029865</v>
      </c>
      <c r="S83" s="175">
        <f t="shared" si="51"/>
        <v>4258.2025815026127</v>
      </c>
      <c r="T83" s="85">
        <f t="shared" si="52"/>
        <v>0</v>
      </c>
      <c r="U83" s="165">
        <f t="shared" si="53"/>
        <v>4258.2025815026127</v>
      </c>
      <c r="V83" s="175">
        <f t="shared" si="59"/>
        <v>3649.8879270022398</v>
      </c>
      <c r="W83" s="85">
        <f t="shared" si="54"/>
        <v>0</v>
      </c>
      <c r="X83" s="165">
        <f t="shared" si="55"/>
        <v>3649.8879270022398</v>
      </c>
      <c r="Y83" s="175">
        <f t="shared" si="56"/>
        <v>3041.5732725018665</v>
      </c>
      <c r="Z83" s="85">
        <f t="shared" si="57"/>
        <v>0</v>
      </c>
      <c r="AA83" s="165">
        <f t="shared" si="58"/>
        <v>3041.5732725018665</v>
      </c>
    </row>
    <row r="84" spans="1:27" ht="13.5" customHeight="1">
      <c r="A84" s="387">
        <v>5</v>
      </c>
      <c r="B84" s="136">
        <v>44562</v>
      </c>
      <c r="C84" s="120">
        <f>VLOOKUP(B84,'base(indices)'!$A$4:$C$183,3,FALSE)</f>
        <v>1212</v>
      </c>
      <c r="D84" s="241">
        <f>'base(indices)'!G148</f>
        <v>0.99999998000000001</v>
      </c>
      <c r="E84" s="206">
        <f t="shared" si="47"/>
        <v>1211.9999757600001</v>
      </c>
      <c r="F84" s="264">
        <f>'base(indices)'!I148</f>
        <v>0.29149999999999998</v>
      </c>
      <c r="G84" s="154">
        <f t="shared" si="48"/>
        <v>353.29799293404</v>
      </c>
      <c r="H84" s="316">
        <f t="shared" si="60"/>
        <v>6261.1918747761601</v>
      </c>
      <c r="I84" s="317">
        <f t="shared" si="62"/>
        <v>403.99999192000001</v>
      </c>
      <c r="J84" s="317">
        <f t="shared" si="61"/>
        <v>6665.1918666961601</v>
      </c>
      <c r="K84" s="283"/>
      <c r="L84" s="318">
        <f t="shared" si="65"/>
        <v>6665.1918666961601</v>
      </c>
      <c r="M84" s="288">
        <f t="shared" si="66"/>
        <v>5998.6726800265442</v>
      </c>
      <c r="N84" s="283">
        <f t="shared" si="63"/>
        <v>0</v>
      </c>
      <c r="O84" s="150">
        <f t="shared" si="64"/>
        <v>5998.6726800265442</v>
      </c>
      <c r="P84" s="319">
        <f t="shared" si="67"/>
        <v>5332.1534933569283</v>
      </c>
      <c r="Q84" s="283">
        <f t="shared" si="49"/>
        <v>0</v>
      </c>
      <c r="R84" s="290">
        <f t="shared" si="50"/>
        <v>5332.1534933569283</v>
      </c>
      <c r="S84" s="288">
        <f t="shared" si="51"/>
        <v>4665.6343066873114</v>
      </c>
      <c r="T84" s="283">
        <f t="shared" si="52"/>
        <v>0</v>
      </c>
      <c r="U84" s="150">
        <f t="shared" si="53"/>
        <v>4665.6343066873114</v>
      </c>
      <c r="V84" s="288">
        <f t="shared" si="59"/>
        <v>3999.115120017696</v>
      </c>
      <c r="W84" s="283">
        <f t="shared" si="54"/>
        <v>0</v>
      </c>
      <c r="X84" s="150">
        <f t="shared" si="55"/>
        <v>3999.115120017696</v>
      </c>
      <c r="Y84" s="288">
        <f t="shared" si="56"/>
        <v>3332.5959333480801</v>
      </c>
      <c r="Z84" s="283">
        <f t="shared" si="57"/>
        <v>0</v>
      </c>
      <c r="AA84" s="150">
        <f t="shared" si="58"/>
        <v>3332.5959333480801</v>
      </c>
    </row>
    <row r="85" spans="1:27" ht="13.5" customHeight="1">
      <c r="A85" s="110">
        <v>5</v>
      </c>
      <c r="B85" s="50">
        <v>44593</v>
      </c>
      <c r="C85" s="61">
        <f>VLOOKUP(B85,'base(indices)'!$A$4:$C$183,3,FALSE)</f>
        <v>1212</v>
      </c>
      <c r="D85" s="87">
        <f>'base(indices)'!G149</f>
        <v>0.99999998000000001</v>
      </c>
      <c r="E85" s="52">
        <f t="shared" si="47"/>
        <v>1211.9999757600001</v>
      </c>
      <c r="F85" s="307">
        <f>'base(indices)'!I149</f>
        <v>0.28420000000000001</v>
      </c>
      <c r="G85" s="54">
        <f t="shared" si="48"/>
        <v>344.45039311099202</v>
      </c>
      <c r="H85" s="146">
        <f t="shared" si="60"/>
        <v>6225.8014754839687</v>
      </c>
      <c r="I85" s="94">
        <f t="shared" si="62"/>
        <v>403.99999192000001</v>
      </c>
      <c r="J85" s="94">
        <f t="shared" si="61"/>
        <v>6629.8014674039687</v>
      </c>
      <c r="K85" s="57"/>
      <c r="L85" s="67">
        <f t="shared" si="65"/>
        <v>6629.8014674039687</v>
      </c>
      <c r="M85" s="58">
        <f t="shared" si="66"/>
        <v>5966.8213206635719</v>
      </c>
      <c r="N85" s="57">
        <f t="shared" si="63"/>
        <v>0</v>
      </c>
      <c r="O85" s="59">
        <f t="shared" si="64"/>
        <v>5966.8213206635719</v>
      </c>
      <c r="P85" s="57">
        <f t="shared" si="67"/>
        <v>5303.8411739231751</v>
      </c>
      <c r="Q85" s="57">
        <f t="shared" si="49"/>
        <v>0</v>
      </c>
      <c r="R85" s="60">
        <f t="shared" si="50"/>
        <v>5303.8411739231751</v>
      </c>
      <c r="S85" s="58">
        <f t="shared" si="51"/>
        <v>4640.8610271827774</v>
      </c>
      <c r="T85" s="57">
        <f t="shared" si="52"/>
        <v>0</v>
      </c>
      <c r="U85" s="59">
        <f t="shared" si="53"/>
        <v>4640.8610271827774</v>
      </c>
      <c r="V85" s="58">
        <f t="shared" si="59"/>
        <v>3977.8808804423811</v>
      </c>
      <c r="W85" s="57">
        <f t="shared" si="54"/>
        <v>0</v>
      </c>
      <c r="X85" s="59">
        <f t="shared" si="55"/>
        <v>3977.8808804423811</v>
      </c>
      <c r="Y85" s="58">
        <f t="shared" si="56"/>
        <v>3314.9007337019843</v>
      </c>
      <c r="Z85" s="57">
        <f t="shared" si="57"/>
        <v>0</v>
      </c>
      <c r="AA85" s="59">
        <f t="shared" si="58"/>
        <v>3314.9007337019843</v>
      </c>
    </row>
    <row r="86" spans="1:27" ht="13.5" customHeight="1">
      <c r="A86" s="110">
        <v>5</v>
      </c>
      <c r="B86" s="40">
        <v>44621</v>
      </c>
      <c r="C86" s="61">
        <f>VLOOKUP(B86,'base(indices)'!$A$4:$C$183,3,FALSE)</f>
        <v>1212</v>
      </c>
      <c r="D86" s="87">
        <f>'base(indices)'!G150</f>
        <v>0.99999998000000001</v>
      </c>
      <c r="E86" s="62">
        <f t="shared" si="47"/>
        <v>1211.9999757600001</v>
      </c>
      <c r="F86" s="307">
        <f>'base(indices)'!I150</f>
        <v>0.27660000000000001</v>
      </c>
      <c r="G86" s="63">
        <f t="shared" si="48"/>
        <v>335.23919329521607</v>
      </c>
      <c r="H86" s="146">
        <f t="shared" si="60"/>
        <v>6188.9566762208651</v>
      </c>
      <c r="I86" s="95">
        <f t="shared" si="62"/>
        <v>403.99999192000001</v>
      </c>
      <c r="J86" s="95">
        <f t="shared" si="61"/>
        <v>6592.9566681408651</v>
      </c>
      <c r="K86" s="43"/>
      <c r="L86" s="44">
        <f t="shared" si="65"/>
        <v>6592.9566681408651</v>
      </c>
      <c r="M86" s="45">
        <f t="shared" si="66"/>
        <v>5933.6610013267791</v>
      </c>
      <c r="N86" s="43">
        <f t="shared" si="63"/>
        <v>0</v>
      </c>
      <c r="O86" s="46">
        <f t="shared" si="64"/>
        <v>5933.6610013267791</v>
      </c>
      <c r="P86" s="66">
        <f t="shared" si="67"/>
        <v>5274.3653345126922</v>
      </c>
      <c r="Q86" s="43">
        <f t="shared" si="49"/>
        <v>0</v>
      </c>
      <c r="R86" s="47">
        <f t="shared" si="50"/>
        <v>5274.3653345126922</v>
      </c>
      <c r="S86" s="45">
        <f t="shared" si="51"/>
        <v>4615.0696676986054</v>
      </c>
      <c r="T86" s="43">
        <f t="shared" si="52"/>
        <v>0</v>
      </c>
      <c r="U86" s="46">
        <f t="shared" si="53"/>
        <v>4615.0696676986054</v>
      </c>
      <c r="V86" s="45">
        <f t="shared" si="59"/>
        <v>3955.774000884519</v>
      </c>
      <c r="W86" s="43">
        <f t="shared" si="54"/>
        <v>0</v>
      </c>
      <c r="X86" s="46">
        <f t="shared" si="55"/>
        <v>3955.774000884519</v>
      </c>
      <c r="Y86" s="45">
        <f t="shared" si="56"/>
        <v>3296.4783340704325</v>
      </c>
      <c r="Z86" s="43">
        <f t="shared" si="57"/>
        <v>0</v>
      </c>
      <c r="AA86" s="46">
        <f t="shared" si="58"/>
        <v>3296.4783340704325</v>
      </c>
    </row>
    <row r="87" spans="1:27" ht="13.5" customHeight="1">
      <c r="A87" s="110">
        <v>5</v>
      </c>
      <c r="B87" s="50">
        <v>44652</v>
      </c>
      <c r="C87" s="61">
        <f>VLOOKUP(B87,'base(indices)'!$A$4:$C$183,3,FALSE)</f>
        <v>1212</v>
      </c>
      <c r="D87" s="87">
        <f>'base(indices)'!G151</f>
        <v>0.99999998000000001</v>
      </c>
      <c r="E87" s="52">
        <f t="shared" si="47"/>
        <v>1211.9999757600001</v>
      </c>
      <c r="F87" s="307">
        <f>'base(indices)'!I151</f>
        <v>0.26729999999999998</v>
      </c>
      <c r="G87" s="54">
        <f t="shared" si="48"/>
        <v>323.96759352064799</v>
      </c>
      <c r="H87" s="146">
        <f t="shared" si="60"/>
        <v>6143.8702771225926</v>
      </c>
      <c r="I87" s="94">
        <f t="shared" si="62"/>
        <v>403.99999192000001</v>
      </c>
      <c r="J87" s="94">
        <f t="shared" si="61"/>
        <v>6547.8702690425926</v>
      </c>
      <c r="K87" s="57"/>
      <c r="L87" s="67">
        <f t="shared" si="65"/>
        <v>6547.8702690425926</v>
      </c>
      <c r="M87" s="58">
        <f t="shared" si="66"/>
        <v>5893.0832421383338</v>
      </c>
      <c r="N87" s="57">
        <f t="shared" si="63"/>
        <v>0</v>
      </c>
      <c r="O87" s="59">
        <f t="shared" si="64"/>
        <v>5893.0832421383338</v>
      </c>
      <c r="P87" s="57">
        <f t="shared" si="67"/>
        <v>5238.2962152340742</v>
      </c>
      <c r="Q87" s="57">
        <f t="shared" si="49"/>
        <v>0</v>
      </c>
      <c r="R87" s="60">
        <f t="shared" si="50"/>
        <v>5238.2962152340742</v>
      </c>
      <c r="S87" s="58">
        <f t="shared" si="51"/>
        <v>4583.5091883298146</v>
      </c>
      <c r="T87" s="57">
        <f t="shared" si="52"/>
        <v>0</v>
      </c>
      <c r="U87" s="59">
        <f t="shared" si="53"/>
        <v>4583.5091883298146</v>
      </c>
      <c r="V87" s="58">
        <f t="shared" si="59"/>
        <v>3928.7221614255554</v>
      </c>
      <c r="W87" s="57">
        <f t="shared" si="54"/>
        <v>0</v>
      </c>
      <c r="X87" s="59">
        <f t="shared" si="55"/>
        <v>3928.7221614255554</v>
      </c>
      <c r="Y87" s="58">
        <f t="shared" si="56"/>
        <v>3273.9351345212963</v>
      </c>
      <c r="Z87" s="57">
        <f t="shared" si="57"/>
        <v>0</v>
      </c>
      <c r="AA87" s="59">
        <f t="shared" si="58"/>
        <v>3273.9351345212963</v>
      </c>
    </row>
    <row r="88" spans="1:27" ht="13.5" customHeight="1">
      <c r="A88" s="110">
        <v>5</v>
      </c>
      <c r="B88" s="40">
        <v>44682</v>
      </c>
      <c r="C88" s="61">
        <f>VLOOKUP(B88,'base(indices)'!$A$4:$C$183,3,FALSE)</f>
        <v>1212</v>
      </c>
      <c r="D88" s="87">
        <f>'base(indices)'!G152</f>
        <v>0.99999998000000001</v>
      </c>
      <c r="E88" s="62">
        <f t="shared" si="47"/>
        <v>1211.9999757600001</v>
      </c>
      <c r="F88" s="307">
        <f>'base(indices)'!I152</f>
        <v>0.25900000000000001</v>
      </c>
      <c r="G88" s="63">
        <f t="shared" si="48"/>
        <v>313.90799372184006</v>
      </c>
      <c r="H88" s="146">
        <f t="shared" si="60"/>
        <v>6103.6318779273606</v>
      </c>
      <c r="I88" s="95">
        <f t="shared" si="62"/>
        <v>403.99999192000001</v>
      </c>
      <c r="J88" s="95">
        <f t="shared" si="61"/>
        <v>6507.6318698473606</v>
      </c>
      <c r="K88" s="43"/>
      <c r="L88" s="44">
        <f t="shared" si="65"/>
        <v>6507.6318698473606</v>
      </c>
      <c r="M88" s="45">
        <f t="shared" si="66"/>
        <v>5856.8686828626251</v>
      </c>
      <c r="N88" s="43">
        <f t="shared" si="63"/>
        <v>0</v>
      </c>
      <c r="O88" s="46">
        <f t="shared" si="64"/>
        <v>5856.8686828626251</v>
      </c>
      <c r="P88" s="66">
        <f t="shared" si="67"/>
        <v>5206.1054958778886</v>
      </c>
      <c r="Q88" s="43">
        <f t="shared" si="49"/>
        <v>0</v>
      </c>
      <c r="R88" s="47">
        <f t="shared" si="50"/>
        <v>5206.1054958778886</v>
      </c>
      <c r="S88" s="45">
        <f t="shared" si="51"/>
        <v>4555.3423088931522</v>
      </c>
      <c r="T88" s="43">
        <f t="shared" si="52"/>
        <v>0</v>
      </c>
      <c r="U88" s="46">
        <f t="shared" si="53"/>
        <v>4555.3423088931522</v>
      </c>
      <c r="V88" s="45">
        <f t="shared" si="59"/>
        <v>3904.5791219084163</v>
      </c>
      <c r="W88" s="43">
        <f t="shared" si="54"/>
        <v>0</v>
      </c>
      <c r="X88" s="46">
        <f t="shared" si="55"/>
        <v>3904.5791219084163</v>
      </c>
      <c r="Y88" s="45">
        <f t="shared" si="56"/>
        <v>3253.8159349236803</v>
      </c>
      <c r="Z88" s="43">
        <f t="shared" si="57"/>
        <v>0</v>
      </c>
      <c r="AA88" s="46">
        <f t="shared" si="58"/>
        <v>3253.8159349236803</v>
      </c>
    </row>
    <row r="89" spans="1:27" ht="13.5" customHeight="1">
      <c r="A89" s="110">
        <v>5</v>
      </c>
      <c r="B89" s="50">
        <v>44713</v>
      </c>
      <c r="C89" s="61">
        <f>VLOOKUP(B89,'base(indices)'!$A$4:$C$183,3,FALSE)</f>
        <v>1212</v>
      </c>
      <c r="D89" s="87">
        <f>'base(indices)'!G153</f>
        <v>0.99999998000000001</v>
      </c>
      <c r="E89" s="52">
        <f t="shared" si="47"/>
        <v>1211.9999757600001</v>
      </c>
      <c r="F89" s="307">
        <f>'base(indices)'!I153</f>
        <v>0.2487</v>
      </c>
      <c r="G89" s="54">
        <f t="shared" si="48"/>
        <v>301.42439397151202</v>
      </c>
      <c r="H89" s="146">
        <f t="shared" si="60"/>
        <v>6053.6974789260485</v>
      </c>
      <c r="I89" s="94">
        <f t="shared" si="62"/>
        <v>403.99999192000001</v>
      </c>
      <c r="J89" s="94">
        <f t="shared" si="61"/>
        <v>6457.6974708460484</v>
      </c>
      <c r="K89" s="57"/>
      <c r="L89" s="67">
        <f t="shared" si="65"/>
        <v>6457.6974708460484</v>
      </c>
      <c r="M89" s="58">
        <f t="shared" si="66"/>
        <v>5811.9277237614433</v>
      </c>
      <c r="N89" s="57">
        <f t="shared" si="63"/>
        <v>0</v>
      </c>
      <c r="O89" s="59">
        <f t="shared" si="64"/>
        <v>5811.9277237614433</v>
      </c>
      <c r="P89" s="57">
        <f t="shared" si="67"/>
        <v>5166.1579766768391</v>
      </c>
      <c r="Q89" s="57">
        <f t="shared" si="49"/>
        <v>0</v>
      </c>
      <c r="R89" s="60">
        <f t="shared" si="50"/>
        <v>5166.1579766768391</v>
      </c>
      <c r="S89" s="58">
        <f t="shared" si="51"/>
        <v>4520.388229592234</v>
      </c>
      <c r="T89" s="57">
        <f t="shared" si="52"/>
        <v>0</v>
      </c>
      <c r="U89" s="59">
        <f t="shared" si="53"/>
        <v>4520.388229592234</v>
      </c>
      <c r="V89" s="58">
        <f t="shared" si="59"/>
        <v>3874.6184825076289</v>
      </c>
      <c r="W89" s="57">
        <f t="shared" si="54"/>
        <v>0</v>
      </c>
      <c r="X89" s="59">
        <f t="shared" si="55"/>
        <v>3874.6184825076289</v>
      </c>
      <c r="Y89" s="58">
        <f t="shared" si="56"/>
        <v>3228.8487354230242</v>
      </c>
      <c r="Z89" s="57">
        <f t="shared" si="57"/>
        <v>0</v>
      </c>
      <c r="AA89" s="59">
        <f t="shared" si="58"/>
        <v>3228.8487354230242</v>
      </c>
    </row>
    <row r="90" spans="1:27" ht="13.5" customHeight="1">
      <c r="A90" s="110">
        <v>5</v>
      </c>
      <c r="B90" s="40">
        <v>44743</v>
      </c>
      <c r="C90" s="61">
        <f>VLOOKUP(B90,'base(indices)'!$A$4:$C$183,3,FALSE)</f>
        <v>1212</v>
      </c>
      <c r="D90" s="87">
        <f>'base(indices)'!G154</f>
        <v>0.99999998000000001</v>
      </c>
      <c r="E90" s="62">
        <f t="shared" si="47"/>
        <v>1211.9999757600001</v>
      </c>
      <c r="F90" s="307">
        <f>'base(indices)'!I154</f>
        <v>0.23849999999999999</v>
      </c>
      <c r="G90" s="63">
        <f t="shared" si="48"/>
        <v>289.06199421875999</v>
      </c>
      <c r="H90" s="146">
        <f t="shared" si="60"/>
        <v>6004.2478799150404</v>
      </c>
      <c r="I90" s="95">
        <f t="shared" si="62"/>
        <v>403.99999192000001</v>
      </c>
      <c r="J90" s="95">
        <f t="shared" si="61"/>
        <v>6408.2478718350403</v>
      </c>
      <c r="K90" s="43"/>
      <c r="L90" s="44">
        <f t="shared" si="65"/>
        <v>6408.2478718350403</v>
      </c>
      <c r="M90" s="45">
        <f t="shared" si="66"/>
        <v>5767.4230846515366</v>
      </c>
      <c r="N90" s="43">
        <f t="shared" si="63"/>
        <v>0</v>
      </c>
      <c r="O90" s="46">
        <f t="shared" si="64"/>
        <v>5767.4230846515366</v>
      </c>
      <c r="P90" s="66">
        <f t="shared" si="67"/>
        <v>5126.5982974680328</v>
      </c>
      <c r="Q90" s="43">
        <f t="shared" si="49"/>
        <v>0</v>
      </c>
      <c r="R90" s="47">
        <f t="shared" si="50"/>
        <v>5126.5982974680328</v>
      </c>
      <c r="S90" s="45">
        <f t="shared" si="51"/>
        <v>4485.7735102845281</v>
      </c>
      <c r="T90" s="43">
        <f t="shared" si="52"/>
        <v>0</v>
      </c>
      <c r="U90" s="46">
        <f t="shared" si="53"/>
        <v>4485.7735102845281</v>
      </c>
      <c r="V90" s="45">
        <f t="shared" si="59"/>
        <v>3844.9487231010239</v>
      </c>
      <c r="W90" s="43">
        <f t="shared" si="54"/>
        <v>0</v>
      </c>
      <c r="X90" s="46">
        <f t="shared" si="55"/>
        <v>3844.9487231010239</v>
      </c>
      <c r="Y90" s="45">
        <f t="shared" si="56"/>
        <v>3204.1239359175202</v>
      </c>
      <c r="Z90" s="43">
        <f t="shared" si="57"/>
        <v>0</v>
      </c>
      <c r="AA90" s="46">
        <f t="shared" si="58"/>
        <v>3204.1239359175202</v>
      </c>
    </row>
    <row r="91" spans="1:27" ht="13.5" customHeight="1">
      <c r="A91" s="110">
        <v>5</v>
      </c>
      <c r="B91" s="50">
        <v>44774</v>
      </c>
      <c r="C91" s="61">
        <f>VLOOKUP(B91,'base(indices)'!$A$4:$C$183,3,FALSE)</f>
        <v>1212</v>
      </c>
      <c r="D91" s="87">
        <f>'base(indices)'!G155</f>
        <v>0.99999998000000001</v>
      </c>
      <c r="E91" s="52">
        <f t="shared" si="47"/>
        <v>1211.9999757600001</v>
      </c>
      <c r="F91" s="307">
        <f>'base(indices)'!I155</f>
        <v>0.22819999999999999</v>
      </c>
      <c r="G91" s="54">
        <f t="shared" si="48"/>
        <v>276.57839446843201</v>
      </c>
      <c r="H91" s="146">
        <f t="shared" si="60"/>
        <v>5954.3134809137282</v>
      </c>
      <c r="I91" s="94">
        <f t="shared" si="62"/>
        <v>403.99999192000001</v>
      </c>
      <c r="J91" s="94">
        <f t="shared" si="61"/>
        <v>6358.3134728337282</v>
      </c>
      <c r="K91" s="57"/>
      <c r="L91" s="67">
        <f t="shared" si="65"/>
        <v>6358.3134728337282</v>
      </c>
      <c r="M91" s="58">
        <f t="shared" si="66"/>
        <v>5722.4821255503557</v>
      </c>
      <c r="N91" s="57">
        <f t="shared" si="63"/>
        <v>0</v>
      </c>
      <c r="O91" s="59">
        <f t="shared" si="64"/>
        <v>5722.4821255503557</v>
      </c>
      <c r="P91" s="57">
        <f t="shared" si="67"/>
        <v>5086.6507782669833</v>
      </c>
      <c r="Q91" s="57">
        <f t="shared" si="49"/>
        <v>0</v>
      </c>
      <c r="R91" s="60">
        <f t="shared" si="50"/>
        <v>5086.6507782669833</v>
      </c>
      <c r="S91" s="58">
        <f t="shared" si="51"/>
        <v>4450.819430983609</v>
      </c>
      <c r="T91" s="57">
        <f t="shared" si="52"/>
        <v>0</v>
      </c>
      <c r="U91" s="59">
        <f t="shared" si="53"/>
        <v>4450.819430983609</v>
      </c>
      <c r="V91" s="58">
        <f t="shared" si="59"/>
        <v>3814.9880837002365</v>
      </c>
      <c r="W91" s="57">
        <f t="shared" si="54"/>
        <v>0</v>
      </c>
      <c r="X91" s="59">
        <f t="shared" si="55"/>
        <v>3814.9880837002365</v>
      </c>
      <c r="Y91" s="58">
        <f t="shared" si="56"/>
        <v>3179.1567364168641</v>
      </c>
      <c r="Z91" s="57">
        <f t="shared" si="57"/>
        <v>0</v>
      </c>
      <c r="AA91" s="59">
        <f t="shared" si="58"/>
        <v>3179.1567364168641</v>
      </c>
    </row>
    <row r="92" spans="1:27" ht="13.5" customHeight="1">
      <c r="A92" s="110">
        <v>5</v>
      </c>
      <c r="B92" s="40">
        <v>44805</v>
      </c>
      <c r="C92" s="61">
        <f>VLOOKUP(B92,'base(indices)'!$A$4:$C$183,3,FALSE)</f>
        <v>1212</v>
      </c>
      <c r="D92" s="87">
        <f>'base(indices)'!G156</f>
        <v>0.99999998000000001</v>
      </c>
      <c r="E92" s="62">
        <f t="shared" si="47"/>
        <v>1211.9999757600001</v>
      </c>
      <c r="F92" s="307">
        <f>'base(indices)'!I156</f>
        <v>0.2165</v>
      </c>
      <c r="G92" s="63">
        <f t="shared" si="48"/>
        <v>262.39799475204001</v>
      </c>
      <c r="H92" s="146">
        <f t="shared" si="60"/>
        <v>5897.5918820481602</v>
      </c>
      <c r="I92" s="95">
        <f t="shared" si="62"/>
        <v>403.99999192000001</v>
      </c>
      <c r="J92" s="95">
        <f t="shared" si="61"/>
        <v>6301.5918739681601</v>
      </c>
      <c r="K92" s="43"/>
      <c r="L92" s="44">
        <f t="shared" si="65"/>
        <v>6301.5918739681601</v>
      </c>
      <c r="M92" s="45">
        <f t="shared" si="66"/>
        <v>5671.4326865713447</v>
      </c>
      <c r="N92" s="43">
        <f t="shared" si="63"/>
        <v>0</v>
      </c>
      <c r="O92" s="46">
        <f t="shared" si="64"/>
        <v>5671.4326865713447</v>
      </c>
      <c r="P92" s="66">
        <f t="shared" si="67"/>
        <v>5041.2734991745283</v>
      </c>
      <c r="Q92" s="43">
        <f t="shared" si="49"/>
        <v>0</v>
      </c>
      <c r="R92" s="47">
        <f t="shared" si="50"/>
        <v>5041.2734991745283</v>
      </c>
      <c r="S92" s="45">
        <f t="shared" si="51"/>
        <v>4411.1143117777119</v>
      </c>
      <c r="T92" s="43">
        <f t="shared" si="52"/>
        <v>0</v>
      </c>
      <c r="U92" s="46">
        <f t="shared" si="53"/>
        <v>4411.1143117777119</v>
      </c>
      <c r="V92" s="45">
        <f t="shared" si="59"/>
        <v>3780.955124380896</v>
      </c>
      <c r="W92" s="43">
        <f t="shared" si="54"/>
        <v>0</v>
      </c>
      <c r="X92" s="46">
        <f t="shared" si="55"/>
        <v>3780.955124380896</v>
      </c>
      <c r="Y92" s="45">
        <f t="shared" si="56"/>
        <v>3150.7959369840801</v>
      </c>
      <c r="Z92" s="43">
        <f t="shared" si="57"/>
        <v>0</v>
      </c>
      <c r="AA92" s="46">
        <f t="shared" si="58"/>
        <v>3150.7959369840801</v>
      </c>
    </row>
    <row r="93" spans="1:27" ht="13.5" customHeight="1">
      <c r="A93" s="110">
        <v>5</v>
      </c>
      <c r="B93" s="50">
        <v>44835</v>
      </c>
      <c r="C93" s="61">
        <f>VLOOKUP(B93,'base(indices)'!$A$4:$C$183,3,FALSE)</f>
        <v>1212</v>
      </c>
      <c r="D93" s="87">
        <f>'base(indices)'!G157</f>
        <v>0.99999998000000001</v>
      </c>
      <c r="E93" s="52">
        <f t="shared" si="47"/>
        <v>1211.9999757600001</v>
      </c>
      <c r="F93" s="307">
        <f>'base(indices)'!I157</f>
        <v>0.20580000000000001</v>
      </c>
      <c r="G93" s="54">
        <f t="shared" si="48"/>
        <v>249.42959501140803</v>
      </c>
      <c r="H93" s="146">
        <f t="shared" si="60"/>
        <v>5845.7182830856327</v>
      </c>
      <c r="I93" s="94">
        <f t="shared" si="62"/>
        <v>403.99999192000001</v>
      </c>
      <c r="J93" s="94">
        <f t="shared" si="61"/>
        <v>6249.7182750056327</v>
      </c>
      <c r="K93" s="57"/>
      <c r="L93" s="67">
        <f t="shared" si="65"/>
        <v>6249.7182750056327</v>
      </c>
      <c r="M93" s="58">
        <f t="shared" si="66"/>
        <v>5624.7464475050692</v>
      </c>
      <c r="N93" s="57">
        <f t="shared" si="63"/>
        <v>0</v>
      </c>
      <c r="O93" s="59">
        <f t="shared" si="64"/>
        <v>5624.7464475050692</v>
      </c>
      <c r="P93" s="57">
        <f t="shared" si="67"/>
        <v>4999.7746200045067</v>
      </c>
      <c r="Q93" s="57">
        <f t="shared" si="49"/>
        <v>0</v>
      </c>
      <c r="R93" s="60">
        <f t="shared" si="50"/>
        <v>4999.7746200045067</v>
      </c>
      <c r="S93" s="58">
        <f t="shared" si="51"/>
        <v>4374.8027925039423</v>
      </c>
      <c r="T93" s="57">
        <f t="shared" si="52"/>
        <v>0</v>
      </c>
      <c r="U93" s="59">
        <f t="shared" si="53"/>
        <v>4374.8027925039423</v>
      </c>
      <c r="V93" s="58">
        <f t="shared" si="59"/>
        <v>3749.8309650033793</v>
      </c>
      <c r="W93" s="57">
        <f t="shared" si="54"/>
        <v>0</v>
      </c>
      <c r="X93" s="59">
        <f t="shared" si="55"/>
        <v>3749.8309650033793</v>
      </c>
      <c r="Y93" s="58">
        <f t="shared" si="56"/>
        <v>3124.8591375028163</v>
      </c>
      <c r="Z93" s="57">
        <f t="shared" si="57"/>
        <v>0</v>
      </c>
      <c r="AA93" s="59">
        <f t="shared" si="58"/>
        <v>3124.8591375028163</v>
      </c>
    </row>
    <row r="94" spans="1:27" ht="13.5" customHeight="1">
      <c r="A94" s="110">
        <v>5</v>
      </c>
      <c r="B94" s="40">
        <v>44866</v>
      </c>
      <c r="C94" s="61">
        <f>VLOOKUP(B94,'base(indices)'!$A$4:$C$183,3,FALSE)</f>
        <v>1212</v>
      </c>
      <c r="D94" s="87">
        <f>'base(indices)'!G158</f>
        <v>0.99999998000000001</v>
      </c>
      <c r="E94" s="62">
        <f t="shared" si="47"/>
        <v>1211.9999757600001</v>
      </c>
      <c r="F94" s="307">
        <f>'base(indices)'!I158</f>
        <v>0.1956</v>
      </c>
      <c r="G94" s="63">
        <f t="shared" si="48"/>
        <v>237.06719525865603</v>
      </c>
      <c r="H94" s="146">
        <f>(E94+G94)*4</f>
        <v>5796.2686840746246</v>
      </c>
      <c r="I94" s="95">
        <f>E94/3</f>
        <v>403.99999192000001</v>
      </c>
      <c r="J94" s="95">
        <f t="shared" si="61"/>
        <v>6200.2686759946246</v>
      </c>
      <c r="K94" s="43"/>
      <c r="L94" s="44">
        <f t="shared" si="65"/>
        <v>6200.2686759946246</v>
      </c>
      <c r="M94" s="45">
        <f t="shared" si="66"/>
        <v>5580.2418083951625</v>
      </c>
      <c r="N94" s="43">
        <f t="shared" si="63"/>
        <v>0</v>
      </c>
      <c r="O94" s="46">
        <f t="shared" si="64"/>
        <v>5580.2418083951625</v>
      </c>
      <c r="P94" s="66">
        <f t="shared" si="67"/>
        <v>4960.2149407957004</v>
      </c>
      <c r="Q94" s="43">
        <f t="shared" si="49"/>
        <v>0</v>
      </c>
      <c r="R94" s="47">
        <f t="shared" si="50"/>
        <v>4960.2149407957004</v>
      </c>
      <c r="S94" s="45">
        <f t="shared" si="51"/>
        <v>4340.1880731962365</v>
      </c>
      <c r="T94" s="43">
        <f t="shared" si="52"/>
        <v>0</v>
      </c>
      <c r="U94" s="46">
        <f t="shared" si="53"/>
        <v>4340.1880731962365</v>
      </c>
      <c r="V94" s="45">
        <f t="shared" si="59"/>
        <v>3720.1612055967744</v>
      </c>
      <c r="W94" s="43">
        <f t="shared" si="54"/>
        <v>0</v>
      </c>
      <c r="X94" s="46">
        <f t="shared" si="55"/>
        <v>3720.1612055967744</v>
      </c>
      <c r="Y94" s="45">
        <f t="shared" si="56"/>
        <v>3100.1343379973123</v>
      </c>
      <c r="Z94" s="43">
        <f t="shared" si="57"/>
        <v>0</v>
      </c>
      <c r="AA94" s="46">
        <f t="shared" si="58"/>
        <v>3100.1343379973123</v>
      </c>
    </row>
    <row r="95" spans="1:27" ht="13.5" customHeight="1" thickBot="1">
      <c r="A95" s="161">
        <v>5</v>
      </c>
      <c r="B95" s="300">
        <v>44896</v>
      </c>
      <c r="C95" s="69">
        <f>VLOOKUP(B95,'base(indices)'!$A$4:$C$183,3,FALSE)</f>
        <v>1212</v>
      </c>
      <c r="D95" s="242">
        <f>'base(indices)'!G159</f>
        <v>0.99999998000000001</v>
      </c>
      <c r="E95" s="321">
        <f t="shared" si="47"/>
        <v>1211.9999757600001</v>
      </c>
      <c r="F95" s="307">
        <f>'base(indices)'!I159</f>
        <v>0.18540000000000001</v>
      </c>
      <c r="G95" s="170">
        <f t="shared" si="48"/>
        <v>224.70479550590403</v>
      </c>
      <c r="H95" s="322">
        <f t="shared" si="60"/>
        <v>5746.8190850636165</v>
      </c>
      <c r="I95" s="207">
        <f t="shared" si="62"/>
        <v>403.99999192000001</v>
      </c>
      <c r="J95" s="207">
        <f t="shared" si="61"/>
        <v>6150.8190769836165</v>
      </c>
      <c r="K95" s="282"/>
      <c r="L95" s="323">
        <f t="shared" si="65"/>
        <v>6150.8190769836165</v>
      </c>
      <c r="M95" s="285">
        <f t="shared" si="66"/>
        <v>5535.7371692852548</v>
      </c>
      <c r="N95" s="282">
        <f t="shared" si="63"/>
        <v>0</v>
      </c>
      <c r="O95" s="203">
        <f t="shared" si="64"/>
        <v>5535.7371692852548</v>
      </c>
      <c r="P95" s="282">
        <f t="shared" si="67"/>
        <v>4920.6552615868932</v>
      </c>
      <c r="Q95" s="282">
        <f t="shared" si="49"/>
        <v>0</v>
      </c>
      <c r="R95" s="289">
        <f t="shared" si="50"/>
        <v>4920.6552615868932</v>
      </c>
      <c r="S95" s="285">
        <f t="shared" si="51"/>
        <v>4305.5733538885315</v>
      </c>
      <c r="T95" s="282">
        <f t="shared" si="52"/>
        <v>0</v>
      </c>
      <c r="U95" s="203">
        <f t="shared" si="53"/>
        <v>4305.5733538885315</v>
      </c>
      <c r="V95" s="285">
        <f t="shared" si="59"/>
        <v>3690.4914461901699</v>
      </c>
      <c r="W95" s="282">
        <f t="shared" si="54"/>
        <v>0</v>
      </c>
      <c r="X95" s="203">
        <f t="shared" si="55"/>
        <v>3690.4914461901699</v>
      </c>
      <c r="Y95" s="285">
        <f t="shared" si="56"/>
        <v>3075.4095384918082</v>
      </c>
      <c r="Z95" s="282">
        <f t="shared" si="57"/>
        <v>0</v>
      </c>
      <c r="AA95" s="203">
        <f t="shared" si="58"/>
        <v>3075.4095384918082</v>
      </c>
    </row>
    <row r="96" spans="1:27" ht="13.5" customHeight="1">
      <c r="A96" s="388">
        <v>5</v>
      </c>
      <c r="B96" s="136">
        <v>44927</v>
      </c>
      <c r="C96" s="120">
        <f>VLOOKUP(B96,'base(indices)'!$A$4:$C$183,3,FALSE)</f>
        <v>1302</v>
      </c>
      <c r="D96" s="241">
        <f>'base(indices)'!G160</f>
        <v>0.99999998000000001</v>
      </c>
      <c r="E96" s="185">
        <f t="shared" si="47"/>
        <v>1301.99997396</v>
      </c>
      <c r="F96" s="397">
        <f>'base(indices)'!I160</f>
        <v>0.17419999999999999</v>
      </c>
      <c r="G96" s="395">
        <f t="shared" si="48"/>
        <v>226.808395463832</v>
      </c>
      <c r="H96" s="181">
        <f t="shared" si="60"/>
        <v>6115.2334776953285</v>
      </c>
      <c r="I96" s="109">
        <f t="shared" si="62"/>
        <v>433.99999131999999</v>
      </c>
      <c r="J96" s="49">
        <f t="shared" ref="J96:J106" si="68">H96+I96</f>
        <v>6549.2334690153284</v>
      </c>
      <c r="K96" s="114"/>
      <c r="L96" s="324">
        <f t="shared" si="65"/>
        <v>6549.2334690153284</v>
      </c>
      <c r="M96" s="291">
        <f t="shared" si="66"/>
        <v>5894.3101221137958</v>
      </c>
      <c r="N96" s="114">
        <f t="shared" si="63"/>
        <v>0</v>
      </c>
      <c r="O96" s="325">
        <f t="shared" si="64"/>
        <v>5894.3101221137958</v>
      </c>
      <c r="P96" s="114">
        <f t="shared" si="67"/>
        <v>5239.3867752122633</v>
      </c>
      <c r="Q96" s="114">
        <f t="shared" si="49"/>
        <v>0</v>
      </c>
      <c r="R96" s="326">
        <f t="shared" si="50"/>
        <v>5239.3867752122633</v>
      </c>
      <c r="S96" s="291">
        <f t="shared" si="51"/>
        <v>4584.4634283107298</v>
      </c>
      <c r="T96" s="114">
        <f t="shared" si="52"/>
        <v>0</v>
      </c>
      <c r="U96" s="325">
        <f t="shared" si="53"/>
        <v>4584.4634283107298</v>
      </c>
      <c r="V96" s="291">
        <f t="shared" si="59"/>
        <v>3929.5400814091968</v>
      </c>
      <c r="W96" s="114">
        <f t="shared" si="54"/>
        <v>0</v>
      </c>
      <c r="X96" s="325">
        <f t="shared" si="55"/>
        <v>3929.5400814091968</v>
      </c>
      <c r="Y96" s="291">
        <f t="shared" si="56"/>
        <v>3274.6167345076642</v>
      </c>
      <c r="Z96" s="114">
        <f t="shared" si="57"/>
        <v>0</v>
      </c>
      <c r="AA96" s="325">
        <f t="shared" si="58"/>
        <v>3274.6167345076642</v>
      </c>
    </row>
    <row r="97" spans="1:27" ht="13.5" customHeight="1">
      <c r="A97" s="110">
        <v>5</v>
      </c>
      <c r="B97" s="50">
        <v>44958</v>
      </c>
      <c r="C97" s="61">
        <f>VLOOKUP(B97,'base(indices)'!$A$4:$C$183,3,FALSE)</f>
        <v>1302</v>
      </c>
      <c r="D97" s="87">
        <f>'base(indices)'!G161</f>
        <v>0.99999998000000001</v>
      </c>
      <c r="E97" s="52">
        <f t="shared" si="47"/>
        <v>1301.99997396</v>
      </c>
      <c r="F97" s="398">
        <f>'base(indices)'!I161</f>
        <v>0.16300000000000001</v>
      </c>
      <c r="G97" s="396">
        <f t="shared" si="48"/>
        <v>212.22599575548</v>
      </c>
      <c r="H97" s="146">
        <f t="shared" si="60"/>
        <v>6056.90387886192</v>
      </c>
      <c r="I97" s="91">
        <f t="shared" ref="I97:I105" si="69">E97/3</f>
        <v>433.99999131999999</v>
      </c>
      <c r="J97" s="59">
        <f t="shared" si="68"/>
        <v>6490.90387018192</v>
      </c>
      <c r="K97" s="57"/>
      <c r="L97" s="67">
        <f t="shared" si="65"/>
        <v>6490.90387018192</v>
      </c>
      <c r="M97" s="58">
        <f t="shared" si="66"/>
        <v>5841.8134831637281</v>
      </c>
      <c r="N97" s="57">
        <f t="shared" si="63"/>
        <v>0</v>
      </c>
      <c r="O97" s="59">
        <f t="shared" si="64"/>
        <v>5841.8134831637281</v>
      </c>
      <c r="P97" s="57">
        <f t="shared" si="67"/>
        <v>5192.7230961455361</v>
      </c>
      <c r="Q97" s="57">
        <f t="shared" si="49"/>
        <v>0</v>
      </c>
      <c r="R97" s="60">
        <f t="shared" si="50"/>
        <v>5192.7230961455361</v>
      </c>
      <c r="S97" s="58">
        <f t="shared" si="51"/>
        <v>4543.6327091273433</v>
      </c>
      <c r="T97" s="57">
        <f t="shared" si="52"/>
        <v>0</v>
      </c>
      <c r="U97" s="59">
        <f t="shared" si="53"/>
        <v>4543.6327091273433</v>
      </c>
      <c r="V97" s="58">
        <f t="shared" si="59"/>
        <v>3894.5423221091519</v>
      </c>
      <c r="W97" s="57">
        <f t="shared" si="54"/>
        <v>0</v>
      </c>
      <c r="X97" s="59">
        <f t="shared" si="55"/>
        <v>3894.5423221091519</v>
      </c>
      <c r="Y97" s="58">
        <f t="shared" si="56"/>
        <v>3245.45193509096</v>
      </c>
      <c r="Z97" s="57">
        <f t="shared" si="57"/>
        <v>0</v>
      </c>
      <c r="AA97" s="59">
        <f t="shared" si="58"/>
        <v>3245.45193509096</v>
      </c>
    </row>
    <row r="98" spans="1:27" ht="13.5" customHeight="1">
      <c r="A98" s="110">
        <v>5</v>
      </c>
      <c r="B98" s="40">
        <v>44986</v>
      </c>
      <c r="C98" s="61">
        <f>VLOOKUP(B98,'base(indices)'!$A$4:$C$183,3,FALSE)</f>
        <v>1302</v>
      </c>
      <c r="D98" s="87">
        <f>'base(indices)'!G162</f>
        <v>0.99999998000000001</v>
      </c>
      <c r="E98" s="52">
        <f t="shared" si="47"/>
        <v>1301.99997396</v>
      </c>
      <c r="F98" s="398">
        <f>'base(indices)'!I162</f>
        <v>0.15379999999999999</v>
      </c>
      <c r="G98" s="396">
        <f t="shared" si="48"/>
        <v>200.24759599504799</v>
      </c>
      <c r="H98" s="146">
        <f t="shared" si="60"/>
        <v>6008.990279820192</v>
      </c>
      <c r="I98" s="108">
        <f t="shared" si="69"/>
        <v>433.99999131999999</v>
      </c>
      <c r="J98" s="46">
        <f t="shared" si="68"/>
        <v>6442.9902711401919</v>
      </c>
      <c r="K98" s="66"/>
      <c r="L98" s="144">
        <f t="shared" si="65"/>
        <v>6442.9902711401919</v>
      </c>
      <c r="M98" s="119">
        <f t="shared" si="66"/>
        <v>5798.6912440261731</v>
      </c>
      <c r="N98" s="66">
        <f t="shared" si="63"/>
        <v>0</v>
      </c>
      <c r="O98" s="116">
        <f t="shared" si="64"/>
        <v>5798.6912440261731</v>
      </c>
      <c r="P98" s="66">
        <f t="shared" si="67"/>
        <v>5154.3922169121543</v>
      </c>
      <c r="Q98" s="66">
        <f t="shared" si="49"/>
        <v>0</v>
      </c>
      <c r="R98" s="145">
        <f t="shared" si="50"/>
        <v>5154.3922169121543</v>
      </c>
      <c r="S98" s="119">
        <f t="shared" si="51"/>
        <v>4510.0931897981336</v>
      </c>
      <c r="T98" s="66">
        <f t="shared" si="52"/>
        <v>0</v>
      </c>
      <c r="U98" s="116">
        <f t="shared" si="53"/>
        <v>4510.0931897981336</v>
      </c>
      <c r="V98" s="119">
        <f t="shared" si="59"/>
        <v>3865.7941626841148</v>
      </c>
      <c r="W98" s="66">
        <f t="shared" si="54"/>
        <v>0</v>
      </c>
      <c r="X98" s="116">
        <f t="shared" si="55"/>
        <v>3865.7941626841148</v>
      </c>
      <c r="Y98" s="119">
        <f t="shared" si="56"/>
        <v>3221.495135570096</v>
      </c>
      <c r="Z98" s="66">
        <f t="shared" si="57"/>
        <v>0</v>
      </c>
      <c r="AA98" s="116">
        <f t="shared" si="58"/>
        <v>3221.495135570096</v>
      </c>
    </row>
    <row r="99" spans="1:27" ht="13.5" customHeight="1">
      <c r="A99" s="110">
        <v>5</v>
      </c>
      <c r="B99" s="50">
        <v>45017</v>
      </c>
      <c r="C99" s="61">
        <f>VLOOKUP(B99,'base(indices)'!$A$4:$C$183,3,FALSE)</f>
        <v>1302</v>
      </c>
      <c r="D99" s="87">
        <f>'base(indices)'!G163</f>
        <v>0.99999998000000001</v>
      </c>
      <c r="E99" s="52">
        <f t="shared" si="47"/>
        <v>1301.99997396</v>
      </c>
      <c r="F99" s="398">
        <f>'base(indices)'!I163</f>
        <v>0.1421</v>
      </c>
      <c r="G99" s="396">
        <f t="shared" si="48"/>
        <v>185.01419629971602</v>
      </c>
      <c r="H99" s="146">
        <f t="shared" si="60"/>
        <v>5948.0566810388646</v>
      </c>
      <c r="I99" s="91">
        <f t="shared" si="69"/>
        <v>433.99999131999999</v>
      </c>
      <c r="J99" s="59">
        <f t="shared" si="68"/>
        <v>6382.0566723588645</v>
      </c>
      <c r="K99" s="57"/>
      <c r="L99" s="67">
        <f t="shared" si="65"/>
        <v>6382.0566723588645</v>
      </c>
      <c r="M99" s="58">
        <f t="shared" si="66"/>
        <v>5743.8510051229778</v>
      </c>
      <c r="N99" s="57">
        <f t="shared" si="63"/>
        <v>0</v>
      </c>
      <c r="O99" s="59">
        <f t="shared" si="64"/>
        <v>5743.8510051229778</v>
      </c>
      <c r="P99" s="57">
        <f t="shared" si="67"/>
        <v>5105.645337887092</v>
      </c>
      <c r="Q99" s="57">
        <f t="shared" si="49"/>
        <v>0</v>
      </c>
      <c r="R99" s="60">
        <f t="shared" si="50"/>
        <v>5105.645337887092</v>
      </c>
      <c r="S99" s="58">
        <f t="shared" si="51"/>
        <v>4467.4396706512052</v>
      </c>
      <c r="T99" s="57">
        <f t="shared" si="52"/>
        <v>0</v>
      </c>
      <c r="U99" s="59">
        <f t="shared" si="53"/>
        <v>4467.4396706512052</v>
      </c>
      <c r="V99" s="58">
        <f t="shared" si="59"/>
        <v>3829.2340034153185</v>
      </c>
      <c r="W99" s="57">
        <f t="shared" si="54"/>
        <v>0</v>
      </c>
      <c r="X99" s="59">
        <f t="shared" si="55"/>
        <v>3829.2340034153185</v>
      </c>
      <c r="Y99" s="58">
        <f t="shared" si="56"/>
        <v>3191.0283361794322</v>
      </c>
      <c r="Z99" s="57">
        <f t="shared" si="57"/>
        <v>0</v>
      </c>
      <c r="AA99" s="59">
        <f t="shared" si="58"/>
        <v>3191.0283361794322</v>
      </c>
    </row>
    <row r="100" spans="1:27" ht="13.5" customHeight="1">
      <c r="A100" s="110">
        <v>5</v>
      </c>
      <c r="B100" s="40">
        <v>45047</v>
      </c>
      <c r="C100" s="61">
        <f>VLOOKUP(B100,'base(indices)'!$A$4:$C$183,3,FALSE)</f>
        <v>1320</v>
      </c>
      <c r="D100" s="87">
        <f>'base(indices)'!G164</f>
        <v>0.99999998000000001</v>
      </c>
      <c r="E100" s="52">
        <f t="shared" si="47"/>
        <v>1319.9999736</v>
      </c>
      <c r="F100" s="398">
        <f>'base(indices)'!I164</f>
        <v>0.13289999999999999</v>
      </c>
      <c r="G100" s="396">
        <f t="shared" si="48"/>
        <v>175.42799649143998</v>
      </c>
      <c r="H100" s="146">
        <f t="shared" si="60"/>
        <v>5981.7118803657595</v>
      </c>
      <c r="I100" s="108">
        <f t="shared" si="69"/>
        <v>439.99999120000001</v>
      </c>
      <c r="J100" s="46">
        <f t="shared" si="68"/>
        <v>6421.7118715657598</v>
      </c>
      <c r="K100" s="66"/>
      <c r="L100" s="144">
        <f t="shared" si="65"/>
        <v>6421.7118715657598</v>
      </c>
      <c r="M100" s="119">
        <f t="shared" si="66"/>
        <v>5779.540684409184</v>
      </c>
      <c r="N100" s="66">
        <f t="shared" si="63"/>
        <v>0</v>
      </c>
      <c r="O100" s="116">
        <f t="shared" si="64"/>
        <v>5779.540684409184</v>
      </c>
      <c r="P100" s="66">
        <f t="shared" si="67"/>
        <v>5137.3694972526082</v>
      </c>
      <c r="Q100" s="66">
        <f t="shared" si="49"/>
        <v>0</v>
      </c>
      <c r="R100" s="145">
        <f t="shared" si="50"/>
        <v>5137.3694972526082</v>
      </c>
      <c r="S100" s="119">
        <f t="shared" si="51"/>
        <v>4495.1983100960315</v>
      </c>
      <c r="T100" s="66">
        <f t="shared" si="52"/>
        <v>0</v>
      </c>
      <c r="U100" s="116">
        <f t="shared" si="53"/>
        <v>4495.1983100960315</v>
      </c>
      <c r="V100" s="119">
        <f t="shared" si="59"/>
        <v>3853.0271229394557</v>
      </c>
      <c r="W100" s="66">
        <f t="shared" si="54"/>
        <v>0</v>
      </c>
      <c r="X100" s="116">
        <f t="shared" si="55"/>
        <v>3853.0271229394557</v>
      </c>
      <c r="Y100" s="119">
        <f t="shared" si="56"/>
        <v>3210.8559357828799</v>
      </c>
      <c r="Z100" s="66">
        <f t="shared" si="57"/>
        <v>0</v>
      </c>
      <c r="AA100" s="116">
        <f t="shared" si="58"/>
        <v>3210.8559357828799</v>
      </c>
    </row>
    <row r="101" spans="1:27" ht="13.5" customHeight="1">
      <c r="A101" s="110">
        <v>5</v>
      </c>
      <c r="B101" s="50">
        <v>45078</v>
      </c>
      <c r="C101" s="61">
        <f>VLOOKUP(B101,'base(indices)'!$A$4:$C$183,3,FALSE)</f>
        <v>1320</v>
      </c>
      <c r="D101" s="87">
        <f>'base(indices)'!G165</f>
        <v>0.99999998000000001</v>
      </c>
      <c r="E101" s="52">
        <f t="shared" si="47"/>
        <v>1319.9999736</v>
      </c>
      <c r="F101" s="398">
        <f>'base(indices)'!I165</f>
        <v>0.1217</v>
      </c>
      <c r="G101" s="396">
        <f t="shared" si="48"/>
        <v>160.64399678711999</v>
      </c>
      <c r="H101" s="146">
        <f t="shared" si="60"/>
        <v>5922.5758815484796</v>
      </c>
      <c r="I101" s="91">
        <f t="shared" si="69"/>
        <v>439.99999120000001</v>
      </c>
      <c r="J101" s="59">
        <f t="shared" si="68"/>
        <v>6362.5758727484799</v>
      </c>
      <c r="K101" s="57"/>
      <c r="L101" s="67">
        <f t="shared" si="65"/>
        <v>6362.5758727484799</v>
      </c>
      <c r="M101" s="58">
        <f t="shared" si="66"/>
        <v>5726.3182854736324</v>
      </c>
      <c r="N101" s="57">
        <f t="shared" si="63"/>
        <v>0</v>
      </c>
      <c r="O101" s="59">
        <f t="shared" si="64"/>
        <v>5726.3182854736324</v>
      </c>
      <c r="P101" s="57">
        <f t="shared" si="67"/>
        <v>5090.0606981987839</v>
      </c>
      <c r="Q101" s="57">
        <f t="shared" si="49"/>
        <v>0</v>
      </c>
      <c r="R101" s="60">
        <f t="shared" si="50"/>
        <v>5090.0606981987839</v>
      </c>
      <c r="S101" s="58">
        <f t="shared" si="51"/>
        <v>4453.8031109239355</v>
      </c>
      <c r="T101" s="57">
        <f t="shared" si="52"/>
        <v>0</v>
      </c>
      <c r="U101" s="59">
        <f t="shared" si="53"/>
        <v>4453.8031109239355</v>
      </c>
      <c r="V101" s="58">
        <f t="shared" si="59"/>
        <v>3817.545523649088</v>
      </c>
      <c r="W101" s="57">
        <f t="shared" si="54"/>
        <v>0</v>
      </c>
      <c r="X101" s="59">
        <f t="shared" si="55"/>
        <v>3817.545523649088</v>
      </c>
      <c r="Y101" s="58">
        <f t="shared" si="56"/>
        <v>3181.28793637424</v>
      </c>
      <c r="Z101" s="57">
        <f t="shared" si="57"/>
        <v>0</v>
      </c>
      <c r="AA101" s="59">
        <f t="shared" si="58"/>
        <v>3181.28793637424</v>
      </c>
    </row>
    <row r="102" spans="1:27" ht="13.5" customHeight="1">
      <c r="A102" s="110">
        <v>5</v>
      </c>
      <c r="B102" s="40">
        <v>45108</v>
      </c>
      <c r="C102" s="61">
        <f>VLOOKUP(B102,'base(indices)'!$A$4:$C$183,3,FALSE)</f>
        <v>1320</v>
      </c>
      <c r="D102" s="87">
        <f>'base(indices)'!G166</f>
        <v>0.99999998000000001</v>
      </c>
      <c r="E102" s="52">
        <f t="shared" si="47"/>
        <v>1319.9999736</v>
      </c>
      <c r="F102" s="398">
        <f>'base(indices)'!I166</f>
        <v>0.111</v>
      </c>
      <c r="G102" s="396">
        <f t="shared" si="48"/>
        <v>146.51999706960001</v>
      </c>
      <c r="H102" s="146">
        <f t="shared" si="60"/>
        <v>5866.0798826784003</v>
      </c>
      <c r="I102" s="108">
        <f t="shared" si="69"/>
        <v>439.99999120000001</v>
      </c>
      <c r="J102" s="46">
        <f t="shared" si="68"/>
        <v>6306.0798738784006</v>
      </c>
      <c r="K102" s="66"/>
      <c r="L102" s="144">
        <f t="shared" si="65"/>
        <v>6306.0798738784006</v>
      </c>
      <c r="M102" s="119">
        <f t="shared" si="66"/>
        <v>5675.4718864905608</v>
      </c>
      <c r="N102" s="66">
        <f t="shared" si="63"/>
        <v>0</v>
      </c>
      <c r="O102" s="116">
        <f t="shared" si="64"/>
        <v>5675.4718864905608</v>
      </c>
      <c r="P102" s="66">
        <f t="shared" si="67"/>
        <v>5044.863899102721</v>
      </c>
      <c r="Q102" s="66">
        <f t="shared" si="49"/>
        <v>0</v>
      </c>
      <c r="R102" s="145">
        <f t="shared" si="50"/>
        <v>5044.863899102721</v>
      </c>
      <c r="S102" s="119">
        <f t="shared" si="51"/>
        <v>4414.2559117148803</v>
      </c>
      <c r="T102" s="66">
        <f t="shared" si="52"/>
        <v>0</v>
      </c>
      <c r="U102" s="116">
        <f t="shared" si="53"/>
        <v>4414.2559117148803</v>
      </c>
      <c r="V102" s="119">
        <f t="shared" si="59"/>
        <v>3783.6479243270401</v>
      </c>
      <c r="W102" s="66">
        <f t="shared" si="54"/>
        <v>0</v>
      </c>
      <c r="X102" s="116">
        <f t="shared" si="55"/>
        <v>3783.6479243270401</v>
      </c>
      <c r="Y102" s="119">
        <f t="shared" si="56"/>
        <v>3153.0399369392003</v>
      </c>
      <c r="Z102" s="66">
        <f t="shared" si="57"/>
        <v>0</v>
      </c>
      <c r="AA102" s="116">
        <f t="shared" si="58"/>
        <v>3153.0399369392003</v>
      </c>
    </row>
    <row r="103" spans="1:27" ht="13.5" customHeight="1">
      <c r="A103" s="110">
        <v>5</v>
      </c>
      <c r="B103" s="50">
        <v>45139</v>
      </c>
      <c r="C103" s="61">
        <f>VLOOKUP(B103,'base(indices)'!$A$4:$C$183,3,FALSE)</f>
        <v>1320</v>
      </c>
      <c r="D103" s="87">
        <f>'base(indices)'!G167</f>
        <v>0.99999998000000001</v>
      </c>
      <c r="E103" s="52">
        <f t="shared" si="47"/>
        <v>1319.9999736</v>
      </c>
      <c r="F103" s="398">
        <f>'base(indices)'!I167</f>
        <v>0.1003</v>
      </c>
      <c r="G103" s="396">
        <f t="shared" si="48"/>
        <v>132.39599735208</v>
      </c>
      <c r="H103" s="146">
        <f t="shared" si="60"/>
        <v>5809.58388380832</v>
      </c>
      <c r="I103" s="91">
        <f t="shared" si="69"/>
        <v>439.99999120000001</v>
      </c>
      <c r="J103" s="59">
        <f t="shared" si="68"/>
        <v>6249.5838750083203</v>
      </c>
      <c r="K103" s="57"/>
      <c r="L103" s="67">
        <f t="shared" si="65"/>
        <v>6249.5838750083203</v>
      </c>
      <c r="M103" s="58">
        <f t="shared" si="66"/>
        <v>5624.6254875074883</v>
      </c>
      <c r="N103" s="57">
        <f t="shared" si="63"/>
        <v>0</v>
      </c>
      <c r="O103" s="59">
        <f t="shared" si="64"/>
        <v>5624.6254875074883</v>
      </c>
      <c r="P103" s="57">
        <f t="shared" si="67"/>
        <v>4999.6671000066563</v>
      </c>
      <c r="Q103" s="57">
        <f t="shared" si="49"/>
        <v>0</v>
      </c>
      <c r="R103" s="60">
        <f t="shared" si="50"/>
        <v>4999.6671000066563</v>
      </c>
      <c r="S103" s="58">
        <f t="shared" si="51"/>
        <v>4374.7087125058242</v>
      </c>
      <c r="T103" s="57">
        <f t="shared" si="52"/>
        <v>0</v>
      </c>
      <c r="U103" s="59">
        <f t="shared" si="53"/>
        <v>4374.7087125058242</v>
      </c>
      <c r="V103" s="58">
        <f t="shared" si="59"/>
        <v>3749.7503250049922</v>
      </c>
      <c r="W103" s="57">
        <f t="shared" si="54"/>
        <v>0</v>
      </c>
      <c r="X103" s="59">
        <f t="shared" si="55"/>
        <v>3749.7503250049922</v>
      </c>
      <c r="Y103" s="58">
        <f t="shared" si="56"/>
        <v>3124.7919375041602</v>
      </c>
      <c r="Z103" s="57">
        <f t="shared" si="57"/>
        <v>0</v>
      </c>
      <c r="AA103" s="59">
        <f t="shared" si="58"/>
        <v>3124.7919375041602</v>
      </c>
    </row>
    <row r="104" spans="1:27" ht="13.5" customHeight="1">
      <c r="A104" s="110">
        <v>5</v>
      </c>
      <c r="B104" s="40">
        <v>45170</v>
      </c>
      <c r="C104" s="61">
        <f>VLOOKUP(B104,'base(indices)'!$A$4:$C$183,3,FALSE)</f>
        <v>1320</v>
      </c>
      <c r="D104" s="87">
        <f>'base(indices)'!G168</f>
        <v>0.99999998000000001</v>
      </c>
      <c r="E104" s="52">
        <f t="shared" si="47"/>
        <v>1319.9999736</v>
      </c>
      <c r="F104" s="398">
        <f>'base(indices)'!I168</f>
        <v>8.8900000000000007E-2</v>
      </c>
      <c r="G104" s="396">
        <f t="shared" si="48"/>
        <v>117.34799765304001</v>
      </c>
      <c r="H104" s="146">
        <f t="shared" si="60"/>
        <v>5749.3918850121599</v>
      </c>
      <c r="I104" s="108">
        <f t="shared" si="69"/>
        <v>439.99999120000001</v>
      </c>
      <c r="J104" s="46">
        <f t="shared" si="68"/>
        <v>6189.3918762121602</v>
      </c>
      <c r="K104" s="66"/>
      <c r="L104" s="144">
        <f t="shared" si="65"/>
        <v>6189.3918762121602</v>
      </c>
      <c r="M104" s="119">
        <f t="shared" si="66"/>
        <v>5570.4526885909445</v>
      </c>
      <c r="N104" s="66">
        <f t="shared" si="63"/>
        <v>0</v>
      </c>
      <c r="O104" s="116">
        <f t="shared" si="64"/>
        <v>5570.4526885909445</v>
      </c>
      <c r="P104" s="66">
        <f t="shared" si="67"/>
        <v>4951.5135009697287</v>
      </c>
      <c r="Q104" s="66">
        <f t="shared" si="49"/>
        <v>0</v>
      </c>
      <c r="R104" s="145">
        <f t="shared" si="50"/>
        <v>4951.5135009697287</v>
      </c>
      <c r="S104" s="119">
        <f t="shared" si="51"/>
        <v>4332.5743133485121</v>
      </c>
      <c r="T104" s="66">
        <f t="shared" si="52"/>
        <v>0</v>
      </c>
      <c r="U104" s="116">
        <f t="shared" si="53"/>
        <v>4332.5743133485121</v>
      </c>
      <c r="V104" s="119">
        <f t="shared" si="59"/>
        <v>3713.6351257272959</v>
      </c>
      <c r="W104" s="66">
        <f t="shared" si="54"/>
        <v>0</v>
      </c>
      <c r="X104" s="116">
        <f t="shared" si="55"/>
        <v>3713.6351257272959</v>
      </c>
      <c r="Y104" s="119">
        <f t="shared" si="56"/>
        <v>3094.6959381060801</v>
      </c>
      <c r="Z104" s="66">
        <f t="shared" si="57"/>
        <v>0</v>
      </c>
      <c r="AA104" s="116">
        <f t="shared" si="58"/>
        <v>3094.6959381060801</v>
      </c>
    </row>
    <row r="105" spans="1:27" ht="13.5" customHeight="1">
      <c r="A105" s="110">
        <v>5</v>
      </c>
      <c r="B105" s="50">
        <v>45200</v>
      </c>
      <c r="C105" s="61">
        <f>VLOOKUP(B105,'base(indices)'!$A$4:$C$183,3,FALSE)</f>
        <v>1320</v>
      </c>
      <c r="D105" s="87">
        <f>'base(indices)'!G169</f>
        <v>0.99999998000000001</v>
      </c>
      <c r="E105" s="52">
        <f t="shared" si="47"/>
        <v>1319.9999736</v>
      </c>
      <c r="F105" s="398">
        <f>'base(indices)'!I169</f>
        <v>7.9200000000000007E-2</v>
      </c>
      <c r="G105" s="396">
        <f t="shared" si="48"/>
        <v>104.54399790912001</v>
      </c>
      <c r="H105" s="146">
        <f t="shared" si="60"/>
        <v>5698.1758860364798</v>
      </c>
      <c r="I105" s="91">
        <f t="shared" si="69"/>
        <v>439.99999120000001</v>
      </c>
      <c r="J105" s="59">
        <f t="shared" si="68"/>
        <v>6138.1758772364801</v>
      </c>
      <c r="K105" s="57"/>
      <c r="L105" s="67">
        <f t="shared" si="65"/>
        <v>6138.1758772364801</v>
      </c>
      <c r="M105" s="58">
        <f t="shared" si="66"/>
        <v>5524.358289512832</v>
      </c>
      <c r="N105" s="57">
        <f t="shared" si="63"/>
        <v>0</v>
      </c>
      <c r="O105" s="59">
        <f t="shared" si="64"/>
        <v>5524.358289512832</v>
      </c>
      <c r="P105" s="57">
        <f t="shared" si="67"/>
        <v>4910.5407017891839</v>
      </c>
      <c r="Q105" s="57">
        <f t="shared" si="49"/>
        <v>0</v>
      </c>
      <c r="R105" s="60">
        <f t="shared" si="50"/>
        <v>4910.5407017891839</v>
      </c>
      <c r="S105" s="58">
        <f t="shared" si="51"/>
        <v>4296.7231140655358</v>
      </c>
      <c r="T105" s="57">
        <f t="shared" si="52"/>
        <v>0</v>
      </c>
      <c r="U105" s="59">
        <f t="shared" si="53"/>
        <v>4296.7231140655358</v>
      </c>
      <c r="V105" s="58">
        <f t="shared" si="59"/>
        <v>3682.9055263418882</v>
      </c>
      <c r="W105" s="57">
        <f t="shared" si="54"/>
        <v>0</v>
      </c>
      <c r="X105" s="59">
        <f t="shared" si="55"/>
        <v>3682.9055263418882</v>
      </c>
      <c r="Y105" s="58">
        <f t="shared" si="56"/>
        <v>3069.0879386182401</v>
      </c>
      <c r="Z105" s="57">
        <f t="shared" si="57"/>
        <v>0</v>
      </c>
      <c r="AA105" s="59">
        <f t="shared" si="58"/>
        <v>3069.0879386182401</v>
      </c>
    </row>
    <row r="106" spans="1:27" ht="13.5" customHeight="1">
      <c r="A106" s="110">
        <v>5</v>
      </c>
      <c r="B106" s="40">
        <v>45231</v>
      </c>
      <c r="C106" s="61">
        <f>VLOOKUP(B106,'base(indices)'!$A$4:$C$183,3,FALSE)</f>
        <v>1320</v>
      </c>
      <c r="D106" s="87">
        <f>'base(indices)'!G170</f>
        <v>0.99999998000000001</v>
      </c>
      <c r="E106" s="52">
        <f t="shared" si="47"/>
        <v>1319.9999736</v>
      </c>
      <c r="F106" s="398">
        <f>'base(indices)'!I170</f>
        <v>6.9199999999999998E-2</v>
      </c>
      <c r="G106" s="396">
        <f t="shared" si="48"/>
        <v>91.343998173119999</v>
      </c>
      <c r="H106" s="146">
        <f t="shared" si="60"/>
        <v>5645.3758870924803</v>
      </c>
      <c r="I106" s="108">
        <f>E106/3</f>
        <v>439.99999120000001</v>
      </c>
      <c r="J106" s="46">
        <f t="shared" si="68"/>
        <v>6085.3758782924806</v>
      </c>
      <c r="K106" s="66"/>
      <c r="L106" s="144">
        <f t="shared" si="65"/>
        <v>6085.3758782924806</v>
      </c>
      <c r="M106" s="119">
        <f t="shared" si="66"/>
        <v>5476.8382904632326</v>
      </c>
      <c r="N106" s="66">
        <f t="shared" si="63"/>
        <v>0</v>
      </c>
      <c r="O106" s="116">
        <f t="shared" si="64"/>
        <v>5476.8382904632326</v>
      </c>
      <c r="P106" s="66">
        <f t="shared" si="67"/>
        <v>4868.3007026339847</v>
      </c>
      <c r="Q106" s="66">
        <f t="shared" si="49"/>
        <v>0</v>
      </c>
      <c r="R106" s="145">
        <f t="shared" si="50"/>
        <v>4868.3007026339847</v>
      </c>
      <c r="S106" s="119">
        <f t="shared" si="51"/>
        <v>4259.7631148047358</v>
      </c>
      <c r="T106" s="66">
        <f t="shared" si="52"/>
        <v>0</v>
      </c>
      <c r="U106" s="116">
        <f t="shared" si="53"/>
        <v>4259.7631148047358</v>
      </c>
      <c r="V106" s="119">
        <f t="shared" si="59"/>
        <v>3651.2255269754883</v>
      </c>
      <c r="W106" s="66">
        <f t="shared" si="54"/>
        <v>0</v>
      </c>
      <c r="X106" s="116">
        <f t="shared" si="55"/>
        <v>3651.2255269754883</v>
      </c>
      <c r="Y106" s="119">
        <f t="shared" si="56"/>
        <v>3042.6879391462403</v>
      </c>
      <c r="Z106" s="66">
        <f t="shared" si="57"/>
        <v>0</v>
      </c>
      <c r="AA106" s="116">
        <f t="shared" si="58"/>
        <v>3042.6879391462403</v>
      </c>
    </row>
    <row r="107" spans="1:27" ht="13.5" customHeight="1" thickBot="1">
      <c r="A107" s="161">
        <v>5</v>
      </c>
      <c r="B107" s="50">
        <v>45261</v>
      </c>
      <c r="C107" s="69">
        <f>VLOOKUP(B107,'base(indices)'!$A$4:$C$183,3,FALSE)</f>
        <v>1320</v>
      </c>
      <c r="D107" s="242">
        <f>'base(indices)'!G171</f>
        <v>0.99999998000000001</v>
      </c>
      <c r="E107" s="182">
        <f t="shared" si="47"/>
        <v>1319.9999736</v>
      </c>
      <c r="F107" s="399">
        <f>'base(indices)'!I171</f>
        <v>0.06</v>
      </c>
      <c r="G107" s="220">
        <f t="shared" si="48"/>
        <v>79.199998416</v>
      </c>
      <c r="H107" s="183">
        <f t="shared" si="60"/>
        <v>5596.7998880639998</v>
      </c>
      <c r="I107" s="240">
        <f t="shared" si="62"/>
        <v>439.99999120000001</v>
      </c>
      <c r="J107" s="240">
        <f t="shared" si="61"/>
        <v>6036.7998792640001</v>
      </c>
      <c r="K107" s="85"/>
      <c r="L107" s="184">
        <f t="shared" si="65"/>
        <v>6036.7998792640001</v>
      </c>
      <c r="M107" s="175">
        <f t="shared" si="66"/>
        <v>5433.1198913376002</v>
      </c>
      <c r="N107" s="85">
        <f t="shared" si="63"/>
        <v>0</v>
      </c>
      <c r="O107" s="165">
        <f t="shared" si="64"/>
        <v>5433.1198913376002</v>
      </c>
      <c r="P107" s="85">
        <f t="shared" si="67"/>
        <v>4829.4399034112002</v>
      </c>
      <c r="Q107" s="85">
        <f t="shared" si="49"/>
        <v>0</v>
      </c>
      <c r="R107" s="107">
        <f t="shared" si="50"/>
        <v>4829.4399034112002</v>
      </c>
      <c r="S107" s="175">
        <f t="shared" si="51"/>
        <v>4225.7599154847994</v>
      </c>
      <c r="T107" s="85">
        <f t="shared" si="52"/>
        <v>0</v>
      </c>
      <c r="U107" s="165">
        <f t="shared" si="53"/>
        <v>4225.7599154847994</v>
      </c>
      <c r="V107" s="175">
        <f t="shared" si="59"/>
        <v>3622.0799275584</v>
      </c>
      <c r="W107" s="85">
        <f t="shared" si="54"/>
        <v>0</v>
      </c>
      <c r="X107" s="165">
        <f t="shared" si="55"/>
        <v>3622.0799275584</v>
      </c>
      <c r="Y107" s="175">
        <f t="shared" si="56"/>
        <v>3018.399939632</v>
      </c>
      <c r="Z107" s="85">
        <f t="shared" si="57"/>
        <v>0</v>
      </c>
      <c r="AA107" s="165">
        <f t="shared" si="58"/>
        <v>3018.399939632</v>
      </c>
    </row>
    <row r="108" spans="1:27" ht="12.75" customHeight="1" thickBot="1">
      <c r="A108" s="171"/>
      <c r="B108" s="389" t="s">
        <v>24</v>
      </c>
      <c r="C108" s="120"/>
      <c r="D108" s="389"/>
      <c r="E108" s="390"/>
      <c r="F108" s="470">
        <f>V8</f>
        <v>45474</v>
      </c>
      <c r="G108" s="471"/>
      <c r="H108" s="472"/>
      <c r="I108" s="472"/>
      <c r="K108" s="35"/>
      <c r="L108" s="35"/>
      <c r="M108" s="36"/>
      <c r="N108" s="34"/>
      <c r="O108" s="34"/>
      <c r="P108" s="34"/>
      <c r="Q108" s="34"/>
      <c r="R108" s="34"/>
      <c r="S108" s="34"/>
      <c r="T108" s="34"/>
      <c r="U108" s="34"/>
      <c r="V108" s="34"/>
      <c r="W108" s="34"/>
      <c r="Y108" s="34"/>
      <c r="Z108" s="34"/>
    </row>
    <row r="109" spans="1:27" ht="12.75" customHeight="1">
      <c r="A109" s="166">
        <v>5</v>
      </c>
      <c r="B109" s="136">
        <v>45292</v>
      </c>
      <c r="C109" s="41">
        <f>VLOOKUP(B109,'base(indices)'!$A$4:$C$183,3,FALSE)</f>
        <v>1412</v>
      </c>
      <c r="D109" s="167">
        <f>'base(indices)'!G172</f>
        <v>0.99999998000000001</v>
      </c>
      <c r="E109" s="125">
        <f t="shared" ref="E109:E120" si="70">C109*D109</f>
        <v>1411.9999717600001</v>
      </c>
      <c r="F109" s="79">
        <f>'base(indices)'!I172</f>
        <v>5.11E-2</v>
      </c>
      <c r="G109" s="78">
        <f t="shared" ref="G109:G120" si="71">E109*F109</f>
        <v>72.153198556936005</v>
      </c>
      <c r="H109" s="391">
        <f>(E109+F109)*4</f>
        <v>5648.2042870400001</v>
      </c>
      <c r="I109" s="96">
        <f>E109/3</f>
        <v>470.66665725333337</v>
      </c>
      <c r="J109" s="96">
        <v>0</v>
      </c>
      <c r="K109" s="96">
        <f>H109+I109</f>
        <v>6118.8709442933332</v>
      </c>
      <c r="L109" s="122">
        <f>J109+K109</f>
        <v>6118.8709442933332</v>
      </c>
      <c r="M109" s="96">
        <f>$J109*M$10</f>
        <v>0</v>
      </c>
      <c r="N109" s="138">
        <f>$K109*M$10</f>
        <v>5506.9838498640001</v>
      </c>
      <c r="O109" s="49">
        <f>M109+N109</f>
        <v>5506.9838498640001</v>
      </c>
      <c r="P109" s="48">
        <f>$J109*P$10</f>
        <v>0</v>
      </c>
      <c r="Q109" s="138">
        <f>$K109*P$10</f>
        <v>4895.0967554346671</v>
      </c>
      <c r="R109" s="139">
        <f>P109+Q109</f>
        <v>4895.0967554346671</v>
      </c>
      <c r="S109" s="48">
        <f>$J109*S$10</f>
        <v>0</v>
      </c>
      <c r="T109" s="138">
        <f>$K109*S$10</f>
        <v>4283.2096610053331</v>
      </c>
      <c r="U109" s="139">
        <f>S109+T109</f>
        <v>4283.2096610053331</v>
      </c>
      <c r="V109" s="48">
        <f>$J109*V$10</f>
        <v>0</v>
      </c>
      <c r="W109" s="138">
        <f>$K109*V$10</f>
        <v>3671.3225665759996</v>
      </c>
      <c r="X109" s="49">
        <f>V109+W109</f>
        <v>3671.3225665759996</v>
      </c>
      <c r="Y109" s="48">
        <f>$J109*Y$10</f>
        <v>0</v>
      </c>
      <c r="Z109" s="138">
        <f>$K109*Y$10</f>
        <v>3059.4354721466666</v>
      </c>
      <c r="AA109" s="49">
        <f>Y109+Z109</f>
        <v>3059.4354721466666</v>
      </c>
    </row>
    <row r="110" spans="1:27" s="26" customFormat="1" ht="12.75" customHeight="1">
      <c r="A110" s="105">
        <v>5</v>
      </c>
      <c r="B110" s="50">
        <v>45323</v>
      </c>
      <c r="C110" s="61">
        <f>VLOOKUP(B110,'base(indices)'!$A$4:$C$183,3,FALSE)</f>
        <v>1412</v>
      </c>
      <c r="D110" s="160">
        <f>'base(indices)'!G173</f>
        <v>0.99999998000000001</v>
      </c>
      <c r="E110" s="63">
        <f t="shared" si="70"/>
        <v>1411.9999717600001</v>
      </c>
      <c r="F110" s="53">
        <f>'base(indices)'!I173</f>
        <v>4.1399999999999999E-2</v>
      </c>
      <c r="G110" s="54">
        <f t="shared" si="71"/>
        <v>58.456798830864003</v>
      </c>
      <c r="H110" s="392">
        <f>(E110+G110)*4</f>
        <v>5881.8270823634566</v>
      </c>
      <c r="I110" s="94">
        <f t="shared" ref="I110:I120" si="72">E110/3</f>
        <v>470.66665725333337</v>
      </c>
      <c r="J110" s="94">
        <v>0</v>
      </c>
      <c r="K110" s="94">
        <f>H110+I110</f>
        <v>6352.4937396167898</v>
      </c>
      <c r="L110" s="123">
        <f t="shared" ref="L110:L121" si="73">J110+K110</f>
        <v>6352.4937396167898</v>
      </c>
      <c r="M110" s="94">
        <f t="shared" ref="M110:M121" si="74">$J110*M$10</f>
        <v>0</v>
      </c>
      <c r="N110" s="57">
        <f t="shared" ref="N110:N120" si="75">$K110*M$10</f>
        <v>5717.2443656551113</v>
      </c>
      <c r="O110" s="59">
        <f t="shared" ref="O110:O120" si="76">M110+N110</f>
        <v>5717.2443656551113</v>
      </c>
      <c r="P110" s="58">
        <f t="shared" ref="P110:P121" si="77">$J110*P$10</f>
        <v>0</v>
      </c>
      <c r="Q110" s="57">
        <f t="shared" ref="Q110:Q120" si="78">$K110*P$10</f>
        <v>5081.994991693432</v>
      </c>
      <c r="R110" s="60">
        <f t="shared" ref="R110:R120" si="79">P110+Q110</f>
        <v>5081.994991693432</v>
      </c>
      <c r="S110" s="58">
        <f t="shared" ref="S110:S121" si="80">$J110*S$10</f>
        <v>0</v>
      </c>
      <c r="T110" s="57">
        <f t="shared" ref="T110:T120" si="81">$K110*S$10</f>
        <v>4446.7456177317526</v>
      </c>
      <c r="U110" s="60">
        <f t="shared" ref="U110:U120" si="82">S110+T110</f>
        <v>4446.7456177317526</v>
      </c>
      <c r="V110" s="58">
        <f t="shared" ref="V110:V121" si="83">$J110*V$10</f>
        <v>0</v>
      </c>
      <c r="W110" s="57">
        <f t="shared" ref="W110:W120" si="84">$K110*V$10</f>
        <v>3811.4962437700738</v>
      </c>
      <c r="X110" s="59">
        <f t="shared" ref="X110:X120" si="85">V110+W110</f>
        <v>3811.4962437700738</v>
      </c>
      <c r="Y110" s="58">
        <f t="shared" ref="Y110:Y121" si="86">$J110*Y$10</f>
        <v>0</v>
      </c>
      <c r="Z110" s="57">
        <f t="shared" ref="Z110:Z120" si="87">$K110*Y$10</f>
        <v>3176.2468698083949</v>
      </c>
      <c r="AA110" s="59">
        <f t="shared" ref="AA110:AA120" si="88">Y110+Z110</f>
        <v>3176.2468698083949</v>
      </c>
    </row>
    <row r="111" spans="1:27" ht="12.75" customHeight="1">
      <c r="A111" s="104">
        <v>5</v>
      </c>
      <c r="B111" s="50">
        <v>45352</v>
      </c>
      <c r="C111" s="61">
        <f>VLOOKUP(B111,'base(indices)'!$A$4:$C$183,3,FALSE)</f>
        <v>1412</v>
      </c>
      <c r="D111" s="160">
        <f>'base(indices)'!G174</f>
        <v>0.99999998000000001</v>
      </c>
      <c r="E111" s="63">
        <f t="shared" si="70"/>
        <v>1411.9999717600001</v>
      </c>
      <c r="F111" s="53">
        <f>'base(indices)'!I174</f>
        <v>3.3399999999999999E-2</v>
      </c>
      <c r="G111" s="63">
        <f t="shared" si="71"/>
        <v>47.160799056784001</v>
      </c>
      <c r="H111" s="392">
        <f t="shared" ref="H111:H120" si="89">(E111+G111)*4</f>
        <v>5836.6430832671367</v>
      </c>
      <c r="I111" s="95">
        <f t="shared" si="72"/>
        <v>470.66665725333337</v>
      </c>
      <c r="J111" s="95">
        <v>0</v>
      </c>
      <c r="K111" s="95">
        <f>H111+I111</f>
        <v>6307.3097405204699</v>
      </c>
      <c r="L111" s="124">
        <f t="shared" si="73"/>
        <v>6307.3097405204699</v>
      </c>
      <c r="M111" s="95">
        <f t="shared" si="74"/>
        <v>0</v>
      </c>
      <c r="N111" s="43">
        <f t="shared" si="75"/>
        <v>5676.5787664684231</v>
      </c>
      <c r="O111" s="46">
        <f t="shared" si="76"/>
        <v>5676.5787664684231</v>
      </c>
      <c r="P111" s="45">
        <f t="shared" si="77"/>
        <v>0</v>
      </c>
      <c r="Q111" s="43">
        <f t="shared" si="78"/>
        <v>5045.8477924163763</v>
      </c>
      <c r="R111" s="47">
        <f t="shared" si="79"/>
        <v>5045.8477924163763</v>
      </c>
      <c r="S111" s="45">
        <f t="shared" si="80"/>
        <v>0</v>
      </c>
      <c r="T111" s="43">
        <f t="shared" si="81"/>
        <v>4415.1168183643285</v>
      </c>
      <c r="U111" s="47">
        <f t="shared" si="82"/>
        <v>4415.1168183643285</v>
      </c>
      <c r="V111" s="45">
        <f t="shared" si="83"/>
        <v>0</v>
      </c>
      <c r="W111" s="43">
        <f t="shared" si="84"/>
        <v>3784.3858443122817</v>
      </c>
      <c r="X111" s="46">
        <f t="shared" si="85"/>
        <v>3784.3858443122817</v>
      </c>
      <c r="Y111" s="45">
        <f t="shared" si="86"/>
        <v>0</v>
      </c>
      <c r="Z111" s="43">
        <f t="shared" si="87"/>
        <v>3153.6548702602349</v>
      </c>
      <c r="AA111" s="46">
        <f t="shared" si="88"/>
        <v>3153.6548702602349</v>
      </c>
    </row>
    <row r="112" spans="1:27" s="26" customFormat="1" ht="12.75" customHeight="1">
      <c r="A112" s="105">
        <v>5</v>
      </c>
      <c r="B112" s="50">
        <v>45383</v>
      </c>
      <c r="C112" s="61">
        <f>VLOOKUP(B112,'base(indices)'!$A$4:$C$183,3,FALSE)</f>
        <v>1412</v>
      </c>
      <c r="D112" s="160">
        <f>'base(indices)'!G175</f>
        <v>0.99999998000000001</v>
      </c>
      <c r="E112" s="63">
        <f t="shared" si="70"/>
        <v>1411.9999717600001</v>
      </c>
      <c r="F112" s="53">
        <f>'base(indices)'!I175</f>
        <v>2.5100000000000001E-2</v>
      </c>
      <c r="G112" s="54">
        <f t="shared" si="71"/>
        <v>35.441199291176005</v>
      </c>
      <c r="H112" s="392">
        <f t="shared" si="89"/>
        <v>5789.7646842047043</v>
      </c>
      <c r="I112" s="94">
        <f t="shared" si="72"/>
        <v>470.66665725333337</v>
      </c>
      <c r="J112" s="94">
        <v>0</v>
      </c>
      <c r="K112" s="94">
        <f t="shared" ref="K112:K120" si="90">H112+I112</f>
        <v>6260.4313414580374</v>
      </c>
      <c r="L112" s="123">
        <f t="shared" si="73"/>
        <v>6260.4313414580374</v>
      </c>
      <c r="M112" s="94">
        <f t="shared" si="74"/>
        <v>0</v>
      </c>
      <c r="N112" s="57">
        <f t="shared" si="75"/>
        <v>5634.388207312234</v>
      </c>
      <c r="O112" s="59">
        <f t="shared" si="76"/>
        <v>5634.388207312234</v>
      </c>
      <c r="P112" s="58">
        <f t="shared" si="77"/>
        <v>0</v>
      </c>
      <c r="Q112" s="57">
        <f t="shared" si="78"/>
        <v>5008.3450731664307</v>
      </c>
      <c r="R112" s="60">
        <f t="shared" si="79"/>
        <v>5008.3450731664307</v>
      </c>
      <c r="S112" s="58">
        <f t="shared" si="80"/>
        <v>0</v>
      </c>
      <c r="T112" s="57">
        <f t="shared" si="81"/>
        <v>4382.3019390206255</v>
      </c>
      <c r="U112" s="60">
        <f t="shared" si="82"/>
        <v>4382.3019390206255</v>
      </c>
      <c r="V112" s="58">
        <f t="shared" si="83"/>
        <v>0</v>
      </c>
      <c r="W112" s="57">
        <f t="shared" si="84"/>
        <v>3756.2588048748221</v>
      </c>
      <c r="X112" s="59">
        <f t="shared" si="85"/>
        <v>3756.2588048748221</v>
      </c>
      <c r="Y112" s="58">
        <f t="shared" si="86"/>
        <v>0</v>
      </c>
      <c r="Z112" s="57">
        <f t="shared" si="87"/>
        <v>3130.2156707290187</v>
      </c>
      <c r="AA112" s="59">
        <f t="shared" si="88"/>
        <v>3130.2156707290187</v>
      </c>
    </row>
    <row r="113" spans="1:27" ht="12.75" customHeight="1">
      <c r="A113" s="105">
        <v>5</v>
      </c>
      <c r="B113" s="50">
        <v>45413</v>
      </c>
      <c r="C113" s="61">
        <f>VLOOKUP(B113,'base(indices)'!$A$4:$C$183,3,FALSE)</f>
        <v>1412</v>
      </c>
      <c r="D113" s="160">
        <f>'base(indices)'!G176</f>
        <v>0.99999998000000001</v>
      </c>
      <c r="E113" s="63">
        <f t="shared" si="70"/>
        <v>1411.9999717600001</v>
      </c>
      <c r="F113" s="53">
        <f>'base(indices)'!I176</f>
        <v>1.6199999999999999E-2</v>
      </c>
      <c r="G113" s="63">
        <f t="shared" si="71"/>
        <v>22.874399542512002</v>
      </c>
      <c r="H113" s="392">
        <f t="shared" si="89"/>
        <v>5739.4974852100486</v>
      </c>
      <c r="I113" s="95">
        <f t="shared" si="72"/>
        <v>470.66665725333337</v>
      </c>
      <c r="J113" s="95">
        <v>0</v>
      </c>
      <c r="K113" s="95">
        <f t="shared" si="90"/>
        <v>6210.1641424633817</v>
      </c>
      <c r="L113" s="124">
        <f t="shared" si="73"/>
        <v>6210.1641424633817</v>
      </c>
      <c r="M113" s="95">
        <f t="shared" si="74"/>
        <v>0</v>
      </c>
      <c r="N113" s="43">
        <f t="shared" si="75"/>
        <v>5589.1477282170436</v>
      </c>
      <c r="O113" s="46">
        <f t="shared" si="76"/>
        <v>5589.1477282170436</v>
      </c>
      <c r="P113" s="45">
        <f t="shared" si="77"/>
        <v>0</v>
      </c>
      <c r="Q113" s="43">
        <f t="shared" si="78"/>
        <v>4968.1313139707054</v>
      </c>
      <c r="R113" s="47">
        <f t="shared" si="79"/>
        <v>4968.1313139707054</v>
      </c>
      <c r="S113" s="45">
        <f t="shared" si="80"/>
        <v>0</v>
      </c>
      <c r="T113" s="43">
        <f t="shared" si="81"/>
        <v>4347.1148997243672</v>
      </c>
      <c r="U113" s="47">
        <f t="shared" si="82"/>
        <v>4347.1148997243672</v>
      </c>
      <c r="V113" s="45">
        <f t="shared" si="83"/>
        <v>0</v>
      </c>
      <c r="W113" s="43">
        <f t="shared" si="84"/>
        <v>3726.098485478029</v>
      </c>
      <c r="X113" s="46">
        <f t="shared" si="85"/>
        <v>3726.098485478029</v>
      </c>
      <c r="Y113" s="45">
        <f t="shared" si="86"/>
        <v>0</v>
      </c>
      <c r="Z113" s="43">
        <f t="shared" si="87"/>
        <v>3105.0820712316909</v>
      </c>
      <c r="AA113" s="46">
        <f t="shared" si="88"/>
        <v>3105.0820712316909</v>
      </c>
    </row>
    <row r="114" spans="1:27" s="26" customFormat="1" ht="12.75" customHeight="1">
      <c r="A114" s="104">
        <v>5</v>
      </c>
      <c r="B114" s="50">
        <v>45444</v>
      </c>
      <c r="C114" s="61">
        <f>VLOOKUP(B114,'base(indices)'!$A$4:$C$183,3,FALSE)</f>
        <v>1412</v>
      </c>
      <c r="D114" s="160">
        <f>'base(indices)'!G177</f>
        <v>0.99999998000000001</v>
      </c>
      <c r="E114" s="63">
        <f t="shared" si="70"/>
        <v>1411.9999717600001</v>
      </c>
      <c r="F114" s="53">
        <f>'base(indices)'!I177</f>
        <v>7.9000000000000008E-3</v>
      </c>
      <c r="G114" s="54">
        <f t="shared" si="71"/>
        <v>11.154799776904001</v>
      </c>
      <c r="H114" s="392">
        <f t="shared" si="89"/>
        <v>5692.6190861476161</v>
      </c>
      <c r="I114" s="94">
        <f t="shared" si="72"/>
        <v>470.66665725333337</v>
      </c>
      <c r="J114" s="94">
        <v>0</v>
      </c>
      <c r="K114" s="94">
        <f t="shared" si="90"/>
        <v>6163.2857434009493</v>
      </c>
      <c r="L114" s="123">
        <f t="shared" si="73"/>
        <v>6163.2857434009493</v>
      </c>
      <c r="M114" s="94">
        <f t="shared" si="74"/>
        <v>0</v>
      </c>
      <c r="N114" s="57">
        <f t="shared" si="75"/>
        <v>5546.9571690608545</v>
      </c>
      <c r="O114" s="59">
        <f t="shared" si="76"/>
        <v>5546.9571690608545</v>
      </c>
      <c r="P114" s="58">
        <f t="shared" si="77"/>
        <v>0</v>
      </c>
      <c r="Q114" s="57">
        <f t="shared" si="78"/>
        <v>4930.6285947207598</v>
      </c>
      <c r="R114" s="60">
        <f t="shared" si="79"/>
        <v>4930.6285947207598</v>
      </c>
      <c r="S114" s="58">
        <f t="shared" si="80"/>
        <v>0</v>
      </c>
      <c r="T114" s="57">
        <f t="shared" si="81"/>
        <v>4314.3000203806641</v>
      </c>
      <c r="U114" s="60">
        <f t="shared" si="82"/>
        <v>4314.3000203806641</v>
      </c>
      <c r="V114" s="58">
        <f t="shared" si="83"/>
        <v>0</v>
      </c>
      <c r="W114" s="57">
        <f t="shared" si="84"/>
        <v>3697.9714460405694</v>
      </c>
      <c r="X114" s="59">
        <f t="shared" si="85"/>
        <v>3697.9714460405694</v>
      </c>
      <c r="Y114" s="58">
        <f t="shared" si="86"/>
        <v>0</v>
      </c>
      <c r="Z114" s="57">
        <f t="shared" si="87"/>
        <v>3081.6428717004746</v>
      </c>
      <c r="AA114" s="59">
        <f t="shared" si="88"/>
        <v>3081.6428717004746</v>
      </c>
    </row>
    <row r="115" spans="1:27" ht="12.75" customHeight="1">
      <c r="A115" s="105">
        <v>5</v>
      </c>
      <c r="B115" s="50">
        <v>45474</v>
      </c>
      <c r="C115" s="61">
        <f>VLOOKUP(B115,'base(indices)'!$A$4:$C$183,3,FALSE)</f>
        <v>1412</v>
      </c>
      <c r="D115" s="160">
        <f>'base(indices)'!G178</f>
        <v>0</v>
      </c>
      <c r="E115" s="63">
        <f t="shared" si="70"/>
        <v>0</v>
      </c>
      <c r="F115" s="53">
        <f>'base(indices)'!I178</f>
        <v>0</v>
      </c>
      <c r="G115" s="63">
        <f t="shared" si="71"/>
        <v>0</v>
      </c>
      <c r="H115" s="392">
        <f t="shared" si="89"/>
        <v>0</v>
      </c>
      <c r="I115" s="95">
        <f t="shared" si="72"/>
        <v>0</v>
      </c>
      <c r="J115" s="95">
        <v>0</v>
      </c>
      <c r="K115" s="95">
        <f t="shared" si="90"/>
        <v>0</v>
      </c>
      <c r="L115" s="124">
        <f t="shared" si="73"/>
        <v>0</v>
      </c>
      <c r="M115" s="95">
        <f t="shared" si="74"/>
        <v>0</v>
      </c>
      <c r="N115" s="43">
        <f t="shared" si="75"/>
        <v>0</v>
      </c>
      <c r="O115" s="46">
        <f t="shared" si="76"/>
        <v>0</v>
      </c>
      <c r="P115" s="45">
        <f t="shared" si="77"/>
        <v>0</v>
      </c>
      <c r="Q115" s="43">
        <f t="shared" si="78"/>
        <v>0</v>
      </c>
      <c r="R115" s="47">
        <f t="shared" si="79"/>
        <v>0</v>
      </c>
      <c r="S115" s="45">
        <f t="shared" si="80"/>
        <v>0</v>
      </c>
      <c r="T115" s="43">
        <f t="shared" si="81"/>
        <v>0</v>
      </c>
      <c r="U115" s="47">
        <f t="shared" si="82"/>
        <v>0</v>
      </c>
      <c r="V115" s="45">
        <f t="shared" si="83"/>
        <v>0</v>
      </c>
      <c r="W115" s="43">
        <f t="shared" si="84"/>
        <v>0</v>
      </c>
      <c r="X115" s="46">
        <f t="shared" si="85"/>
        <v>0</v>
      </c>
      <c r="Y115" s="45">
        <f t="shared" si="86"/>
        <v>0</v>
      </c>
      <c r="Z115" s="43">
        <f t="shared" si="87"/>
        <v>0</v>
      </c>
      <c r="AA115" s="46">
        <f t="shared" si="88"/>
        <v>0</v>
      </c>
    </row>
    <row r="116" spans="1:27" s="26" customFormat="1" ht="12.75" customHeight="1">
      <c r="A116" s="105">
        <v>5</v>
      </c>
      <c r="B116" s="50">
        <v>45505</v>
      </c>
      <c r="C116" s="61">
        <f>VLOOKUP(B116,'base(indices)'!$A$4:$C$183,3,FALSE)</f>
        <v>1412</v>
      </c>
      <c r="D116" s="160">
        <f>'base(indices)'!G179</f>
        <v>0</v>
      </c>
      <c r="E116" s="63">
        <f t="shared" si="70"/>
        <v>0</v>
      </c>
      <c r="F116" s="53">
        <f>'base(indices)'!I179</f>
        <v>0</v>
      </c>
      <c r="G116" s="63">
        <f t="shared" si="71"/>
        <v>0</v>
      </c>
      <c r="H116" s="393">
        <f t="shared" si="89"/>
        <v>0</v>
      </c>
      <c r="I116" s="94">
        <f t="shared" si="72"/>
        <v>0</v>
      </c>
      <c r="J116" s="94">
        <v>0</v>
      </c>
      <c r="K116" s="94">
        <f t="shared" si="90"/>
        <v>0</v>
      </c>
      <c r="L116" s="123">
        <f t="shared" si="73"/>
        <v>0</v>
      </c>
      <c r="M116" s="94">
        <f t="shared" si="74"/>
        <v>0</v>
      </c>
      <c r="N116" s="57">
        <f t="shared" si="75"/>
        <v>0</v>
      </c>
      <c r="O116" s="59">
        <f t="shared" si="76"/>
        <v>0</v>
      </c>
      <c r="P116" s="58">
        <f t="shared" si="77"/>
        <v>0</v>
      </c>
      <c r="Q116" s="57">
        <f t="shared" si="78"/>
        <v>0</v>
      </c>
      <c r="R116" s="60">
        <f t="shared" si="79"/>
        <v>0</v>
      </c>
      <c r="S116" s="58">
        <f t="shared" si="80"/>
        <v>0</v>
      </c>
      <c r="T116" s="57">
        <f t="shared" si="81"/>
        <v>0</v>
      </c>
      <c r="U116" s="60">
        <f t="shared" si="82"/>
        <v>0</v>
      </c>
      <c r="V116" s="58">
        <f t="shared" si="83"/>
        <v>0</v>
      </c>
      <c r="W116" s="57">
        <f t="shared" si="84"/>
        <v>0</v>
      </c>
      <c r="X116" s="59">
        <f t="shared" si="85"/>
        <v>0</v>
      </c>
      <c r="Y116" s="58">
        <f t="shared" si="86"/>
        <v>0</v>
      </c>
      <c r="Z116" s="57">
        <f t="shared" si="87"/>
        <v>0</v>
      </c>
      <c r="AA116" s="59">
        <f t="shared" si="88"/>
        <v>0</v>
      </c>
    </row>
    <row r="117" spans="1:27" ht="12.75" customHeight="1">
      <c r="A117" s="104">
        <v>5</v>
      </c>
      <c r="B117" s="50">
        <v>45536</v>
      </c>
      <c r="C117" s="61">
        <f>VLOOKUP(B117,'base(indices)'!$A$4:$C$183,3,FALSE)</f>
        <v>1412</v>
      </c>
      <c r="D117" s="160">
        <f>'base(indices)'!G180</f>
        <v>0</v>
      </c>
      <c r="E117" s="63">
        <f t="shared" si="70"/>
        <v>0</v>
      </c>
      <c r="F117" s="53">
        <f>'base(indices)'!I180</f>
        <v>0</v>
      </c>
      <c r="G117" s="63">
        <f t="shared" si="71"/>
        <v>0</v>
      </c>
      <c r="H117" s="392">
        <f t="shared" si="89"/>
        <v>0</v>
      </c>
      <c r="I117" s="95">
        <f t="shared" si="72"/>
        <v>0</v>
      </c>
      <c r="J117" s="95">
        <v>0</v>
      </c>
      <c r="K117" s="95">
        <f t="shared" si="90"/>
        <v>0</v>
      </c>
      <c r="L117" s="124">
        <f t="shared" si="73"/>
        <v>0</v>
      </c>
      <c r="M117" s="95">
        <f t="shared" si="74"/>
        <v>0</v>
      </c>
      <c r="N117" s="43">
        <f t="shared" si="75"/>
        <v>0</v>
      </c>
      <c r="O117" s="46">
        <f t="shared" si="76"/>
        <v>0</v>
      </c>
      <c r="P117" s="45">
        <f t="shared" si="77"/>
        <v>0</v>
      </c>
      <c r="Q117" s="43">
        <f t="shared" si="78"/>
        <v>0</v>
      </c>
      <c r="R117" s="47">
        <f t="shared" si="79"/>
        <v>0</v>
      </c>
      <c r="S117" s="45">
        <f t="shared" si="80"/>
        <v>0</v>
      </c>
      <c r="T117" s="43">
        <f t="shared" si="81"/>
        <v>0</v>
      </c>
      <c r="U117" s="47">
        <f t="shared" si="82"/>
        <v>0</v>
      </c>
      <c r="V117" s="45">
        <f t="shared" si="83"/>
        <v>0</v>
      </c>
      <c r="W117" s="43">
        <f t="shared" si="84"/>
        <v>0</v>
      </c>
      <c r="X117" s="46">
        <f t="shared" si="85"/>
        <v>0</v>
      </c>
      <c r="Y117" s="45">
        <f t="shared" si="86"/>
        <v>0</v>
      </c>
      <c r="Z117" s="43">
        <f t="shared" si="87"/>
        <v>0</v>
      </c>
      <c r="AA117" s="46">
        <f t="shared" si="88"/>
        <v>0</v>
      </c>
    </row>
    <row r="118" spans="1:27" s="26" customFormat="1" ht="12.75" customHeight="1">
      <c r="A118" s="105">
        <v>5</v>
      </c>
      <c r="B118" s="50">
        <v>45566</v>
      </c>
      <c r="C118" s="61">
        <f>VLOOKUP(B118,'base(indices)'!$A$4:$C$183,3,FALSE)</f>
        <v>1412</v>
      </c>
      <c r="D118" s="160">
        <f>'base(indices)'!G181</f>
        <v>0</v>
      </c>
      <c r="E118" s="63">
        <f t="shared" si="70"/>
        <v>0</v>
      </c>
      <c r="F118" s="53">
        <f>'base(indices)'!I181</f>
        <v>0</v>
      </c>
      <c r="G118" s="63">
        <f t="shared" si="71"/>
        <v>0</v>
      </c>
      <c r="H118" s="392">
        <f t="shared" si="89"/>
        <v>0</v>
      </c>
      <c r="I118" s="94">
        <f t="shared" si="72"/>
        <v>0</v>
      </c>
      <c r="J118" s="94">
        <v>0</v>
      </c>
      <c r="K118" s="94">
        <f t="shared" si="90"/>
        <v>0</v>
      </c>
      <c r="L118" s="123">
        <f t="shared" si="73"/>
        <v>0</v>
      </c>
      <c r="M118" s="94">
        <f t="shared" si="74"/>
        <v>0</v>
      </c>
      <c r="N118" s="57">
        <f t="shared" si="75"/>
        <v>0</v>
      </c>
      <c r="O118" s="59">
        <f t="shared" si="76"/>
        <v>0</v>
      </c>
      <c r="P118" s="58">
        <f t="shared" si="77"/>
        <v>0</v>
      </c>
      <c r="Q118" s="57">
        <f t="shared" si="78"/>
        <v>0</v>
      </c>
      <c r="R118" s="60">
        <f t="shared" si="79"/>
        <v>0</v>
      </c>
      <c r="S118" s="58">
        <f t="shared" si="80"/>
        <v>0</v>
      </c>
      <c r="T118" s="57">
        <f t="shared" si="81"/>
        <v>0</v>
      </c>
      <c r="U118" s="60">
        <f t="shared" si="82"/>
        <v>0</v>
      </c>
      <c r="V118" s="58">
        <f t="shared" si="83"/>
        <v>0</v>
      </c>
      <c r="W118" s="57">
        <f t="shared" si="84"/>
        <v>0</v>
      </c>
      <c r="X118" s="59">
        <f t="shared" si="85"/>
        <v>0</v>
      </c>
      <c r="Y118" s="58">
        <f t="shared" si="86"/>
        <v>0</v>
      </c>
      <c r="Z118" s="57">
        <f t="shared" si="87"/>
        <v>0</v>
      </c>
      <c r="AA118" s="59">
        <f t="shared" si="88"/>
        <v>0</v>
      </c>
    </row>
    <row r="119" spans="1:27" ht="12.75" customHeight="1">
      <c r="A119" s="105">
        <v>5</v>
      </c>
      <c r="B119" s="50">
        <v>45597</v>
      </c>
      <c r="C119" s="61">
        <f>VLOOKUP(B119,'base(indices)'!$A$4:$C$183,3,FALSE)</f>
        <v>1412</v>
      </c>
      <c r="D119" s="160">
        <f>'base(indices)'!G182</f>
        <v>0</v>
      </c>
      <c r="E119" s="63">
        <f t="shared" si="70"/>
        <v>0</v>
      </c>
      <c r="F119" s="53">
        <f>'base(indices)'!I182</f>
        <v>0</v>
      </c>
      <c r="G119" s="63">
        <f t="shared" si="71"/>
        <v>0</v>
      </c>
      <c r="H119" s="392">
        <f t="shared" si="89"/>
        <v>0</v>
      </c>
      <c r="I119" s="95">
        <f t="shared" si="72"/>
        <v>0</v>
      </c>
      <c r="J119" s="95">
        <v>0</v>
      </c>
      <c r="K119" s="95">
        <f t="shared" si="90"/>
        <v>0</v>
      </c>
      <c r="L119" s="124">
        <f t="shared" si="73"/>
        <v>0</v>
      </c>
      <c r="M119" s="95">
        <f t="shared" si="74"/>
        <v>0</v>
      </c>
      <c r="N119" s="43">
        <f t="shared" si="75"/>
        <v>0</v>
      </c>
      <c r="O119" s="46">
        <f t="shared" si="76"/>
        <v>0</v>
      </c>
      <c r="P119" s="45">
        <f t="shared" si="77"/>
        <v>0</v>
      </c>
      <c r="Q119" s="43">
        <f t="shared" si="78"/>
        <v>0</v>
      </c>
      <c r="R119" s="47">
        <f t="shared" si="79"/>
        <v>0</v>
      </c>
      <c r="S119" s="45">
        <f t="shared" si="80"/>
        <v>0</v>
      </c>
      <c r="T119" s="43">
        <f t="shared" si="81"/>
        <v>0</v>
      </c>
      <c r="U119" s="47">
        <f t="shared" si="82"/>
        <v>0</v>
      </c>
      <c r="V119" s="45">
        <f t="shared" si="83"/>
        <v>0</v>
      </c>
      <c r="W119" s="43">
        <f t="shared" si="84"/>
        <v>0</v>
      </c>
      <c r="X119" s="46">
        <f t="shared" si="85"/>
        <v>0</v>
      </c>
      <c r="Y119" s="45">
        <f t="shared" si="86"/>
        <v>0</v>
      </c>
      <c r="Z119" s="43">
        <f t="shared" si="87"/>
        <v>0</v>
      </c>
      <c r="AA119" s="46">
        <f t="shared" si="88"/>
        <v>0</v>
      </c>
    </row>
    <row r="120" spans="1:27" ht="12.75" customHeight="1">
      <c r="A120" s="110">
        <v>5</v>
      </c>
      <c r="B120" s="50">
        <v>45627</v>
      </c>
      <c r="C120" s="61">
        <f>VLOOKUP(B120,'base(indices)'!$A$4:$C$183,3,FALSE)</f>
        <v>1412</v>
      </c>
      <c r="D120" s="160">
        <f>'base(indices)'!G183</f>
        <v>0</v>
      </c>
      <c r="E120" s="63">
        <f t="shared" si="70"/>
        <v>0</v>
      </c>
      <c r="F120" s="53">
        <f>'base(indices)'!I183</f>
        <v>0</v>
      </c>
      <c r="G120" s="63">
        <f t="shared" si="71"/>
        <v>0</v>
      </c>
      <c r="H120" s="392">
        <f t="shared" si="89"/>
        <v>0</v>
      </c>
      <c r="I120" s="94">
        <f t="shared" si="72"/>
        <v>0</v>
      </c>
      <c r="J120" s="94">
        <v>0</v>
      </c>
      <c r="K120" s="94">
        <f t="shared" si="90"/>
        <v>0</v>
      </c>
      <c r="L120" s="123">
        <f t="shared" si="73"/>
        <v>0</v>
      </c>
      <c r="M120" s="94">
        <f t="shared" si="74"/>
        <v>0</v>
      </c>
      <c r="N120" s="57">
        <f t="shared" si="75"/>
        <v>0</v>
      </c>
      <c r="O120" s="59">
        <f t="shared" si="76"/>
        <v>0</v>
      </c>
      <c r="P120" s="58">
        <f t="shared" si="77"/>
        <v>0</v>
      </c>
      <c r="Q120" s="57">
        <f t="shared" si="78"/>
        <v>0</v>
      </c>
      <c r="R120" s="60">
        <f t="shared" si="79"/>
        <v>0</v>
      </c>
      <c r="S120" s="58">
        <f t="shared" si="80"/>
        <v>0</v>
      </c>
      <c r="T120" s="57">
        <f t="shared" si="81"/>
        <v>0</v>
      </c>
      <c r="U120" s="60">
        <f t="shared" si="82"/>
        <v>0</v>
      </c>
      <c r="V120" s="58">
        <f t="shared" si="83"/>
        <v>0</v>
      </c>
      <c r="W120" s="57">
        <f t="shared" si="84"/>
        <v>0</v>
      </c>
      <c r="X120" s="59">
        <f t="shared" si="85"/>
        <v>0</v>
      </c>
      <c r="Y120" s="58">
        <f t="shared" si="86"/>
        <v>0</v>
      </c>
      <c r="Z120" s="57">
        <f t="shared" si="87"/>
        <v>0</v>
      </c>
      <c r="AA120" s="59">
        <f t="shared" si="88"/>
        <v>0</v>
      </c>
    </row>
    <row r="121" spans="1:27" ht="12.75" customHeight="1" thickBot="1">
      <c r="A121" s="103"/>
      <c r="B121" s="68"/>
      <c r="C121" s="69"/>
      <c r="D121" s="168"/>
      <c r="E121" s="71"/>
      <c r="F121" s="70"/>
      <c r="G121" s="71"/>
      <c r="H121" s="269"/>
      <c r="I121" s="84"/>
      <c r="J121" s="121"/>
      <c r="K121" s="111"/>
      <c r="L121" s="111">
        <f t="shared" si="73"/>
        <v>0</v>
      </c>
      <c r="M121" s="118">
        <f t="shared" si="74"/>
        <v>0</v>
      </c>
      <c r="N121" s="73"/>
      <c r="O121" s="74"/>
      <c r="P121" s="74">
        <f t="shared" si="77"/>
        <v>0</v>
      </c>
      <c r="Q121" s="74"/>
      <c r="R121" s="74"/>
      <c r="S121" s="74">
        <f t="shared" si="80"/>
        <v>0</v>
      </c>
      <c r="T121" s="74"/>
      <c r="U121" s="75"/>
      <c r="V121" s="76">
        <f t="shared" si="83"/>
        <v>0</v>
      </c>
      <c r="W121" s="74"/>
      <c r="X121" s="77"/>
      <c r="Y121" s="76">
        <f t="shared" si="86"/>
        <v>0</v>
      </c>
      <c r="Z121" s="74"/>
      <c r="AA121" s="77"/>
    </row>
    <row r="122" spans="1:27" ht="14.25" customHeight="1">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row>
    <row r="123" spans="1:27" ht="14.25" customHeight="1">
      <c r="A123" s="24" t="str">
        <f>'Benef com 13º'!B199</f>
        <v>ORTN/OTN/BTN até 02/91 + INPC até 12/92 + IRSM até 02/94 + URV até 06/94 + IPCR até 06/95 + INPC até 04/96 + IGPDI até 09/2006 + IPCA-E + Selic após 12/021</v>
      </c>
      <c r="P123"/>
      <c r="Q123"/>
      <c r="R123"/>
      <c r="S123"/>
      <c r="T123"/>
      <c r="U123"/>
      <c r="V123"/>
      <c r="W123"/>
      <c r="X123"/>
      <c r="Y123" s="38"/>
      <c r="Z123" s="38"/>
      <c r="AA123" s="38"/>
    </row>
    <row r="124" spans="1:27">
      <c r="B124" s="20"/>
      <c r="C124" s="20"/>
      <c r="D124" s="20"/>
      <c r="E124" s="20"/>
      <c r="F124" s="20"/>
      <c r="G124" s="20"/>
      <c r="H124" s="20"/>
      <c r="I124" s="20"/>
      <c r="J124" s="20"/>
      <c r="K124" s="20"/>
      <c r="L124" s="20"/>
      <c r="M124" s="20"/>
      <c r="N124" s="20"/>
      <c r="O124" s="23"/>
      <c r="P124" s="23"/>
      <c r="Q124" s="23"/>
      <c r="R124" s="23"/>
      <c r="S124" s="23"/>
      <c r="T124" s="23"/>
      <c r="U124" s="23"/>
      <c r="V124" s="23"/>
      <c r="W124" s="23"/>
      <c r="X124" s="23"/>
      <c r="Y124" s="23"/>
      <c r="Z124" s="23"/>
      <c r="AA124" s="23"/>
    </row>
    <row r="125" spans="1:27">
      <c r="B125" s="24"/>
      <c r="C125"/>
      <c r="L125" s="29"/>
      <c r="M125" s="7"/>
      <c r="N125" s="7"/>
      <c r="O125" s="9"/>
      <c r="P125" s="9"/>
      <c r="Q125" s="9"/>
      <c r="R125" s="9"/>
      <c r="S125" s="9"/>
      <c r="T125" s="9"/>
      <c r="U125" s="9"/>
      <c r="V125" s="9"/>
      <c r="W125" s="9"/>
      <c r="X125" s="9"/>
      <c r="Y125" s="9"/>
      <c r="Z125" s="9"/>
      <c r="AA125" s="9"/>
    </row>
    <row r="126" spans="1:27" ht="13.5">
      <c r="B126" s="25"/>
      <c r="D126" s="8"/>
      <c r="E126" s="8"/>
      <c r="F126" s="8"/>
      <c r="G126" s="8"/>
      <c r="H126" s="15"/>
      <c r="I126" s="8"/>
      <c r="J126" s="8"/>
      <c r="K126" s="8"/>
      <c r="L126" s="9"/>
      <c r="M126" s="9"/>
      <c r="N126" s="9"/>
      <c r="O126" s="9"/>
      <c r="P126" s="9"/>
      <c r="Q126" s="9"/>
      <c r="R126" s="9"/>
      <c r="S126" s="9"/>
      <c r="T126" s="9"/>
      <c r="U126" s="9"/>
      <c r="V126" s="9"/>
      <c r="W126" s="9"/>
      <c r="X126" s="9"/>
      <c r="Y126" s="9"/>
      <c r="Z126" s="9"/>
      <c r="AA126" s="9"/>
    </row>
    <row r="127" spans="1:27" ht="13.5">
      <c r="B127" s="8"/>
      <c r="C127" s="8"/>
      <c r="D127" s="8"/>
      <c r="E127" s="8"/>
      <c r="F127" s="8"/>
      <c r="G127" s="8"/>
      <c r="H127" s="15"/>
      <c r="I127" s="8"/>
      <c r="J127" s="8"/>
      <c r="K127" s="8"/>
      <c r="L127" s="9"/>
      <c r="M127" s="9"/>
      <c r="N127" s="9"/>
      <c r="O127" s="9"/>
      <c r="P127" s="9"/>
      <c r="Q127" s="9"/>
      <c r="R127" s="9"/>
      <c r="S127" s="9"/>
      <c r="T127" s="9"/>
      <c r="U127" s="9"/>
      <c r="V127" s="9"/>
      <c r="W127" s="9"/>
      <c r="X127" s="9"/>
      <c r="Y127" s="9"/>
      <c r="Z127" s="9"/>
      <c r="AA127" s="9"/>
    </row>
  </sheetData>
  <sheetProtection selectLockedCells="1" selectUnlockedCells="1"/>
  <mergeCells count="13">
    <mergeCell ref="J10:K10"/>
    <mergeCell ref="F108:G108"/>
    <mergeCell ref="H108:I108"/>
    <mergeCell ref="V8:W8"/>
    <mergeCell ref="A10:A11"/>
    <mergeCell ref="B10:B11"/>
    <mergeCell ref="C10:C11"/>
    <mergeCell ref="D10:D11"/>
    <mergeCell ref="E10:E11"/>
    <mergeCell ref="F10:F11"/>
    <mergeCell ref="G10:G11"/>
    <mergeCell ref="H10:H11"/>
    <mergeCell ref="I10:I11"/>
  </mergeCells>
  <conditionalFormatting sqref="F108 H122:X122 E24:E63 G24:G63 H24:H107">
    <cfRule type="cellIs" dxfId="741" priority="556" stopIfTrue="1" operator="notEqual">
      <formula>""</formula>
    </cfRule>
  </conditionalFormatting>
  <conditionalFormatting sqref="F108">
    <cfRule type="cellIs" dxfId="740" priority="555" stopIfTrue="1" operator="notEqual">
      <formula>""</formula>
    </cfRule>
  </conditionalFormatting>
  <conditionalFormatting sqref="G64:G66">
    <cfRule type="cellIs" dxfId="739" priority="554" stopIfTrue="1" operator="notEqual">
      <formula>""</formula>
    </cfRule>
  </conditionalFormatting>
  <conditionalFormatting sqref="G64:G66">
    <cfRule type="cellIs" dxfId="738" priority="553" stopIfTrue="1" operator="notEqual">
      <formula>""</formula>
    </cfRule>
  </conditionalFormatting>
  <conditionalFormatting sqref="G67">
    <cfRule type="cellIs" dxfId="737" priority="552" stopIfTrue="1" operator="notEqual">
      <formula>""</formula>
    </cfRule>
  </conditionalFormatting>
  <conditionalFormatting sqref="G67">
    <cfRule type="cellIs" dxfId="736" priority="551" stopIfTrue="1" operator="notEqual">
      <formula>""</formula>
    </cfRule>
  </conditionalFormatting>
  <conditionalFormatting sqref="G68:G83">
    <cfRule type="cellIs" dxfId="735" priority="550" stopIfTrue="1" operator="notEqual">
      <formula>""</formula>
    </cfRule>
  </conditionalFormatting>
  <conditionalFormatting sqref="E121:H121">
    <cfRule type="cellIs" dxfId="734" priority="546" stopIfTrue="1" operator="notEqual">
      <formula>""</formula>
    </cfRule>
  </conditionalFormatting>
  <conditionalFormatting sqref="G71:G83">
    <cfRule type="cellIs" dxfId="733" priority="549" stopIfTrue="1" operator="notEqual">
      <formula>""</formula>
    </cfRule>
  </conditionalFormatting>
  <conditionalFormatting sqref="G71:G83">
    <cfRule type="cellIs" dxfId="732" priority="548" stopIfTrue="1" operator="notEqual">
      <formula>""</formula>
    </cfRule>
  </conditionalFormatting>
  <conditionalFormatting sqref="G68:G83">
    <cfRule type="cellIs" dxfId="731" priority="547" stopIfTrue="1" operator="notEqual">
      <formula>""</formula>
    </cfRule>
  </conditionalFormatting>
  <conditionalFormatting sqref="E67">
    <cfRule type="cellIs" dxfId="730" priority="545" stopIfTrue="1" operator="notEqual">
      <formula>""</formula>
    </cfRule>
  </conditionalFormatting>
  <conditionalFormatting sqref="E67">
    <cfRule type="cellIs" dxfId="729" priority="544" stopIfTrue="1" operator="notEqual">
      <formula>""</formula>
    </cfRule>
  </conditionalFormatting>
  <conditionalFormatting sqref="E67">
    <cfRule type="cellIs" dxfId="728" priority="543" stopIfTrue="1" operator="notEqual">
      <formula>""</formula>
    </cfRule>
  </conditionalFormatting>
  <conditionalFormatting sqref="E64:E66">
    <cfRule type="cellIs" dxfId="727" priority="542" stopIfTrue="1" operator="notEqual">
      <formula>""</formula>
    </cfRule>
  </conditionalFormatting>
  <conditionalFormatting sqref="E68:E83">
    <cfRule type="cellIs" dxfId="726" priority="541" stopIfTrue="1" operator="notEqual">
      <formula>""</formula>
    </cfRule>
  </conditionalFormatting>
  <conditionalFormatting sqref="E64:E66">
    <cfRule type="cellIs" dxfId="725" priority="540" stopIfTrue="1" operator="notEqual">
      <formula>""</formula>
    </cfRule>
  </conditionalFormatting>
  <conditionalFormatting sqref="E68:E83">
    <cfRule type="cellIs" dxfId="724" priority="539" stopIfTrue="1" operator="notEqual">
      <formula>""</formula>
    </cfRule>
  </conditionalFormatting>
  <conditionalFormatting sqref="E71:E83">
    <cfRule type="cellIs" dxfId="723" priority="538" stopIfTrue="1" operator="notEqual">
      <formula>""</formula>
    </cfRule>
  </conditionalFormatting>
  <conditionalFormatting sqref="E64:E66">
    <cfRule type="cellIs" dxfId="722" priority="537" stopIfTrue="1" operator="notEqual">
      <formula>""</formula>
    </cfRule>
  </conditionalFormatting>
  <conditionalFormatting sqref="E68:E83">
    <cfRule type="cellIs" dxfId="721" priority="536" stopIfTrue="1" operator="notEqual">
      <formula>""</formula>
    </cfRule>
  </conditionalFormatting>
  <conditionalFormatting sqref="E71:E83">
    <cfRule type="cellIs" dxfId="720" priority="535" stopIfTrue="1" operator="notEqual">
      <formula>""</formula>
    </cfRule>
  </conditionalFormatting>
  <conditionalFormatting sqref="E71:E83">
    <cfRule type="cellIs" dxfId="719" priority="534" stopIfTrue="1" operator="notEqual">
      <formula>""</formula>
    </cfRule>
  </conditionalFormatting>
  <conditionalFormatting sqref="E84:E85">
    <cfRule type="cellIs" dxfId="718" priority="533" stopIfTrue="1" operator="notEqual">
      <formula>""</formula>
    </cfRule>
  </conditionalFormatting>
  <conditionalFormatting sqref="D10">
    <cfRule type="cellIs" dxfId="717" priority="530" stopIfTrue="1" operator="equal">
      <formula>"Total"</formula>
    </cfRule>
  </conditionalFormatting>
  <conditionalFormatting sqref="D10">
    <cfRule type="cellIs" dxfId="716" priority="529" stopIfTrue="1" operator="equal">
      <formula>"Total"</formula>
    </cfRule>
  </conditionalFormatting>
  <conditionalFormatting sqref="E86:E87">
    <cfRule type="cellIs" dxfId="715" priority="515" stopIfTrue="1" operator="notEqual">
      <formula>""</formula>
    </cfRule>
  </conditionalFormatting>
  <conditionalFormatting sqref="E84:E85 G84:G85">
    <cfRule type="cellIs" dxfId="714" priority="527" stopIfTrue="1" operator="notEqual">
      <formula>""</formula>
    </cfRule>
  </conditionalFormatting>
  <conditionalFormatting sqref="E85 G85">
    <cfRule type="cellIs" dxfId="713" priority="526" stopIfTrue="1" operator="notEqual">
      <formula>""</formula>
    </cfRule>
  </conditionalFormatting>
  <conditionalFormatting sqref="E87 G87">
    <cfRule type="cellIs" dxfId="712" priority="512" stopIfTrue="1" operator="notEqual">
      <formula>""</formula>
    </cfRule>
  </conditionalFormatting>
  <conditionalFormatting sqref="E84:E85 G84:G85">
    <cfRule type="cellIs" dxfId="711" priority="524" stopIfTrue="1" operator="notEqual">
      <formula>""</formula>
    </cfRule>
  </conditionalFormatting>
  <conditionalFormatting sqref="E85 G85">
    <cfRule type="cellIs" dxfId="710" priority="523" stopIfTrue="1" operator="notEqual">
      <formula>""</formula>
    </cfRule>
  </conditionalFormatting>
  <conditionalFormatting sqref="E85">
    <cfRule type="cellIs" dxfId="709" priority="522" stopIfTrue="1" operator="notEqual">
      <formula>""</formula>
    </cfRule>
  </conditionalFormatting>
  <conditionalFormatting sqref="E86:E87 G86:G87">
    <cfRule type="cellIs" dxfId="708" priority="518" stopIfTrue="1" operator="notEqual">
      <formula>""</formula>
    </cfRule>
  </conditionalFormatting>
  <conditionalFormatting sqref="E87 G87">
    <cfRule type="cellIs" dxfId="707" priority="517" stopIfTrue="1" operator="notEqual">
      <formula>""</formula>
    </cfRule>
  </conditionalFormatting>
  <conditionalFormatting sqref="E86:E87 G86:G87">
    <cfRule type="cellIs" dxfId="706" priority="514" stopIfTrue="1" operator="notEqual">
      <formula>""</formula>
    </cfRule>
  </conditionalFormatting>
  <conditionalFormatting sqref="E87">
    <cfRule type="cellIs" dxfId="705" priority="511" stopIfTrue="1" operator="notEqual">
      <formula>""</formula>
    </cfRule>
  </conditionalFormatting>
  <conditionalFormatting sqref="E88:E89 G88:G89">
    <cfRule type="cellIs" dxfId="704" priority="507" stopIfTrue="1" operator="notEqual">
      <formula>""</formula>
    </cfRule>
  </conditionalFormatting>
  <conditionalFormatting sqref="E89 G89">
    <cfRule type="cellIs" dxfId="703" priority="506" stopIfTrue="1" operator="notEqual">
      <formula>""</formula>
    </cfRule>
  </conditionalFormatting>
  <conditionalFormatting sqref="E88:E89">
    <cfRule type="cellIs" dxfId="702" priority="504" stopIfTrue="1" operator="notEqual">
      <formula>""</formula>
    </cfRule>
  </conditionalFormatting>
  <conditionalFormatting sqref="E88:E89 G88:G89">
    <cfRule type="cellIs" dxfId="701" priority="503" stopIfTrue="1" operator="notEqual">
      <formula>""</formula>
    </cfRule>
  </conditionalFormatting>
  <conditionalFormatting sqref="E89 G89">
    <cfRule type="cellIs" dxfId="700" priority="501" stopIfTrue="1" operator="notEqual">
      <formula>""</formula>
    </cfRule>
  </conditionalFormatting>
  <conditionalFormatting sqref="E89">
    <cfRule type="cellIs" dxfId="699" priority="500" stopIfTrue="1" operator="notEqual">
      <formula>""</formula>
    </cfRule>
  </conditionalFormatting>
  <conditionalFormatting sqref="E90:E91 G90:G91">
    <cfRule type="cellIs" dxfId="698" priority="496" stopIfTrue="1" operator="notEqual">
      <formula>""</formula>
    </cfRule>
  </conditionalFormatting>
  <conditionalFormatting sqref="E91 G91">
    <cfRule type="cellIs" dxfId="697" priority="495" stopIfTrue="1" operator="notEqual">
      <formula>""</formula>
    </cfRule>
  </conditionalFormatting>
  <conditionalFormatting sqref="E90:E91">
    <cfRule type="cellIs" dxfId="696" priority="493" stopIfTrue="1" operator="notEqual">
      <formula>""</formula>
    </cfRule>
  </conditionalFormatting>
  <conditionalFormatting sqref="E90:E91 G90:G91">
    <cfRule type="cellIs" dxfId="695" priority="492" stopIfTrue="1" operator="notEqual">
      <formula>""</formula>
    </cfRule>
  </conditionalFormatting>
  <conditionalFormatting sqref="E91 G91">
    <cfRule type="cellIs" dxfId="694" priority="490" stopIfTrue="1" operator="notEqual">
      <formula>""</formula>
    </cfRule>
  </conditionalFormatting>
  <conditionalFormatting sqref="E91">
    <cfRule type="cellIs" dxfId="693" priority="489" stopIfTrue="1" operator="notEqual">
      <formula>""</formula>
    </cfRule>
  </conditionalFormatting>
  <conditionalFormatting sqref="E92:E93 G92:G93">
    <cfRule type="cellIs" dxfId="692" priority="485" stopIfTrue="1" operator="notEqual">
      <formula>""</formula>
    </cfRule>
  </conditionalFormatting>
  <conditionalFormatting sqref="E93 G93">
    <cfRule type="cellIs" dxfId="691" priority="484" stopIfTrue="1" operator="notEqual">
      <formula>""</formula>
    </cfRule>
  </conditionalFormatting>
  <conditionalFormatting sqref="E92:E93">
    <cfRule type="cellIs" dxfId="690" priority="482" stopIfTrue="1" operator="notEqual">
      <formula>""</formula>
    </cfRule>
  </conditionalFormatting>
  <conditionalFormatting sqref="E92:E93 G92:G93">
    <cfRule type="cellIs" dxfId="689" priority="481" stopIfTrue="1" operator="notEqual">
      <formula>""</formula>
    </cfRule>
  </conditionalFormatting>
  <conditionalFormatting sqref="E93 G93">
    <cfRule type="cellIs" dxfId="688" priority="479" stopIfTrue="1" operator="notEqual">
      <formula>""</formula>
    </cfRule>
  </conditionalFormatting>
  <conditionalFormatting sqref="E93">
    <cfRule type="cellIs" dxfId="687" priority="478" stopIfTrue="1" operator="notEqual">
      <formula>""</formula>
    </cfRule>
  </conditionalFormatting>
  <conditionalFormatting sqref="E94:E107 G94:G107">
    <cfRule type="cellIs" dxfId="686" priority="474" stopIfTrue="1" operator="notEqual">
      <formula>""</formula>
    </cfRule>
  </conditionalFormatting>
  <conditionalFormatting sqref="E95:E107 G95:G107">
    <cfRule type="cellIs" dxfId="685" priority="473" stopIfTrue="1" operator="notEqual">
      <formula>""</formula>
    </cfRule>
  </conditionalFormatting>
  <conditionalFormatting sqref="E94:E107">
    <cfRule type="cellIs" dxfId="684" priority="471" stopIfTrue="1" operator="notEqual">
      <formula>""</formula>
    </cfRule>
  </conditionalFormatting>
  <conditionalFormatting sqref="E94:E107 G94:G107">
    <cfRule type="cellIs" dxfId="683" priority="470" stopIfTrue="1" operator="notEqual">
      <formula>""</formula>
    </cfRule>
  </conditionalFormatting>
  <conditionalFormatting sqref="E95:E107 G95:G107">
    <cfRule type="cellIs" dxfId="682" priority="468" stopIfTrue="1" operator="notEqual">
      <formula>""</formula>
    </cfRule>
  </conditionalFormatting>
  <conditionalFormatting sqref="E95:E107">
    <cfRule type="cellIs" dxfId="681" priority="467" stopIfTrue="1" operator="notEqual">
      <formula>""</formula>
    </cfRule>
  </conditionalFormatting>
  <conditionalFormatting sqref="B121:C121">
    <cfRule type="cellIs" dxfId="680" priority="464" stopIfTrue="1" operator="notEqual">
      <formula>""</formula>
    </cfRule>
  </conditionalFormatting>
  <conditionalFormatting sqref="Y122:AA122">
    <cfRule type="cellIs" dxfId="679" priority="463" stopIfTrue="1" operator="notEqual">
      <formula>""</formula>
    </cfRule>
  </conditionalFormatting>
  <conditionalFormatting sqref="E109:E112">
    <cfRule type="cellIs" dxfId="678" priority="461" stopIfTrue="1" operator="notEqual">
      <formula>""</formula>
    </cfRule>
  </conditionalFormatting>
  <conditionalFormatting sqref="E109:E112">
    <cfRule type="cellIs" dxfId="677" priority="460" stopIfTrue="1" operator="notEqual">
      <formula>""</formula>
    </cfRule>
  </conditionalFormatting>
  <conditionalFormatting sqref="E109:E112">
    <cfRule type="cellIs" dxfId="676" priority="459" stopIfTrue="1" operator="notEqual">
      <formula>""</formula>
    </cfRule>
  </conditionalFormatting>
  <conditionalFormatting sqref="G115:G117">
    <cfRule type="cellIs" dxfId="675" priority="450" stopIfTrue="1" operator="notEqual">
      <formula>""</formula>
    </cfRule>
  </conditionalFormatting>
  <conditionalFormatting sqref="G114">
    <cfRule type="cellIs" dxfId="674" priority="451" stopIfTrue="1" operator="notEqual">
      <formula>""</formula>
    </cfRule>
  </conditionalFormatting>
  <conditionalFormatting sqref="G110:H110 H111:H120">
    <cfRule type="cellIs" dxfId="673" priority="455" stopIfTrue="1" operator="notEqual">
      <formula>""</formula>
    </cfRule>
  </conditionalFormatting>
  <conditionalFormatting sqref="G109">
    <cfRule type="cellIs" dxfId="672" priority="457" stopIfTrue="1" operator="notEqual">
      <formula>""</formula>
    </cfRule>
  </conditionalFormatting>
  <conditionalFormatting sqref="G109">
    <cfRule type="cellIs" dxfId="671" priority="458" stopIfTrue="1" operator="notEqual">
      <formula>""</formula>
    </cfRule>
  </conditionalFormatting>
  <conditionalFormatting sqref="G110:H110 H111:H120">
    <cfRule type="cellIs" dxfId="670" priority="456" stopIfTrue="1" operator="notEqual">
      <formula>""</formula>
    </cfRule>
  </conditionalFormatting>
  <conditionalFormatting sqref="G111:G113">
    <cfRule type="cellIs" dxfId="669" priority="453" stopIfTrue="1" operator="notEqual">
      <formula>""</formula>
    </cfRule>
  </conditionalFormatting>
  <conditionalFormatting sqref="G111:G113">
    <cfRule type="cellIs" dxfId="668" priority="454" stopIfTrue="1" operator="notEqual">
      <formula>""</formula>
    </cfRule>
  </conditionalFormatting>
  <conditionalFormatting sqref="G115:G117">
    <cfRule type="cellIs" dxfId="667" priority="449" stopIfTrue="1" operator="notEqual">
      <formula>""</formula>
    </cfRule>
  </conditionalFormatting>
  <conditionalFormatting sqref="G114">
    <cfRule type="cellIs" dxfId="666" priority="452" stopIfTrue="1" operator="notEqual">
      <formula>""</formula>
    </cfRule>
  </conditionalFormatting>
  <conditionalFormatting sqref="H109">
    <cfRule type="cellIs" dxfId="665" priority="445" stopIfTrue="1" operator="notEqual">
      <formula>""</formula>
    </cfRule>
  </conditionalFormatting>
  <conditionalFormatting sqref="E113:E117">
    <cfRule type="cellIs" dxfId="664" priority="444" stopIfTrue="1" operator="notEqual">
      <formula>""</formula>
    </cfRule>
  </conditionalFormatting>
  <conditionalFormatting sqref="E113:E117">
    <cfRule type="cellIs" dxfId="663" priority="443" stopIfTrue="1" operator="notEqual">
      <formula>""</formula>
    </cfRule>
  </conditionalFormatting>
  <conditionalFormatting sqref="E113:E117">
    <cfRule type="cellIs" dxfId="662" priority="442" stopIfTrue="1" operator="notEqual">
      <formula>""</formula>
    </cfRule>
  </conditionalFormatting>
  <conditionalFormatting sqref="G118:G120">
    <cfRule type="cellIs" dxfId="661" priority="441" stopIfTrue="1" operator="notEqual">
      <formula>""</formula>
    </cfRule>
  </conditionalFormatting>
  <conditionalFormatting sqref="G118:G120">
    <cfRule type="cellIs" dxfId="660" priority="440" stopIfTrue="1" operator="notEqual">
      <formula>""</formula>
    </cfRule>
  </conditionalFormatting>
  <conditionalFormatting sqref="E118:E120">
    <cfRule type="cellIs" dxfId="659" priority="437" stopIfTrue="1" operator="notEqual">
      <formula>""</formula>
    </cfRule>
  </conditionalFormatting>
  <conditionalFormatting sqref="E118:E120">
    <cfRule type="cellIs" dxfId="658" priority="436" stopIfTrue="1" operator="notEqual">
      <formula>""</formula>
    </cfRule>
  </conditionalFormatting>
  <conditionalFormatting sqref="E118:E120">
    <cfRule type="cellIs" dxfId="657" priority="435" stopIfTrue="1" operator="notEqual">
      <formula>""</formula>
    </cfRule>
  </conditionalFormatting>
  <conditionalFormatting sqref="D121">
    <cfRule type="cellIs" dxfId="656" priority="432" stopIfTrue="1" operator="equal">
      <formula>"Total"</formula>
    </cfRule>
  </conditionalFormatting>
  <conditionalFormatting sqref="B24:B95">
    <cfRule type="cellIs" dxfId="655" priority="101" stopIfTrue="1" operator="notEqual">
      <formula>""</formula>
    </cfRule>
  </conditionalFormatting>
  <conditionalFormatting sqref="D109">
    <cfRule type="cellIs" dxfId="654" priority="98" stopIfTrue="1" operator="notEqual">
      <formula>""</formula>
    </cfRule>
  </conditionalFormatting>
  <conditionalFormatting sqref="D109">
    <cfRule type="cellIs" dxfId="653" priority="100" stopIfTrue="1" operator="notEqual">
      <formula>""</formula>
    </cfRule>
  </conditionalFormatting>
  <conditionalFormatting sqref="D109">
    <cfRule type="cellIs" dxfId="652" priority="99" stopIfTrue="1" operator="notEqual">
      <formula>""</formula>
    </cfRule>
  </conditionalFormatting>
  <conditionalFormatting sqref="D110:D120">
    <cfRule type="cellIs" dxfId="651" priority="97" stopIfTrue="1" operator="equal">
      <formula>"Total"</formula>
    </cfRule>
  </conditionalFormatting>
  <conditionalFormatting sqref="C24:C35">
    <cfRule type="cellIs" dxfId="650" priority="46" stopIfTrue="1" operator="notEqual">
      <formula>""</formula>
    </cfRule>
  </conditionalFormatting>
  <conditionalFormatting sqref="C25:C35">
    <cfRule type="cellIs" dxfId="649" priority="45" stopIfTrue="1" operator="notEqual">
      <formula>""</formula>
    </cfRule>
  </conditionalFormatting>
  <conditionalFormatting sqref="C25:C35">
    <cfRule type="cellIs" dxfId="648" priority="44" stopIfTrue="1" operator="notEqual">
      <formula>""</formula>
    </cfRule>
  </conditionalFormatting>
  <conditionalFormatting sqref="C36:C47">
    <cfRule type="cellIs" dxfId="647" priority="43" stopIfTrue="1" operator="notEqual">
      <formula>""</formula>
    </cfRule>
  </conditionalFormatting>
  <conditionalFormatting sqref="C37:C47">
    <cfRule type="cellIs" dxfId="646" priority="42" stopIfTrue="1" operator="notEqual">
      <formula>""</formula>
    </cfRule>
  </conditionalFormatting>
  <conditionalFormatting sqref="C37:C47">
    <cfRule type="cellIs" dxfId="645" priority="41" stopIfTrue="1" operator="notEqual">
      <formula>""</formula>
    </cfRule>
  </conditionalFormatting>
  <conditionalFormatting sqref="C48:C59">
    <cfRule type="cellIs" dxfId="644" priority="40" stopIfTrue="1" operator="notEqual">
      <formula>""</formula>
    </cfRule>
  </conditionalFormatting>
  <conditionalFormatting sqref="C49:C59">
    <cfRule type="cellIs" dxfId="643" priority="38" stopIfTrue="1" operator="notEqual">
      <formula>""</formula>
    </cfRule>
  </conditionalFormatting>
  <conditionalFormatting sqref="C49:C59">
    <cfRule type="cellIs" dxfId="642" priority="39" stopIfTrue="1" operator="notEqual">
      <formula>""</formula>
    </cfRule>
  </conditionalFormatting>
  <conditionalFormatting sqref="C60:C71">
    <cfRule type="cellIs" dxfId="641" priority="37" stopIfTrue="1" operator="notEqual">
      <formula>""</formula>
    </cfRule>
  </conditionalFormatting>
  <conditionalFormatting sqref="C61:C71">
    <cfRule type="cellIs" dxfId="640" priority="36" stopIfTrue="1" operator="notEqual">
      <formula>""</formula>
    </cfRule>
  </conditionalFormatting>
  <conditionalFormatting sqref="C61:C71">
    <cfRule type="cellIs" dxfId="639" priority="35" stopIfTrue="1" operator="notEqual">
      <formula>""</formula>
    </cfRule>
  </conditionalFormatting>
  <conditionalFormatting sqref="C72:C83">
    <cfRule type="cellIs" dxfId="638" priority="34" stopIfTrue="1" operator="notEqual">
      <formula>""</formula>
    </cfRule>
  </conditionalFormatting>
  <conditionalFormatting sqref="C73:C83">
    <cfRule type="cellIs" dxfId="637" priority="33" stopIfTrue="1" operator="notEqual">
      <formula>""</formula>
    </cfRule>
  </conditionalFormatting>
  <conditionalFormatting sqref="C73:C83">
    <cfRule type="cellIs" dxfId="636" priority="32" stopIfTrue="1" operator="notEqual">
      <formula>""</formula>
    </cfRule>
  </conditionalFormatting>
  <conditionalFormatting sqref="F24:F107">
    <cfRule type="cellIs" dxfId="635" priority="52" stopIfTrue="1" operator="notEqual">
      <formula>""</formula>
    </cfRule>
  </conditionalFormatting>
  <conditionalFormatting sqref="C84:C95">
    <cfRule type="cellIs" dxfId="634" priority="31" stopIfTrue="1" operator="notEqual">
      <formula>""</formula>
    </cfRule>
  </conditionalFormatting>
  <conditionalFormatting sqref="F109">
    <cfRule type="cellIs" dxfId="633" priority="51" stopIfTrue="1" operator="notEqual">
      <formula>""</formula>
    </cfRule>
  </conditionalFormatting>
  <conditionalFormatting sqref="F110:F120">
    <cfRule type="cellIs" dxfId="632" priority="50" stopIfTrue="1" operator="notEqual">
      <formula>""</formula>
    </cfRule>
  </conditionalFormatting>
  <conditionalFormatting sqref="F110:F120">
    <cfRule type="cellIs" dxfId="631" priority="49" stopIfTrue="1" operator="notEqual">
      <formula>""</formula>
    </cfRule>
  </conditionalFormatting>
  <conditionalFormatting sqref="C85:C95">
    <cfRule type="cellIs" dxfId="630" priority="29" stopIfTrue="1" operator="notEqual">
      <formula>""</formula>
    </cfRule>
  </conditionalFormatting>
  <conditionalFormatting sqref="C85:C95">
    <cfRule type="cellIs" dxfId="629" priority="30" stopIfTrue="1" operator="notEqual">
      <formula>""</formula>
    </cfRule>
  </conditionalFormatting>
  <conditionalFormatting sqref="C96:C107">
    <cfRule type="cellIs" dxfId="628" priority="28" stopIfTrue="1" operator="notEqual">
      <formula>""</formula>
    </cfRule>
  </conditionalFormatting>
  <conditionalFormatting sqref="C97:C107">
    <cfRule type="cellIs" dxfId="627" priority="27" stopIfTrue="1" operator="notEqual">
      <formula>""</formula>
    </cfRule>
  </conditionalFormatting>
  <conditionalFormatting sqref="C97:C107">
    <cfRule type="cellIs" dxfId="626" priority="26" stopIfTrue="1" operator="notEqual">
      <formula>""</formula>
    </cfRule>
  </conditionalFormatting>
  <conditionalFormatting sqref="C108:C120">
    <cfRule type="cellIs" dxfId="625" priority="25" stopIfTrue="1" operator="notEqual">
      <formula>""</formula>
    </cfRule>
  </conditionalFormatting>
  <conditionalFormatting sqref="C109:C120">
    <cfRule type="cellIs" dxfId="624" priority="24" stopIfTrue="1" operator="notEqual">
      <formula>""</formula>
    </cfRule>
  </conditionalFormatting>
  <conditionalFormatting sqref="C109:C120">
    <cfRule type="cellIs" dxfId="623" priority="23" stopIfTrue="1" operator="notEqual">
      <formula>""</formula>
    </cfRule>
  </conditionalFormatting>
  <conditionalFormatting sqref="E12:E23 G12:H23">
    <cfRule type="cellIs" dxfId="622" priority="22" stopIfTrue="1" operator="notEqual">
      <formula>""</formula>
    </cfRule>
  </conditionalFormatting>
  <conditionalFormatting sqref="B12:B23">
    <cfRule type="cellIs" dxfId="621" priority="20" stopIfTrue="1" operator="notEqual">
      <formula>""</formula>
    </cfRule>
  </conditionalFormatting>
  <conditionalFormatting sqref="F12:F23">
    <cfRule type="cellIs" dxfId="620" priority="19" stopIfTrue="1" operator="notEqual">
      <formula>""</formula>
    </cfRule>
  </conditionalFormatting>
  <conditionalFormatting sqref="C12:C23">
    <cfRule type="cellIs" dxfId="619" priority="18" stopIfTrue="1" operator="notEqual">
      <formula>""</formula>
    </cfRule>
  </conditionalFormatting>
  <conditionalFormatting sqref="C13:C23">
    <cfRule type="cellIs" dxfId="618" priority="17" stopIfTrue="1" operator="notEqual">
      <formula>""</formula>
    </cfRule>
  </conditionalFormatting>
  <conditionalFormatting sqref="C13:C23">
    <cfRule type="cellIs" dxfId="617" priority="16" stopIfTrue="1" operator="notEqual">
      <formula>""</formula>
    </cfRule>
  </conditionalFormatting>
  <conditionalFormatting sqref="B84:B95">
    <cfRule type="cellIs" dxfId="616" priority="15" stopIfTrue="1" operator="notEqual">
      <formula>""</formula>
    </cfRule>
  </conditionalFormatting>
  <conditionalFormatting sqref="B84:B95">
    <cfRule type="cellIs" dxfId="615" priority="14" stopIfTrue="1" operator="notEqual">
      <formula>""</formula>
    </cfRule>
  </conditionalFormatting>
  <conditionalFormatting sqref="B96:B107">
    <cfRule type="cellIs" dxfId="614" priority="13" stopIfTrue="1" operator="notEqual">
      <formula>""</formula>
    </cfRule>
  </conditionalFormatting>
  <conditionalFormatting sqref="B96:B107">
    <cfRule type="cellIs" dxfId="613" priority="12" stopIfTrue="1" operator="notEqual">
      <formula>""</formula>
    </cfRule>
  </conditionalFormatting>
  <conditionalFormatting sqref="B109:B120">
    <cfRule type="cellIs" dxfId="612" priority="9" stopIfTrue="1" operator="notEqual">
      <formula>""</formula>
    </cfRule>
  </conditionalFormatting>
  <conditionalFormatting sqref="B109:B120">
    <cfRule type="cellIs" dxfId="611" priority="8" stopIfTrue="1" operator="notEqual">
      <formula>""</formula>
    </cfRule>
  </conditionalFormatting>
  <conditionalFormatting sqref="D12:D107">
    <cfRule type="cellIs" dxfId="610" priority="2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rowBreaks count="1" manualBreakCount="1">
    <brk id="108"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2"/>
  <sheetViews>
    <sheetView zoomScale="110" zoomScaleNormal="110" workbookViewId="0">
      <pane ySplit="10" topLeftCell="A11" activePane="bottomLeft" state="frozen"/>
      <selection pane="bottomLeft" activeCell="A11" sqref="A11"/>
    </sheetView>
  </sheetViews>
  <sheetFormatPr defaultRowHeight="12.75"/>
  <cols>
    <col min="1" max="1" width="8.42578125" customWidth="1"/>
    <col min="2" max="2" width="3.140625" customWidth="1"/>
    <col min="3" max="3" width="5" style="1" customWidth="1"/>
    <col min="4" max="4" width="5.85546875" style="1" customWidth="1"/>
    <col min="5" max="5" width="6.7109375" style="1" customWidth="1"/>
    <col min="6" max="6" width="7" style="1" customWidth="1"/>
    <col min="7" max="7" width="6.7109375" style="1" customWidth="1"/>
    <col min="8" max="8" width="6.5703125" style="1" customWidth="1"/>
    <col min="9" max="9" width="8.85546875" style="1" customWidth="1"/>
    <col min="10" max="11" width="10.85546875" style="1" customWidth="1"/>
    <col min="12" max="12" width="11.28515625" style="1" customWidth="1"/>
    <col min="13" max="14" width="10.85546875" style="1" customWidth="1"/>
    <col min="15" max="15" width="9" style="1" customWidth="1"/>
  </cols>
  <sheetData>
    <row r="1" spans="2:15" ht="1.5" customHeight="1"/>
    <row r="3" spans="2:15" ht="9" customHeight="1"/>
    <row r="4" spans="2:15" ht="9.75" customHeight="1">
      <c r="J4" s="2"/>
      <c r="K4" s="2"/>
    </row>
    <row r="5" spans="2:15" ht="15.75" customHeight="1">
      <c r="J5" s="2"/>
      <c r="K5" s="2"/>
    </row>
    <row r="6" spans="2:15" ht="15">
      <c r="C6" s="101" t="s">
        <v>3</v>
      </c>
      <c r="D6" s="101"/>
      <c r="E6" s="101"/>
      <c r="F6" s="101"/>
      <c r="G6" s="101"/>
      <c r="H6" s="101"/>
      <c r="I6" s="39"/>
      <c r="J6" s="39"/>
      <c r="L6" s="102" t="s">
        <v>34</v>
      </c>
      <c r="M6" s="19"/>
      <c r="N6" s="19"/>
      <c r="O6" s="205">
        <f>'base(indices)'!I2</f>
        <v>45474</v>
      </c>
    </row>
    <row r="7" spans="2:15" ht="7.5" customHeight="1">
      <c r="C7"/>
      <c r="D7"/>
      <c r="E7"/>
      <c r="F7"/>
      <c r="G7"/>
      <c r="H7"/>
      <c r="I7"/>
      <c r="J7"/>
      <c r="K7"/>
      <c r="L7"/>
      <c r="M7"/>
      <c r="N7"/>
      <c r="O7"/>
    </row>
    <row r="8" spans="2:15" ht="13.5" thickBot="1">
      <c r="C8" s="6" t="s">
        <v>35</v>
      </c>
      <c r="D8" s="6"/>
      <c r="G8" s="5"/>
      <c r="H8" s="5"/>
      <c r="K8" s="200" t="s">
        <v>47</v>
      </c>
      <c r="L8" s="201"/>
      <c r="N8" s="197" t="s">
        <v>48</v>
      </c>
      <c r="O8" s="198"/>
    </row>
    <row r="9" spans="2:15" ht="14.25" customHeight="1">
      <c r="B9" s="422" t="s">
        <v>6</v>
      </c>
      <c r="C9" s="474" t="s">
        <v>7</v>
      </c>
      <c r="D9" s="432" t="s">
        <v>8</v>
      </c>
      <c r="E9" s="430" t="s">
        <v>9</v>
      </c>
      <c r="F9" s="430" t="s">
        <v>10</v>
      </c>
      <c r="G9" s="430" t="s">
        <v>37</v>
      </c>
      <c r="H9" s="430" t="s">
        <v>38</v>
      </c>
      <c r="I9" s="476" t="s">
        <v>49</v>
      </c>
      <c r="J9" s="486" t="s">
        <v>41</v>
      </c>
      <c r="K9" s="488">
        <v>0.9</v>
      </c>
      <c r="L9" s="480">
        <v>0.8</v>
      </c>
      <c r="M9" s="482">
        <v>0.7</v>
      </c>
      <c r="N9" s="480">
        <v>0.6</v>
      </c>
      <c r="O9" s="484">
        <v>0.5</v>
      </c>
    </row>
    <row r="10" spans="2:15" ht="24.75" customHeight="1" thickBot="1">
      <c r="B10" s="473"/>
      <c r="C10" s="475"/>
      <c r="D10" s="458"/>
      <c r="E10" s="459"/>
      <c r="F10" s="459"/>
      <c r="G10" s="459"/>
      <c r="H10" s="459"/>
      <c r="I10" s="477"/>
      <c r="J10" s="487"/>
      <c r="K10" s="489"/>
      <c r="L10" s="481"/>
      <c r="M10" s="483"/>
      <c r="N10" s="481"/>
      <c r="O10" s="485"/>
    </row>
    <row r="11" spans="2:15" s="26" customFormat="1" ht="13.5" customHeight="1">
      <c r="B11" s="330">
        <v>4</v>
      </c>
      <c r="C11" s="309">
        <v>42401</v>
      </c>
      <c r="D11" s="275">
        <f>788*2+880*2</f>
        <v>3336</v>
      </c>
      <c r="E11" s="241">
        <f>'base(indices)'!G77</f>
        <v>1.3399086499999999</v>
      </c>
      <c r="F11" s="185">
        <f t="shared" ref="F11:F14" si="0">D11*E11</f>
        <v>4469.9352564000001</v>
      </c>
      <c r="G11" s="79">
        <f>'base(indices)'!I147</f>
        <v>0.29920000000000002</v>
      </c>
      <c r="H11" s="298">
        <f t="shared" ref="H11:H14" si="1">F11*G11</f>
        <v>1337.4046287148801</v>
      </c>
      <c r="I11" s="331">
        <f>(F11+H11)</f>
        <v>5807.3398851148804</v>
      </c>
      <c r="J11" s="297">
        <f>I11</f>
        <v>5807.3398851148804</v>
      </c>
      <c r="K11" s="297">
        <f>J11*K$9</f>
        <v>5226.6058966033925</v>
      </c>
      <c r="L11" s="297">
        <f>J11*$L$9</f>
        <v>4645.8719080919045</v>
      </c>
      <c r="M11" s="199">
        <f>J11*M$9</f>
        <v>4065.1379195804161</v>
      </c>
      <c r="N11" s="199">
        <f>J11*N$9</f>
        <v>3484.4039310689282</v>
      </c>
      <c r="O11" s="123">
        <f>J11*O$9</f>
        <v>2903.6699425574402</v>
      </c>
    </row>
    <row r="12" spans="2:15" s="26" customFormat="1" ht="13.5" customHeight="1">
      <c r="B12" s="330">
        <v>4</v>
      </c>
      <c r="C12" s="50">
        <v>42767</v>
      </c>
      <c r="D12" s="51">
        <f>880*2+937*2</f>
        <v>3634</v>
      </c>
      <c r="E12" s="87">
        <f>'base(indices)'!G89</f>
        <v>1.2647914899999999</v>
      </c>
      <c r="F12" s="52">
        <f t="shared" si="0"/>
        <v>4596.2522746599998</v>
      </c>
      <c r="G12" s="42">
        <f>'base(indices)'!I147</f>
        <v>0.29920000000000002</v>
      </c>
      <c r="H12" s="299">
        <f t="shared" si="1"/>
        <v>1375.1986805782719</v>
      </c>
      <c r="I12" s="332">
        <f>(F12+H12)</f>
        <v>5971.4509552382715</v>
      </c>
      <c r="J12" s="123">
        <f t="shared" ref="J12:J14" si="2">I12</f>
        <v>5971.4509552382715</v>
      </c>
      <c r="K12" s="123">
        <f>J12*K$9</f>
        <v>5374.3058597144445</v>
      </c>
      <c r="L12" s="123">
        <f>J12*$L$9</f>
        <v>4777.1607641906176</v>
      </c>
      <c r="M12" s="199">
        <f>J12*M$9</f>
        <v>4180.0156686667897</v>
      </c>
      <c r="N12" s="199">
        <f>J12*N$9</f>
        <v>3582.8705731429627</v>
      </c>
      <c r="O12" s="123">
        <f>J12*O$9</f>
        <v>2985.7254776191357</v>
      </c>
    </row>
    <row r="13" spans="2:15" s="26" customFormat="1" ht="13.5" customHeight="1">
      <c r="B13" s="330">
        <v>4</v>
      </c>
      <c r="C13" s="50">
        <v>43132</v>
      </c>
      <c r="D13" s="51">
        <f>937*2+954*2</f>
        <v>3782</v>
      </c>
      <c r="E13" s="87">
        <f>'base(indices)'!G101</f>
        <v>1.2277241800000001</v>
      </c>
      <c r="F13" s="52">
        <f t="shared" si="0"/>
        <v>4643.2528487600002</v>
      </c>
      <c r="G13" s="42">
        <f>'base(indices)'!I147</f>
        <v>0.29920000000000002</v>
      </c>
      <c r="H13" s="299">
        <f t="shared" si="1"/>
        <v>1389.2612523489922</v>
      </c>
      <c r="I13" s="332">
        <f t="shared" ref="I13:I14" si="3">(F13+H13)</f>
        <v>6032.5141011089927</v>
      </c>
      <c r="J13" s="123">
        <f t="shared" si="2"/>
        <v>6032.5141011089927</v>
      </c>
      <c r="K13" s="123">
        <f>J13*K$9</f>
        <v>5429.2626909980936</v>
      </c>
      <c r="L13" s="123">
        <f>J13*$L$9</f>
        <v>4826.0112808871945</v>
      </c>
      <c r="M13" s="199">
        <f>J13*M$9</f>
        <v>4222.7598707762945</v>
      </c>
      <c r="N13" s="199">
        <f>J13*N$9</f>
        <v>3619.5084606653954</v>
      </c>
      <c r="O13" s="123">
        <f>J13*O$9</f>
        <v>3016.2570505544963</v>
      </c>
    </row>
    <row r="14" spans="2:15" ht="13.5" customHeight="1">
      <c r="B14" s="330">
        <v>4</v>
      </c>
      <c r="C14" s="50">
        <v>43497</v>
      </c>
      <c r="D14" s="51">
        <f>954*2+998*2</f>
        <v>3904</v>
      </c>
      <c r="E14" s="87">
        <f>'base(indices)'!G113</f>
        <v>1.1831498</v>
      </c>
      <c r="F14" s="52">
        <f t="shared" si="0"/>
        <v>4619.0168192000001</v>
      </c>
      <c r="G14" s="42">
        <f>'base(indices)'!I147</f>
        <v>0.29920000000000002</v>
      </c>
      <c r="H14" s="299">
        <f t="shared" si="1"/>
        <v>1382.0098323046402</v>
      </c>
      <c r="I14" s="332">
        <f t="shared" si="3"/>
        <v>6001.0266515046405</v>
      </c>
      <c r="J14" s="123">
        <f t="shared" si="2"/>
        <v>6001.0266515046405</v>
      </c>
      <c r="K14" s="123">
        <f>J14*K$9</f>
        <v>5400.923986354177</v>
      </c>
      <c r="L14" s="123">
        <f>J14*$L$9</f>
        <v>4800.8213212037126</v>
      </c>
      <c r="M14" s="199">
        <f>J14*M$9</f>
        <v>4200.7186560532482</v>
      </c>
      <c r="N14" s="199">
        <f>J14*N$9</f>
        <v>3600.6159909027842</v>
      </c>
      <c r="O14" s="123">
        <f>J14*O$9</f>
        <v>3000.5133257523203</v>
      </c>
    </row>
    <row r="15" spans="2:15" ht="13.5" customHeight="1">
      <c r="B15" s="330">
        <v>4</v>
      </c>
      <c r="C15" s="50">
        <v>43862</v>
      </c>
      <c r="D15" s="51">
        <f>998*2+1045*2</f>
        <v>4086</v>
      </c>
      <c r="E15" s="87">
        <f>'base(indices)'!G125</f>
        <v>1.1339588599999999</v>
      </c>
      <c r="F15" s="52">
        <f>D15*E15</f>
        <v>4633.3559019599998</v>
      </c>
      <c r="G15" s="42">
        <f>'base(indices)'!I147</f>
        <v>0.29920000000000002</v>
      </c>
      <c r="H15" s="299">
        <f>F15*G15</f>
        <v>1386.300085866432</v>
      </c>
      <c r="I15" s="332">
        <f>(F15+H15)</f>
        <v>6019.6559878264316</v>
      </c>
      <c r="J15" s="123">
        <f>I15</f>
        <v>6019.6559878264316</v>
      </c>
      <c r="K15" s="123">
        <f>J15*K$9</f>
        <v>5417.6903890437889</v>
      </c>
      <c r="L15" s="123">
        <f>J15*$L$9</f>
        <v>4815.7247902611452</v>
      </c>
      <c r="M15" s="199">
        <f>J15*M$9</f>
        <v>4213.7591914785016</v>
      </c>
      <c r="N15" s="199">
        <f>J15*N$9</f>
        <v>3611.7935926958589</v>
      </c>
      <c r="O15" s="123">
        <f>J15*O$9</f>
        <v>3009.8279939132158</v>
      </c>
    </row>
    <row r="16" spans="2:15" ht="13.5" customHeight="1">
      <c r="B16" s="327">
        <v>4</v>
      </c>
      <c r="C16" s="50">
        <v>44228</v>
      </c>
      <c r="D16" s="51">
        <f>1045*2+1100*2</f>
        <v>4290</v>
      </c>
      <c r="E16" s="87">
        <f>'base(indices)'!G137</f>
        <v>1.0872098800000001</v>
      </c>
      <c r="F16" s="63">
        <f>D16*E16</f>
        <v>4664.1303852000001</v>
      </c>
      <c r="G16" s="42">
        <f>'base(indices)'!I147</f>
        <v>0.29920000000000002</v>
      </c>
      <c r="H16" s="299">
        <f>F16*G16</f>
        <v>1395.5078112518402</v>
      </c>
      <c r="I16" s="328">
        <f>(F16+H16)</f>
        <v>6059.6381964518405</v>
      </c>
      <c r="J16" s="123">
        <f>I16</f>
        <v>6059.6381964518405</v>
      </c>
      <c r="K16" s="123">
        <f t="shared" ref="K16:O19" si="4">$J16*K$9</f>
        <v>5453.6743768066563</v>
      </c>
      <c r="L16" s="123">
        <f t="shared" si="4"/>
        <v>4847.7105571614729</v>
      </c>
      <c r="M16" s="199">
        <f t="shared" si="4"/>
        <v>4241.7467375162878</v>
      </c>
      <c r="N16" s="199">
        <f t="shared" si="4"/>
        <v>3635.782917871104</v>
      </c>
      <c r="O16" s="123">
        <f t="shared" si="4"/>
        <v>3029.8190982259202</v>
      </c>
    </row>
    <row r="17" spans="2:16" ht="13.5" customHeight="1">
      <c r="B17" s="327">
        <v>4</v>
      </c>
      <c r="C17" s="50">
        <v>44593</v>
      </c>
      <c r="D17" s="51">
        <f>1100*2+1212*2</f>
        <v>4624</v>
      </c>
      <c r="E17" s="329">
        <f>'base(indices)'!G149</f>
        <v>0.99999998000000001</v>
      </c>
      <c r="F17" s="63">
        <f>D17*E17</f>
        <v>4623.9999075200003</v>
      </c>
      <c r="G17" s="42">
        <f>'base(indices)'!I149</f>
        <v>0.28420000000000001</v>
      </c>
      <c r="H17" s="299">
        <f>F17*G17</f>
        <v>1314.1407737171842</v>
      </c>
      <c r="I17" s="328">
        <f>(F17+H17)</f>
        <v>5938.1406812371843</v>
      </c>
      <c r="J17" s="123">
        <f>I17</f>
        <v>5938.1406812371843</v>
      </c>
      <c r="K17" s="123">
        <f t="shared" si="4"/>
        <v>5344.326613113466</v>
      </c>
      <c r="L17" s="123">
        <f t="shared" si="4"/>
        <v>4750.5125449897478</v>
      </c>
      <c r="M17" s="199">
        <f t="shared" si="4"/>
        <v>4156.6984768660286</v>
      </c>
      <c r="N17" s="199">
        <f t="shared" si="4"/>
        <v>3562.8844087423104</v>
      </c>
      <c r="O17" s="123">
        <f t="shared" si="4"/>
        <v>2969.0703406185921</v>
      </c>
    </row>
    <row r="18" spans="2:16" ht="13.5" customHeight="1">
      <c r="B18" s="327">
        <v>4</v>
      </c>
      <c r="C18" s="50">
        <v>44958</v>
      </c>
      <c r="D18" s="51">
        <f>1212*2+1302*2</f>
        <v>5028</v>
      </c>
      <c r="E18" s="329">
        <f>'base(indices)'!G161</f>
        <v>0.99999998000000001</v>
      </c>
      <c r="F18" s="63">
        <f>D18*E18</f>
        <v>5027.9998994400003</v>
      </c>
      <c r="G18" s="42">
        <f>'base(indices)'!I161</f>
        <v>0.16300000000000001</v>
      </c>
      <c r="H18" s="299">
        <f>F18*G18</f>
        <v>819.56398360872004</v>
      </c>
      <c r="I18" s="328">
        <f>(F18+H18)</f>
        <v>5847.5638830487205</v>
      </c>
      <c r="J18" s="123">
        <f>I18</f>
        <v>5847.5638830487205</v>
      </c>
      <c r="K18" s="123">
        <f t="shared" si="4"/>
        <v>5262.807494743849</v>
      </c>
      <c r="L18" s="123">
        <f t="shared" si="4"/>
        <v>4678.0511064389766</v>
      </c>
      <c r="M18" s="199">
        <f t="shared" si="4"/>
        <v>4093.2947181341042</v>
      </c>
      <c r="N18" s="199">
        <f t="shared" si="4"/>
        <v>3508.5383298292322</v>
      </c>
      <c r="O18" s="123">
        <f t="shared" si="4"/>
        <v>2923.7819415243603</v>
      </c>
    </row>
    <row r="19" spans="2:16">
      <c r="B19" s="327">
        <v>4</v>
      </c>
      <c r="C19" s="50">
        <v>45323</v>
      </c>
      <c r="D19" s="51">
        <f>1320*2+1412*2</f>
        <v>5464</v>
      </c>
      <c r="E19" s="329">
        <f>'base(indices)'!G173</f>
        <v>0.99999998000000001</v>
      </c>
      <c r="F19" s="63">
        <f>D19*E19</f>
        <v>5463.9998907199997</v>
      </c>
      <c r="G19" s="42">
        <f>'base(indices)'!I173</f>
        <v>4.1399999999999999E-2</v>
      </c>
      <c r="H19" s="299">
        <f>F19*G19</f>
        <v>226.20959547580799</v>
      </c>
      <c r="I19" s="328">
        <f>(F19+H19)</f>
        <v>5690.2094861958076</v>
      </c>
      <c r="J19" s="123">
        <f>I19</f>
        <v>5690.2094861958076</v>
      </c>
      <c r="K19" s="123">
        <f t="shared" si="4"/>
        <v>5121.1885375762267</v>
      </c>
      <c r="L19" s="123">
        <f t="shared" si="4"/>
        <v>4552.1675889566459</v>
      </c>
      <c r="M19" s="199">
        <f t="shared" si="4"/>
        <v>3983.146640337065</v>
      </c>
      <c r="N19" s="199">
        <f t="shared" si="4"/>
        <v>3414.1256917174846</v>
      </c>
      <c r="O19" s="123">
        <f t="shared" si="4"/>
        <v>2845.1047430979038</v>
      </c>
    </row>
    <row r="20" spans="2:16">
      <c r="C20" s="24"/>
      <c r="D20"/>
      <c r="K20" s="7"/>
      <c r="L20" s="9"/>
      <c r="M20" s="9"/>
      <c r="N20" s="9"/>
      <c r="O20" s="9"/>
    </row>
    <row r="21" spans="2:16">
      <c r="B21" s="24" t="str">
        <f>'Benef com 13º'!B199</f>
        <v>ORTN/OTN/BTN até 02/91 + INPC até 12/92 + IRSM até 02/94 + URV até 06/94 + IPCR até 06/95 + INPC até 04/96 + IGPDI até 09/2006 + IPCA-E + Selic após 12/021</v>
      </c>
      <c r="P21" s="1"/>
    </row>
    <row r="22" spans="2:16" ht="13.5">
      <c r="C22" s="8"/>
      <c r="D22" s="8"/>
      <c r="E22" s="8"/>
      <c r="F22" s="8"/>
      <c r="G22" s="8"/>
      <c r="H22" s="8"/>
      <c r="I22" s="15"/>
      <c r="J22" s="8"/>
      <c r="K22" s="9"/>
      <c r="L22" s="9"/>
      <c r="M22" s="9"/>
      <c r="N22" s="9"/>
      <c r="O22" s="9"/>
    </row>
  </sheetData>
  <sheetProtection selectLockedCells="1" selectUnlockedCells="1"/>
  <mergeCells count="14">
    <mergeCell ref="B9:B10"/>
    <mergeCell ref="C9:C10"/>
    <mergeCell ref="D9:D10"/>
    <mergeCell ref="E9:E10"/>
    <mergeCell ref="F9:F10"/>
    <mergeCell ref="L9:L10"/>
    <mergeCell ref="M9:M10"/>
    <mergeCell ref="N9:N10"/>
    <mergeCell ref="O9:O10"/>
    <mergeCell ref="G9:G10"/>
    <mergeCell ref="H9:H10"/>
    <mergeCell ref="I9:I10"/>
    <mergeCell ref="J9:J10"/>
    <mergeCell ref="K9:K10"/>
  </mergeCells>
  <conditionalFormatting sqref="F11:I12 F13:F16 H13:I15 C11:D16 G14 G16 G18">
    <cfRule type="cellIs" dxfId="609" priority="35" stopIfTrue="1" operator="notEqual">
      <formula>""</formula>
    </cfRule>
  </conditionalFormatting>
  <conditionalFormatting sqref="E9 E11:E17">
    <cfRule type="cellIs" dxfId="608" priority="34" stopIfTrue="1" operator="equal">
      <formula>"Total"</formula>
    </cfRule>
  </conditionalFormatting>
  <conditionalFormatting sqref="E9">
    <cfRule type="cellIs" dxfId="607" priority="33" stopIfTrue="1" operator="equal">
      <formula>"Total"</formula>
    </cfRule>
  </conditionalFormatting>
  <conditionalFormatting sqref="F14 H14">
    <cfRule type="cellIs" dxfId="606" priority="32" stopIfTrue="1" operator="notEqual">
      <formula>""</formula>
    </cfRule>
  </conditionalFormatting>
  <conditionalFormatting sqref="F14 H14">
    <cfRule type="cellIs" dxfId="605" priority="31" stopIfTrue="1" operator="notEqual">
      <formula>""</formula>
    </cfRule>
  </conditionalFormatting>
  <conditionalFormatting sqref="F14">
    <cfRule type="cellIs" dxfId="604" priority="30" stopIfTrue="1" operator="notEqual">
      <formula>""</formula>
    </cfRule>
  </conditionalFormatting>
  <conditionalFormatting sqref="H16:I16">
    <cfRule type="cellIs" dxfId="603" priority="28" stopIfTrue="1" operator="notEqual">
      <formula>""</formula>
    </cfRule>
  </conditionalFormatting>
  <conditionalFormatting sqref="H16:I16">
    <cfRule type="cellIs" dxfId="602" priority="29" stopIfTrue="1" operator="notEqual">
      <formula>""</formula>
    </cfRule>
  </conditionalFormatting>
  <conditionalFormatting sqref="F17 C17">
    <cfRule type="cellIs" dxfId="601" priority="27" stopIfTrue="1" operator="notEqual">
      <formula>""</formula>
    </cfRule>
  </conditionalFormatting>
  <conditionalFormatting sqref="H17:I17">
    <cfRule type="cellIs" dxfId="600" priority="24" stopIfTrue="1" operator="notEqual">
      <formula>""</formula>
    </cfRule>
  </conditionalFormatting>
  <conditionalFormatting sqref="H17:I17">
    <cfRule type="cellIs" dxfId="599" priority="25" stopIfTrue="1" operator="notEqual">
      <formula>""</formula>
    </cfRule>
  </conditionalFormatting>
  <conditionalFormatting sqref="D17">
    <cfRule type="cellIs" dxfId="598" priority="22" stopIfTrue="1" operator="notEqual">
      <formula>""</formula>
    </cfRule>
  </conditionalFormatting>
  <conditionalFormatting sqref="G13 G15 G17">
    <cfRule type="cellIs" dxfId="597" priority="18" stopIfTrue="1" operator="notEqual">
      <formula>""</formula>
    </cfRule>
  </conditionalFormatting>
  <conditionalFormatting sqref="C16">
    <cfRule type="cellIs" dxfId="596" priority="17" stopIfTrue="1" operator="notEqual">
      <formula>""</formula>
    </cfRule>
  </conditionalFormatting>
  <conditionalFormatting sqref="D16">
    <cfRule type="cellIs" dxfId="595" priority="16" stopIfTrue="1" operator="notEqual">
      <formula>""</formula>
    </cfRule>
  </conditionalFormatting>
  <conditionalFormatting sqref="E17">
    <cfRule type="cellIs" dxfId="594" priority="15" stopIfTrue="1" operator="equal">
      <formula>"Total"</formula>
    </cfRule>
  </conditionalFormatting>
  <conditionalFormatting sqref="E18">
    <cfRule type="cellIs" dxfId="593" priority="14" stopIfTrue="1" operator="equal">
      <formula>"Total"</formula>
    </cfRule>
  </conditionalFormatting>
  <conditionalFormatting sqref="F18 C18">
    <cfRule type="cellIs" dxfId="592" priority="13" stopIfTrue="1" operator="notEqual">
      <formula>""</formula>
    </cfRule>
  </conditionalFormatting>
  <conditionalFormatting sqref="H18:I18">
    <cfRule type="cellIs" dxfId="591" priority="11" stopIfTrue="1" operator="notEqual">
      <formula>""</formula>
    </cfRule>
  </conditionalFormatting>
  <conditionalFormatting sqref="H18:I18">
    <cfRule type="cellIs" dxfId="590" priority="12" stopIfTrue="1" operator="notEqual">
      <formula>""</formula>
    </cfRule>
  </conditionalFormatting>
  <conditionalFormatting sqref="D18">
    <cfRule type="cellIs" dxfId="589" priority="10" stopIfTrue="1" operator="notEqual">
      <formula>""</formula>
    </cfRule>
  </conditionalFormatting>
  <conditionalFormatting sqref="E18">
    <cfRule type="cellIs" dxfId="588" priority="8" stopIfTrue="1" operator="equal">
      <formula>"Total"</formula>
    </cfRule>
  </conditionalFormatting>
  <conditionalFormatting sqref="G19">
    <cfRule type="cellIs" dxfId="587" priority="7" stopIfTrue="1" operator="notEqual">
      <formula>""</formula>
    </cfRule>
  </conditionalFormatting>
  <conditionalFormatting sqref="E19">
    <cfRule type="cellIs" dxfId="586" priority="6" stopIfTrue="1" operator="equal">
      <formula>"Total"</formula>
    </cfRule>
  </conditionalFormatting>
  <conditionalFormatting sqref="F19 C19">
    <cfRule type="cellIs" dxfId="585" priority="5" stopIfTrue="1" operator="notEqual">
      <formula>""</formula>
    </cfRule>
  </conditionalFormatting>
  <conditionalFormatting sqref="H19:I19">
    <cfRule type="cellIs" dxfId="584" priority="3" stopIfTrue="1" operator="notEqual">
      <formula>""</formula>
    </cfRule>
  </conditionalFormatting>
  <conditionalFormatting sqref="H19:I19">
    <cfRule type="cellIs" dxfId="583" priority="4" stopIfTrue="1" operator="notEqual">
      <formula>""</formula>
    </cfRule>
  </conditionalFormatting>
  <conditionalFormatting sqref="D19">
    <cfRule type="cellIs" dxfId="582" priority="2" stopIfTrue="1" operator="notEqual">
      <formula>""</formula>
    </cfRule>
  </conditionalFormatting>
  <conditionalFormatting sqref="E19">
    <cfRule type="cellIs" dxfId="581" priority="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N46"/>
  <sheetViews>
    <sheetView showGridLines="0" zoomScale="95" zoomScaleNormal="95" zoomScaleSheetLayoutView="110" workbookViewId="0">
      <pane ySplit="2" topLeftCell="A3" activePane="bottomLeft" state="frozen"/>
      <selection activeCell="I135" sqref="I135"/>
      <selection pane="bottomLeft" activeCell="J34" sqref="J34"/>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45474</v>
      </c>
      <c r="I2" s="301">
        <v>0.9</v>
      </c>
      <c r="K2" s="230"/>
    </row>
    <row r="3" spans="2:14" ht="27" customHeight="1" thickBot="1">
      <c r="B3" s="229" t="s">
        <v>51</v>
      </c>
      <c r="C3" s="229" t="s">
        <v>52</v>
      </c>
      <c r="D3" s="228" t="s">
        <v>7</v>
      </c>
      <c r="E3" s="227" t="s">
        <v>53</v>
      </c>
      <c r="F3" s="227" t="s">
        <v>54</v>
      </c>
      <c r="G3" s="227" t="s">
        <v>20</v>
      </c>
      <c r="I3" s="229" t="s">
        <v>51</v>
      </c>
      <c r="J3" s="229" t="s">
        <v>52</v>
      </c>
      <c r="K3" s="228" t="s">
        <v>7</v>
      </c>
      <c r="L3" s="227" t="s">
        <v>53</v>
      </c>
      <c r="M3" s="227" t="s">
        <v>54</v>
      </c>
      <c r="N3" s="227" t="s">
        <v>20</v>
      </c>
    </row>
    <row r="4" spans="2:14" ht="12.75" customHeight="1">
      <c r="B4" s="223">
        <f>'Benef com 13º'!A107</f>
        <v>72</v>
      </c>
      <c r="C4" s="223">
        <f t="shared" ref="C4:C44" si="0">C5</f>
        <v>6</v>
      </c>
      <c r="D4" s="226">
        <v>43101</v>
      </c>
      <c r="E4" s="225">
        <f>'Benef com 13º'!P107</f>
        <v>68400.683076946341</v>
      </c>
      <c r="F4" s="225">
        <f>'Benef com 13º'!Q107</f>
        <v>7847.3169230536587</v>
      </c>
      <c r="G4" s="225">
        <f t="shared" ref="G4:G34" si="1">SUM(E4:F4)</f>
        <v>76248</v>
      </c>
      <c r="I4" s="237">
        <f>'Benef com 13º'!A149</f>
        <v>30</v>
      </c>
      <c r="J4" s="223">
        <f t="shared" ref="J4:J31" si="2">J5</f>
        <v>6</v>
      </c>
      <c r="K4" s="222">
        <v>44378</v>
      </c>
      <c r="L4" s="225">
        <f>'Benef com 13º'!P149</f>
        <v>42534.280744151787</v>
      </c>
      <c r="M4" s="225">
        <f>'Benef com 13º'!Q149</f>
        <v>7847.3169230536587</v>
      </c>
      <c r="N4" s="221">
        <f t="shared" ref="N4:N21" si="3">SUM(L4:M4)</f>
        <v>50381.597667205446</v>
      </c>
    </row>
    <row r="5" spans="2:14" ht="12.75" customHeight="1">
      <c r="B5" s="238">
        <f>'Benef com 13º'!A108</f>
        <v>71</v>
      </c>
      <c r="C5" s="238">
        <f t="shared" si="0"/>
        <v>6</v>
      </c>
      <c r="D5" s="106">
        <v>43132</v>
      </c>
      <c r="E5" s="233">
        <f>'Benef com 13º'!P108</f>
        <v>68400.683076946341</v>
      </c>
      <c r="F5" s="233">
        <f>'Benef com 13º'!Q108</f>
        <v>7847.3169230536587</v>
      </c>
      <c r="G5" s="61">
        <f t="shared" si="1"/>
        <v>76248</v>
      </c>
      <c r="I5" s="143">
        <f>'Benef com 13º'!A150</f>
        <v>29</v>
      </c>
      <c r="J5" s="238">
        <f t="shared" si="2"/>
        <v>6</v>
      </c>
      <c r="K5" s="106">
        <v>44409</v>
      </c>
      <c r="L5" s="155">
        <f>'Benef com 13º'!P150</f>
        <v>41077.267451524596</v>
      </c>
      <c r="M5" s="233">
        <f>'Benef com 13º'!Q150</f>
        <v>7847.3169230536587</v>
      </c>
      <c r="N5" s="61">
        <f t="shared" si="3"/>
        <v>48924.584374578255</v>
      </c>
    </row>
    <row r="6" spans="2:14" ht="12.75" customHeight="1">
      <c r="B6" s="223">
        <f>'Benef com 13º'!A109</f>
        <v>70</v>
      </c>
      <c r="C6" s="223">
        <f t="shared" si="0"/>
        <v>6</v>
      </c>
      <c r="D6" s="222">
        <v>43160</v>
      </c>
      <c r="E6" s="225">
        <f>'Benef com 13º'!P109</f>
        <v>68400.683076946341</v>
      </c>
      <c r="F6" s="225">
        <f>'Benef com 13º'!Q109</f>
        <v>7847.3169230536587</v>
      </c>
      <c r="G6" s="221">
        <f t="shared" si="1"/>
        <v>76248</v>
      </c>
      <c r="I6" s="237">
        <f>'Benef com 13º'!A151</f>
        <v>28</v>
      </c>
      <c r="J6" s="223">
        <f t="shared" si="2"/>
        <v>6</v>
      </c>
      <c r="K6" s="222">
        <v>44440</v>
      </c>
      <c r="L6" s="225">
        <f>'Benef com 13º'!P151</f>
        <v>39631.018497959791</v>
      </c>
      <c r="M6" s="225">
        <f>'Benef com 13º'!Q151</f>
        <v>7847.3169230536587</v>
      </c>
      <c r="N6" s="221">
        <f t="shared" si="3"/>
        <v>47478.335421013449</v>
      </c>
    </row>
    <row r="7" spans="2:14" ht="12.75" customHeight="1">
      <c r="B7" s="238">
        <f>'Benef com 13º'!A110</f>
        <v>69</v>
      </c>
      <c r="C7" s="238">
        <f t="shared" si="0"/>
        <v>6</v>
      </c>
      <c r="D7" s="106">
        <v>43191</v>
      </c>
      <c r="E7" s="233">
        <f>'Benef com 13º'!P110</f>
        <v>68400.683076946341</v>
      </c>
      <c r="F7" s="233">
        <f>'Benef com 13º'!Q110</f>
        <v>7847.3169230536587</v>
      </c>
      <c r="G7" s="61">
        <f t="shared" si="1"/>
        <v>76248</v>
      </c>
      <c r="I7" s="143">
        <f>'Benef com 13º'!A152</f>
        <v>27</v>
      </c>
      <c r="J7" s="238">
        <f t="shared" si="2"/>
        <v>6</v>
      </c>
      <c r="K7" s="106">
        <v>44470</v>
      </c>
      <c r="L7" s="155">
        <f>'Benef com 13º'!P152</f>
        <v>38198.202591419307</v>
      </c>
      <c r="M7" s="233">
        <f>'Benef com 13º'!Q152</f>
        <v>7847.3169230536587</v>
      </c>
      <c r="N7" s="61">
        <f t="shared" si="3"/>
        <v>46045.519514472966</v>
      </c>
    </row>
    <row r="8" spans="2:14" ht="12.75" customHeight="1">
      <c r="B8" s="223">
        <f>'Benef com 13º'!A111</f>
        <v>68</v>
      </c>
      <c r="C8" s="223">
        <f t="shared" si="0"/>
        <v>6</v>
      </c>
      <c r="D8" s="222">
        <v>43221</v>
      </c>
      <c r="E8" s="225">
        <f>'Benef com 13º'!P111</f>
        <v>68400.683076946341</v>
      </c>
      <c r="F8" s="225">
        <f>'Benef com 13º'!Q111</f>
        <v>7847.3169230536587</v>
      </c>
      <c r="G8" s="221">
        <f t="shared" si="1"/>
        <v>76248</v>
      </c>
      <c r="I8" s="237">
        <f>'Benef com 13º'!A153</f>
        <v>26</v>
      </c>
      <c r="J8" s="223">
        <f t="shared" si="2"/>
        <v>6</v>
      </c>
      <c r="K8" s="222">
        <v>44501</v>
      </c>
      <c r="L8" s="225">
        <f>'Benef com 13º'!P153</f>
        <v>36780.70039308555</v>
      </c>
      <c r="M8" s="225">
        <f>'Benef com 13º'!Q153</f>
        <v>7847.3169230536587</v>
      </c>
      <c r="N8" s="221">
        <f t="shared" si="3"/>
        <v>44628.017316139209</v>
      </c>
    </row>
    <row r="9" spans="2:14" ht="12.75" customHeight="1">
      <c r="B9" s="238">
        <f>'Benef com 13º'!A112</f>
        <v>67</v>
      </c>
      <c r="C9" s="238">
        <f t="shared" si="0"/>
        <v>6</v>
      </c>
      <c r="D9" s="106">
        <v>43252</v>
      </c>
      <c r="E9" s="233">
        <f>'Benef com 13º'!P112</f>
        <v>68400.683076946341</v>
      </c>
      <c r="F9" s="233">
        <f>'Benef com 13º'!Q112</f>
        <v>7847.3169230536587</v>
      </c>
      <c r="G9" s="61">
        <f t="shared" si="1"/>
        <v>76248</v>
      </c>
      <c r="I9" s="143">
        <f>'Benef com 13º'!A154</f>
        <v>25</v>
      </c>
      <c r="J9" s="238">
        <f t="shared" si="2"/>
        <v>6</v>
      </c>
      <c r="K9" s="106">
        <v>44531</v>
      </c>
      <c r="L9" s="155">
        <f>'Benef com 13º'!P154</f>
        <v>35378.53005135338</v>
      </c>
      <c r="M9" s="233">
        <f>'Benef com 13º'!Q154</f>
        <v>7847.3169230536587</v>
      </c>
      <c r="N9" s="142">
        <f t="shared" si="3"/>
        <v>43225.846974407039</v>
      </c>
    </row>
    <row r="10" spans="2:14" ht="12.75" customHeight="1">
      <c r="B10" s="223">
        <f>'Benef com 13º'!A113</f>
        <v>66</v>
      </c>
      <c r="C10" s="223">
        <f t="shared" si="0"/>
        <v>6</v>
      </c>
      <c r="D10" s="222">
        <v>43282</v>
      </c>
      <c r="E10" s="225">
        <f>'Benef com 13º'!P113</f>
        <v>68400.683076946341</v>
      </c>
      <c r="F10" s="225">
        <f>'Benef com 13º'!Q113</f>
        <v>7847.3169230536587</v>
      </c>
      <c r="G10" s="221">
        <f t="shared" si="1"/>
        <v>76248</v>
      </c>
      <c r="I10" s="237">
        <f>'Benef com 13º'!A155</f>
        <v>24</v>
      </c>
      <c r="J10" s="223">
        <f t="shared" si="2"/>
        <v>6</v>
      </c>
      <c r="K10" s="222">
        <v>44562</v>
      </c>
      <c r="L10" s="225">
        <f>'Benef com 13º'!P155</f>
        <v>33937.652561246832</v>
      </c>
      <c r="M10" s="225">
        <f>'Benef com 13º'!Q155</f>
        <v>7847.3169230536587</v>
      </c>
      <c r="N10" s="221">
        <f t="shared" si="3"/>
        <v>41784.969484300491</v>
      </c>
    </row>
    <row r="11" spans="2:14" ht="12.75" customHeight="1">
      <c r="B11" s="238">
        <f>'Benef com 13º'!A114</f>
        <v>65</v>
      </c>
      <c r="C11" s="238">
        <f t="shared" si="0"/>
        <v>6</v>
      </c>
      <c r="D11" s="106">
        <v>43313</v>
      </c>
      <c r="E11" s="233">
        <f>'Benef com 13º'!P114</f>
        <v>68400.683076946341</v>
      </c>
      <c r="F11" s="233">
        <f>'Benef com 13º'!Q114</f>
        <v>7847.3169230536587</v>
      </c>
      <c r="G11" s="61">
        <f t="shared" si="1"/>
        <v>76248</v>
      </c>
      <c r="I11" s="143">
        <f>'Benef com 13º'!A156</f>
        <v>23</v>
      </c>
      <c r="J11" s="238">
        <f t="shared" si="2"/>
        <v>6</v>
      </c>
      <c r="K11" s="106">
        <v>44593</v>
      </c>
      <c r="L11" s="155">
        <f>'Benef com 13º'!P156</f>
        <v>32424.185771516168</v>
      </c>
      <c r="M11" s="233">
        <f>'Benef com 13º'!Q156</f>
        <v>7847.3169230536587</v>
      </c>
      <c r="N11" s="61">
        <f t="shared" si="3"/>
        <v>40271.502694569826</v>
      </c>
    </row>
    <row r="12" spans="2:14" ht="12.75" customHeight="1">
      <c r="B12" s="223">
        <f>'Benef com 13º'!A115</f>
        <v>64</v>
      </c>
      <c r="C12" s="223">
        <f t="shared" si="0"/>
        <v>6</v>
      </c>
      <c r="D12" s="222">
        <v>43344</v>
      </c>
      <c r="E12" s="225">
        <f>'Benef com 13º'!P115</f>
        <v>68400.683076946341</v>
      </c>
      <c r="F12" s="225">
        <f>'Benef com 13º'!Q115</f>
        <v>7847.3169230536587</v>
      </c>
      <c r="G12" s="221">
        <f t="shared" si="1"/>
        <v>76248</v>
      </c>
      <c r="I12" s="237">
        <f>'Benef com 13º'!A157</f>
        <v>22</v>
      </c>
      <c r="J12" s="223">
        <f t="shared" si="2"/>
        <v>6</v>
      </c>
      <c r="K12" s="222">
        <v>44621</v>
      </c>
      <c r="L12" s="225">
        <f>'Benef com 13º'!P157</f>
        <v>30918.845441622972</v>
      </c>
      <c r="M12" s="225">
        <f>'Benef com 13º'!Q157</f>
        <v>7847.3169230536587</v>
      </c>
      <c r="N12" s="221">
        <f t="shared" si="3"/>
        <v>38766.162364676631</v>
      </c>
    </row>
    <row r="13" spans="2:14" ht="12.75" customHeight="1">
      <c r="B13" s="238">
        <f>'Benef com 13º'!A116</f>
        <v>63</v>
      </c>
      <c r="C13" s="238">
        <f t="shared" si="0"/>
        <v>6</v>
      </c>
      <c r="D13" s="106">
        <v>43374</v>
      </c>
      <c r="E13" s="233">
        <f>'Benef com 13º'!P116</f>
        <v>68400.683076946341</v>
      </c>
      <c r="F13" s="233">
        <f>'Benef com 13º'!Q116</f>
        <v>7847.3169230536587</v>
      </c>
      <c r="G13" s="61">
        <f t="shared" si="1"/>
        <v>76248</v>
      </c>
      <c r="I13" s="143">
        <f>'Benef com 13º'!A158</f>
        <v>21</v>
      </c>
      <c r="J13" s="238">
        <f t="shared" si="2"/>
        <v>6</v>
      </c>
      <c r="K13" s="106">
        <v>44652</v>
      </c>
      <c r="L13" s="155">
        <f>'Benef com 13º'!P158</f>
        <v>29422.722371545431</v>
      </c>
      <c r="M13" s="233">
        <f>'Benef com 13º'!Q158</f>
        <v>7847.3169230536587</v>
      </c>
      <c r="N13" s="61">
        <f t="shared" si="3"/>
        <v>37270.03929459909</v>
      </c>
    </row>
    <row r="14" spans="2:14" ht="12.75" customHeight="1">
      <c r="B14" s="223">
        <f>'Benef com 13º'!A117</f>
        <v>62</v>
      </c>
      <c r="C14" s="223">
        <f t="shared" si="0"/>
        <v>6</v>
      </c>
      <c r="D14" s="222">
        <v>43405</v>
      </c>
      <c r="E14" s="225">
        <f>'Benef com 13º'!P117</f>
        <v>68400.683076946341</v>
      </c>
      <c r="F14" s="225">
        <f>'Benef com 13º'!Q117</f>
        <v>7847.3169230536587</v>
      </c>
      <c r="G14" s="221">
        <f t="shared" si="1"/>
        <v>76248</v>
      </c>
      <c r="I14" s="237">
        <f>'Benef com 13º'!A159</f>
        <v>20</v>
      </c>
      <c r="J14" s="223">
        <f t="shared" si="2"/>
        <v>6</v>
      </c>
      <c r="K14" s="222">
        <v>44682</v>
      </c>
      <c r="L14" s="225">
        <f>'Benef com 13º'!P159</f>
        <v>27936.198341275911</v>
      </c>
      <c r="M14" s="225">
        <f>'Benef com 13º'!Q159</f>
        <v>7847.3169230536587</v>
      </c>
      <c r="N14" s="221">
        <f t="shared" si="3"/>
        <v>35783.515264329573</v>
      </c>
    </row>
    <row r="15" spans="2:14" ht="12.75" customHeight="1">
      <c r="B15" s="238">
        <f>'Benef com 13º'!A118</f>
        <v>61</v>
      </c>
      <c r="C15" s="238">
        <f t="shared" si="0"/>
        <v>6</v>
      </c>
      <c r="D15" s="106">
        <v>43435</v>
      </c>
      <c r="E15" s="233">
        <f>'Benef com 13º'!P118</f>
        <v>68400.683076946341</v>
      </c>
      <c r="F15" s="233">
        <f>'Benef com 13º'!Q118</f>
        <v>7847.3169230536587</v>
      </c>
      <c r="G15" s="61">
        <f t="shared" si="1"/>
        <v>76248</v>
      </c>
      <c r="I15" s="143">
        <f>'Benef com 13º'!A160</f>
        <v>19</v>
      </c>
      <c r="J15" s="238">
        <f t="shared" si="2"/>
        <v>6</v>
      </c>
      <c r="K15" s="106">
        <v>44713</v>
      </c>
      <c r="L15" s="155">
        <f>'Benef com 13º'!P160</f>
        <v>26459.818750803508</v>
      </c>
      <c r="M15" s="233">
        <f>'Benef com 13º'!Q160</f>
        <v>7847.3169230536587</v>
      </c>
      <c r="N15" s="61">
        <f t="shared" si="3"/>
        <v>34307.135673857163</v>
      </c>
    </row>
    <row r="16" spans="2:14" ht="12.75" customHeight="1">
      <c r="B16" s="223">
        <f>'Benef com 13º'!A119</f>
        <v>60</v>
      </c>
      <c r="C16" s="223">
        <f t="shared" si="0"/>
        <v>6</v>
      </c>
      <c r="D16" s="222">
        <v>43466</v>
      </c>
      <c r="E16" s="225">
        <f>'Benef com 13º'!P119</f>
        <v>68400.683076946341</v>
      </c>
      <c r="F16" s="225">
        <f>'Benef com 13º'!Q119</f>
        <v>7847.3169230536587</v>
      </c>
      <c r="G16" s="221">
        <f t="shared" si="1"/>
        <v>76248</v>
      </c>
      <c r="I16" s="237">
        <f>'Benef com 13º'!A161</f>
        <v>18</v>
      </c>
      <c r="J16" s="223">
        <f t="shared" si="2"/>
        <v>6</v>
      </c>
      <c r="K16" s="222">
        <v>44743</v>
      </c>
      <c r="L16" s="225">
        <f>'Benef com 13º'!P161</f>
        <v>24994.61986010749</v>
      </c>
      <c r="M16" s="225">
        <f>'Benef com 13º'!Q161</f>
        <v>7847.3169230536587</v>
      </c>
      <c r="N16" s="221">
        <f t="shared" si="3"/>
        <v>32841.936783161145</v>
      </c>
    </row>
    <row r="17" spans="2:14" ht="12.75" customHeight="1">
      <c r="B17" s="238">
        <f>'Benef com 13º'!A120</f>
        <v>59</v>
      </c>
      <c r="C17" s="238">
        <f t="shared" si="0"/>
        <v>6</v>
      </c>
      <c r="D17" s="106">
        <v>43497</v>
      </c>
      <c r="E17" s="233">
        <f>'Benef com 13º'!P120</f>
        <v>68400.683076946341</v>
      </c>
      <c r="F17" s="233">
        <f>'Benef com 13º'!Q120</f>
        <v>7847.3169230536587</v>
      </c>
      <c r="G17" s="61">
        <f t="shared" si="1"/>
        <v>76248</v>
      </c>
      <c r="I17" s="143">
        <f>'Benef com 13º'!A162</f>
        <v>17</v>
      </c>
      <c r="J17" s="238">
        <f t="shared" si="2"/>
        <v>6</v>
      </c>
      <c r="K17" s="106">
        <v>44774</v>
      </c>
      <c r="L17" s="155">
        <f>'Benef com 13º'!P162</f>
        <v>23540.60166918785</v>
      </c>
      <c r="M17" s="233">
        <f>'Benef com 13º'!Q162</f>
        <v>7847.3169230536587</v>
      </c>
      <c r="N17" s="61">
        <f t="shared" si="3"/>
        <v>31387.918592241509</v>
      </c>
    </row>
    <row r="18" spans="2:14" ht="12.75" customHeight="1">
      <c r="B18" s="223">
        <f>'Benef com 13º'!A121</f>
        <v>58</v>
      </c>
      <c r="C18" s="223">
        <f t="shared" si="0"/>
        <v>6</v>
      </c>
      <c r="D18" s="222">
        <v>43525</v>
      </c>
      <c r="E18" s="225">
        <f>'Benef com 13º'!P121</f>
        <v>68400.683076946341</v>
      </c>
      <c r="F18" s="225">
        <f>'Benef com 13º'!Q121</f>
        <v>7847.3169230536587</v>
      </c>
      <c r="G18" s="221">
        <f t="shared" si="1"/>
        <v>76248</v>
      </c>
      <c r="I18" s="237">
        <f>'Benef com 13º'!A163</f>
        <v>16</v>
      </c>
      <c r="J18" s="223">
        <f t="shared" si="2"/>
        <v>6</v>
      </c>
      <c r="K18" s="222">
        <v>44805</v>
      </c>
      <c r="L18" s="225">
        <f>'Benef com 13º'!P163</f>
        <v>22098.582278028236</v>
      </c>
      <c r="M18" s="225">
        <f>'Benef com 13º'!Q163</f>
        <v>7847.3169230536587</v>
      </c>
      <c r="N18" s="221">
        <f t="shared" si="3"/>
        <v>29945.899201081895</v>
      </c>
    </row>
    <row r="19" spans="2:14" ht="12.75" customHeight="1">
      <c r="B19" s="238">
        <f>'Benef com 13º'!A122</f>
        <v>57</v>
      </c>
      <c r="C19" s="238">
        <f t="shared" si="0"/>
        <v>6</v>
      </c>
      <c r="D19" s="106">
        <v>43556</v>
      </c>
      <c r="E19" s="233">
        <f>'Benef com 13º'!P122</f>
        <v>68400.683076946341</v>
      </c>
      <c r="F19" s="233">
        <f>'Benef com 13º'!Q122</f>
        <v>7847.3169230536587</v>
      </c>
      <c r="G19" s="61">
        <f t="shared" si="1"/>
        <v>76248</v>
      </c>
      <c r="I19" s="143">
        <f>'Benef com 13º'!A164</f>
        <v>15</v>
      </c>
      <c r="J19" s="238">
        <f t="shared" si="2"/>
        <v>6</v>
      </c>
      <c r="K19" s="106">
        <v>44835</v>
      </c>
      <c r="L19" s="155">
        <f>'Benef com 13º'!P164</f>
        <v>20668.779846624293</v>
      </c>
      <c r="M19" s="233">
        <f>'Benef com 13º'!Q164</f>
        <v>7847.3169230536587</v>
      </c>
      <c r="N19" s="61">
        <f t="shared" si="3"/>
        <v>28516.096769677952</v>
      </c>
    </row>
    <row r="20" spans="2:14" ht="12.75" customHeight="1">
      <c r="B20" s="223">
        <f>'Benef com 13º'!A123</f>
        <v>56</v>
      </c>
      <c r="C20" s="223">
        <f t="shared" si="0"/>
        <v>6</v>
      </c>
      <c r="D20" s="222">
        <v>43586</v>
      </c>
      <c r="E20" s="225">
        <f>'Benef com 13º'!P123</f>
        <v>68400.683076946341</v>
      </c>
      <c r="F20" s="225">
        <f>'Benef com 13º'!Q123</f>
        <v>7847.3169230536587</v>
      </c>
      <c r="G20" s="221">
        <f t="shared" si="1"/>
        <v>76248</v>
      </c>
      <c r="I20" s="237">
        <f>'Benef com 13º'!A165</f>
        <v>14</v>
      </c>
      <c r="J20" s="223">
        <f t="shared" si="2"/>
        <v>6</v>
      </c>
      <c r="K20" s="222">
        <v>44866</v>
      </c>
      <c r="L20" s="225">
        <f>'Benef com 13º'!P165</f>
        <v>19250.376274992359</v>
      </c>
      <c r="M20" s="225">
        <f>'Benef com 13º'!Q165</f>
        <v>7847.3169230536587</v>
      </c>
      <c r="N20" s="221">
        <f t="shared" si="3"/>
        <v>27097.693198046018</v>
      </c>
    </row>
    <row r="21" spans="2:14" ht="12.75" customHeight="1">
      <c r="B21" s="238">
        <f>'Benef com 13º'!A124</f>
        <v>55</v>
      </c>
      <c r="C21" s="238">
        <f t="shared" si="0"/>
        <v>6</v>
      </c>
      <c r="D21" s="106">
        <v>43617</v>
      </c>
      <c r="E21" s="233">
        <f>'Benef com 13º'!P124</f>
        <v>68400.683076946341</v>
      </c>
      <c r="F21" s="233">
        <f>'Benef com 13º'!Q124</f>
        <v>7847.3169230536587</v>
      </c>
      <c r="G21" s="61">
        <f t="shared" si="1"/>
        <v>76248</v>
      </c>
      <c r="I21" s="143">
        <f>'Benef com 13º'!A166</f>
        <v>13</v>
      </c>
      <c r="J21" s="238">
        <f t="shared" si="2"/>
        <v>6</v>
      </c>
      <c r="K21" s="106">
        <v>44896</v>
      </c>
      <c r="L21" s="155">
        <f>'Benef com 13º'!P166</f>
        <v>17843.098863137904</v>
      </c>
      <c r="M21" s="233">
        <f>'Benef com 13º'!Q166</f>
        <v>7847.3169230536587</v>
      </c>
      <c r="N21" s="61">
        <f t="shared" si="3"/>
        <v>25690.415786191563</v>
      </c>
    </row>
    <row r="22" spans="2:14" ht="12.75" customHeight="1">
      <c r="B22" s="223">
        <f>'Benef com 13º'!A125</f>
        <v>54</v>
      </c>
      <c r="C22" s="223">
        <f t="shared" si="0"/>
        <v>6</v>
      </c>
      <c r="D22" s="222">
        <v>43647</v>
      </c>
      <c r="E22" s="225">
        <f>'Benef com 13º'!P125</f>
        <v>68400.683076946341</v>
      </c>
      <c r="F22" s="225">
        <f>'Benef com 13º'!Q125</f>
        <v>7847.3169230536587</v>
      </c>
      <c r="G22" s="221">
        <f t="shared" si="1"/>
        <v>76248</v>
      </c>
      <c r="I22" s="237">
        <f>'Benef com 13º'!A167</f>
        <v>12</v>
      </c>
      <c r="J22" s="223">
        <f t="shared" si="2"/>
        <v>6</v>
      </c>
      <c r="K22" s="222">
        <v>44927</v>
      </c>
      <c r="L22" s="225">
        <f>'Benef com 13º'!P167</f>
        <v>16411.064071778605</v>
      </c>
      <c r="M22" s="225">
        <f>'Benef com 13º'!Q167</f>
        <v>7847.3169230536587</v>
      </c>
      <c r="N22" s="221">
        <f t="shared" ref="N22:N23" si="4">SUM(L22:M22)</f>
        <v>24258.380994832263</v>
      </c>
    </row>
    <row r="23" spans="2:14" ht="12.75" customHeight="1">
      <c r="B23" s="238">
        <f>'Benef com 13º'!A126</f>
        <v>53</v>
      </c>
      <c r="C23" s="238">
        <f t="shared" si="0"/>
        <v>6</v>
      </c>
      <c r="D23" s="106">
        <v>43678</v>
      </c>
      <c r="E23" s="233">
        <f>'Benef com 13º'!P126</f>
        <v>68400.683076946341</v>
      </c>
      <c r="F23" s="233">
        <f>'Benef com 13º'!Q126</f>
        <v>7847.3169230536587</v>
      </c>
      <c r="G23" s="61">
        <f t="shared" si="1"/>
        <v>76248</v>
      </c>
      <c r="I23" s="143">
        <f>'Benef com 13º'!A168</f>
        <v>11</v>
      </c>
      <c r="J23" s="238">
        <f t="shared" si="2"/>
        <v>6</v>
      </c>
      <c r="K23" s="106">
        <v>44958</v>
      </c>
      <c r="L23" s="155">
        <f>'Benef com 13º'!P168</f>
        <v>14935.847821282929</v>
      </c>
      <c r="M23" s="233">
        <f>'Benef com 13º'!Q168</f>
        <v>7847.3169230536587</v>
      </c>
      <c r="N23" s="61">
        <f t="shared" si="4"/>
        <v>22783.164744336587</v>
      </c>
    </row>
    <row r="24" spans="2:14" ht="12.75" customHeight="1">
      <c r="B24" s="223">
        <f>'Benef com 13º'!A127</f>
        <v>52</v>
      </c>
      <c r="C24" s="223">
        <f t="shared" si="0"/>
        <v>6</v>
      </c>
      <c r="D24" s="222">
        <v>43709</v>
      </c>
      <c r="E24" s="225">
        <f>'Benef com 13º'!P127</f>
        <v>68400.683076946341</v>
      </c>
      <c r="F24" s="225">
        <f>'Benef com 13º'!Q127</f>
        <v>7847.3169230536587</v>
      </c>
      <c r="G24" s="221">
        <f t="shared" si="1"/>
        <v>76248</v>
      </c>
      <c r="I24" s="237">
        <f>'Benef com 13º'!A169</f>
        <v>10</v>
      </c>
      <c r="J24" s="223">
        <f t="shared" si="2"/>
        <v>6</v>
      </c>
      <c r="K24" s="222">
        <v>44986</v>
      </c>
      <c r="L24" s="225">
        <f>'Benef com 13º'!P169</f>
        <v>13472.583930548208</v>
      </c>
      <c r="M24" s="225">
        <f>'Benef com 13º'!Q169</f>
        <v>7847.3169230536587</v>
      </c>
      <c r="N24" s="221">
        <f t="shared" ref="N24:N25" si="5">SUM(L24:M24)</f>
        <v>21319.900853601866</v>
      </c>
    </row>
    <row r="25" spans="2:14" ht="12.75" customHeight="1">
      <c r="B25" s="238">
        <f>'Benef com 13º'!A128</f>
        <v>51</v>
      </c>
      <c r="C25" s="238">
        <f t="shared" si="0"/>
        <v>6</v>
      </c>
      <c r="D25" s="106">
        <v>43739</v>
      </c>
      <c r="E25" s="233">
        <f>'Benef com 13º'!P128</f>
        <v>68400.683076946341</v>
      </c>
      <c r="F25" s="233">
        <f>'Benef com 13º'!Q128</f>
        <v>7847.3169230536587</v>
      </c>
      <c r="G25" s="61">
        <f t="shared" si="1"/>
        <v>76248</v>
      </c>
      <c r="I25" s="143">
        <f>'Benef com 13º'!A170</f>
        <v>9</v>
      </c>
      <c r="J25" s="238">
        <f t="shared" si="2"/>
        <v>6</v>
      </c>
      <c r="K25" s="106">
        <v>45017</v>
      </c>
      <c r="L25" s="155">
        <f>'Benef com 13º'!P170</f>
        <v>12021.56534956858</v>
      </c>
      <c r="M25" s="233">
        <f>'Benef com 13º'!Q170</f>
        <v>7847.3169230536587</v>
      </c>
      <c r="N25" s="61">
        <f t="shared" si="5"/>
        <v>19868.882272622239</v>
      </c>
    </row>
    <row r="26" spans="2:14" ht="12.75" customHeight="1">
      <c r="B26" s="223">
        <f>'Benef com 13º'!A129</f>
        <v>50</v>
      </c>
      <c r="C26" s="223">
        <f t="shared" si="0"/>
        <v>6</v>
      </c>
      <c r="D26" s="222">
        <v>43770</v>
      </c>
      <c r="E26" s="225">
        <f>'Benef com 13º'!P129</f>
        <v>68400.683076946341</v>
      </c>
      <c r="F26" s="225">
        <f>'Benef com 13º'!Q129</f>
        <v>7847.3169230536587</v>
      </c>
      <c r="G26" s="221">
        <f t="shared" si="1"/>
        <v>76248</v>
      </c>
      <c r="I26" s="237">
        <f>'Benef com 13º'!A171</f>
        <v>8</v>
      </c>
      <c r="J26" s="223">
        <f t="shared" si="2"/>
        <v>6</v>
      </c>
      <c r="K26" s="222">
        <v>45047</v>
      </c>
      <c r="L26" s="225">
        <f>'Benef com 13º'!P171</f>
        <v>10573.615588527575</v>
      </c>
      <c r="M26" s="225">
        <f>'Benef com 13º'!Q171</f>
        <v>7847.3169230536587</v>
      </c>
      <c r="N26" s="221">
        <f t="shared" ref="N26:N27" si="6">SUM(L26:M26)</f>
        <v>18420.932511581232</v>
      </c>
    </row>
    <row r="27" spans="2:14" ht="12.75" customHeight="1">
      <c r="B27" s="238">
        <f>'Benef com 13º'!A130</f>
        <v>49</v>
      </c>
      <c r="C27" s="238">
        <f t="shared" si="0"/>
        <v>6</v>
      </c>
      <c r="D27" s="106">
        <v>43800</v>
      </c>
      <c r="E27" s="233">
        <f>'Benef com 13º'!P130</f>
        <v>68400.683076946341</v>
      </c>
      <c r="F27" s="233">
        <f>'Benef com 13º'!Q130</f>
        <v>7847.3169230536587</v>
      </c>
      <c r="G27" s="61">
        <f t="shared" si="1"/>
        <v>76248</v>
      </c>
      <c r="I27" s="143">
        <f>'Benef com 13º'!A172</f>
        <v>7</v>
      </c>
      <c r="J27" s="238">
        <f t="shared" si="2"/>
        <v>6</v>
      </c>
      <c r="K27" s="106">
        <v>45078</v>
      </c>
      <c r="L27" s="155">
        <f>'Benef com 13º'!P172</f>
        <v>9128.5324174292418</v>
      </c>
      <c r="M27" s="233">
        <f>'Benef com 13º'!Q172</f>
        <v>7847.3169230536587</v>
      </c>
      <c r="N27" s="61">
        <f t="shared" si="6"/>
        <v>16975.849340482899</v>
      </c>
    </row>
    <row r="28" spans="2:14" ht="12.75" customHeight="1">
      <c r="B28" s="223">
        <f>'Benef com 13º'!A131</f>
        <v>48</v>
      </c>
      <c r="C28" s="223">
        <f t="shared" si="0"/>
        <v>6</v>
      </c>
      <c r="D28" s="222">
        <v>43831</v>
      </c>
      <c r="E28" s="225">
        <f>'Benef com 13º'!P131</f>
        <v>68400.683076946341</v>
      </c>
      <c r="F28" s="225">
        <f>'Benef com 13º'!Q131</f>
        <v>7847.3169230536587</v>
      </c>
      <c r="G28" s="221">
        <f t="shared" si="1"/>
        <v>76248</v>
      </c>
      <c r="I28" s="237">
        <f>'Benef com 13º'!A173</f>
        <v>6</v>
      </c>
      <c r="J28" s="223">
        <f t="shared" si="2"/>
        <v>6</v>
      </c>
      <c r="K28" s="222">
        <v>45108</v>
      </c>
      <c r="L28" s="225">
        <f>'Benef com 13º'!P173</f>
        <v>7696.4578460707316</v>
      </c>
      <c r="M28" s="225">
        <f>'Benef com 13º'!Q173</f>
        <v>7847.3169230536587</v>
      </c>
      <c r="N28" s="221">
        <f t="shared" ref="N28:N29" si="7">SUM(L28:M28)</f>
        <v>15543.774769124389</v>
      </c>
    </row>
    <row r="29" spans="2:14" ht="12.75" customHeight="1">
      <c r="B29" s="238">
        <f>'Benef com 13º'!A132</f>
        <v>47</v>
      </c>
      <c r="C29" s="238">
        <f t="shared" si="0"/>
        <v>6</v>
      </c>
      <c r="D29" s="106">
        <v>43862</v>
      </c>
      <c r="E29" s="233">
        <f>'Benef com 13º'!P132</f>
        <v>67898.363638261144</v>
      </c>
      <c r="F29" s="233">
        <f>'Benef com 13º'!Q132</f>
        <v>7847.3169230536587</v>
      </c>
      <c r="G29" s="61">
        <f t="shared" si="1"/>
        <v>75745.680561314803</v>
      </c>
      <c r="I29" s="143">
        <f>'Benef com 13º'!A174</f>
        <v>5</v>
      </c>
      <c r="J29" s="238">
        <f t="shared" si="2"/>
        <v>6</v>
      </c>
      <c r="K29" s="106">
        <v>45139</v>
      </c>
      <c r="L29" s="155">
        <f>'Benef com 13º'!P174</f>
        <v>6277.094874457991</v>
      </c>
      <c r="M29" s="233">
        <f>'Benef com 13º'!Q174</f>
        <v>7847.3169230536587</v>
      </c>
      <c r="N29" s="61">
        <f t="shared" si="7"/>
        <v>14124.41179751165</v>
      </c>
    </row>
    <row r="30" spans="2:14" ht="12.75" customHeight="1">
      <c r="B30" s="223">
        <f>'Benef com 13º'!A133</f>
        <v>46</v>
      </c>
      <c r="C30" s="223">
        <f t="shared" si="0"/>
        <v>6</v>
      </c>
      <c r="D30" s="222">
        <v>43891</v>
      </c>
      <c r="E30" s="225">
        <f>'Benef com 13º'!P133</f>
        <v>66400.638484744559</v>
      </c>
      <c r="F30" s="225">
        <f>'Benef com 13º'!Q133</f>
        <v>7847.3169230536587</v>
      </c>
      <c r="G30" s="221">
        <f t="shared" si="1"/>
        <v>74247.955407798217</v>
      </c>
      <c r="I30" s="237">
        <f>'Benef com 13º'!A175</f>
        <v>4</v>
      </c>
      <c r="J30" s="223">
        <f t="shared" si="2"/>
        <v>6</v>
      </c>
      <c r="K30" s="222">
        <v>45170</v>
      </c>
      <c r="L30" s="225">
        <f>'Benef com 13º'!P175</f>
        <v>4870.8593025827031</v>
      </c>
      <c r="M30" s="225">
        <f>'Benef com 13º'!Q175</f>
        <v>7847.3169230536587</v>
      </c>
      <c r="N30" s="221">
        <f t="shared" ref="N30:N31" si="8">SUM(L30:M30)</f>
        <v>12718.176225636362</v>
      </c>
    </row>
    <row r="31" spans="2:14" ht="12.75" customHeight="1">
      <c r="B31" s="238">
        <f>'Benef com 13º'!A134</f>
        <v>45</v>
      </c>
      <c r="C31" s="238">
        <f t="shared" si="0"/>
        <v>6</v>
      </c>
      <c r="D31" s="106">
        <v>43922</v>
      </c>
      <c r="E31" s="233">
        <f>'Benef com 13º'!P134</f>
        <v>64904.572350475384</v>
      </c>
      <c r="F31" s="233">
        <f>'Benef com 13º'!Q134</f>
        <v>7847.3169230536587</v>
      </c>
      <c r="G31" s="61">
        <f t="shared" si="1"/>
        <v>72751.889273529043</v>
      </c>
      <c r="I31" s="143">
        <f>'Benef com 13º'!A176</f>
        <v>3</v>
      </c>
      <c r="J31" s="238">
        <f t="shared" si="2"/>
        <v>6</v>
      </c>
      <c r="K31" s="106">
        <v>45200</v>
      </c>
      <c r="L31" s="155">
        <f>'Benef com 13º'!P176</f>
        <v>3477.1571304567474</v>
      </c>
      <c r="M31" s="233">
        <f>'Benef com 13º'!Q176</f>
        <v>7847.3169230536587</v>
      </c>
      <c r="N31" s="61">
        <f t="shared" si="8"/>
        <v>11324.474053510407</v>
      </c>
    </row>
    <row r="32" spans="2:14" ht="12.75" customHeight="1">
      <c r="B32" s="223">
        <f>'Benef com 13º'!A135</f>
        <v>44</v>
      </c>
      <c r="C32" s="223">
        <f t="shared" si="0"/>
        <v>6</v>
      </c>
      <c r="D32" s="222">
        <v>43952</v>
      </c>
      <c r="E32" s="225">
        <f>'Benef com 13º'!P135</f>
        <v>63408.575320624994</v>
      </c>
      <c r="F32" s="225">
        <f>'Benef com 13º'!Q135</f>
        <v>7847.3169230536587</v>
      </c>
      <c r="G32" s="221">
        <f t="shared" si="1"/>
        <v>71255.892243678652</v>
      </c>
      <c r="I32" s="237">
        <f>'Benef com 13º'!A177</f>
        <v>2</v>
      </c>
      <c r="J32" s="223">
        <f>J33</f>
        <v>6</v>
      </c>
      <c r="K32" s="222">
        <v>45231</v>
      </c>
      <c r="L32" s="225">
        <f>'Benef com 13º'!P177</f>
        <v>2095.1567580967558</v>
      </c>
      <c r="M32" s="225">
        <f>'Benef com 13º'!Q177</f>
        <v>7847.3169230536587</v>
      </c>
      <c r="N32" s="221">
        <f t="shared" ref="N32:N43" si="9">SUM(L32:M32)</f>
        <v>9942.4736811504154</v>
      </c>
    </row>
    <row r="33" spans="2:14" ht="12.75" customHeight="1">
      <c r="B33" s="238">
        <f>'Benef com 13º'!A136</f>
        <v>43</v>
      </c>
      <c r="C33" s="238">
        <f t="shared" si="0"/>
        <v>6</v>
      </c>
      <c r="D33" s="106">
        <v>43983</v>
      </c>
      <c r="E33" s="233">
        <f>'Benef com 13º'!P136</f>
        <v>61908.406878995898</v>
      </c>
      <c r="F33" s="233">
        <f>'Benef com 13º'!Q136</f>
        <v>7847.3169230536587</v>
      </c>
      <c r="G33" s="61">
        <f t="shared" si="1"/>
        <v>69755.723802049557</v>
      </c>
      <c r="I33" s="143">
        <f>'Benef com 13º'!A178</f>
        <v>1</v>
      </c>
      <c r="J33" s="238">
        <f>J34</f>
        <v>6</v>
      </c>
      <c r="K33" s="106">
        <v>45261</v>
      </c>
      <c r="L33" s="155">
        <f>'Benef com 13º'!P178</f>
        <v>735.49078529012968</v>
      </c>
      <c r="M33" s="233">
        <f>'Benef com 13º'!Q178</f>
        <v>7847.3169230536587</v>
      </c>
      <c r="N33" s="61">
        <f t="shared" si="9"/>
        <v>8582.8077083437893</v>
      </c>
    </row>
    <row r="34" spans="2:14" ht="12.75" customHeight="1">
      <c r="B34" s="223">
        <f>'Benef com 13º'!A137</f>
        <v>42</v>
      </c>
      <c r="C34" s="223">
        <f t="shared" si="0"/>
        <v>6</v>
      </c>
      <c r="D34" s="222">
        <v>44013</v>
      </c>
      <c r="E34" s="225">
        <f>'Benef com 13º'!P137</f>
        <v>60404.275181953781</v>
      </c>
      <c r="F34" s="225">
        <f>'Benef com 13º'!Q137</f>
        <v>7847.3169230536587</v>
      </c>
      <c r="G34" s="221">
        <f t="shared" si="1"/>
        <v>68251.592105007439</v>
      </c>
      <c r="I34" s="237">
        <f>'Benef com 13º'!A179</f>
        <v>0</v>
      </c>
      <c r="J34" s="223">
        <v>6</v>
      </c>
      <c r="K34" s="222">
        <v>45292</v>
      </c>
      <c r="L34" s="225">
        <f>'Benef com 13º'!P182</f>
        <v>0</v>
      </c>
      <c r="M34" s="225">
        <f>'Benef com 13º'!Q182</f>
        <v>7179.4479964110369</v>
      </c>
      <c r="N34" s="221">
        <f t="shared" si="9"/>
        <v>7179.4479964110369</v>
      </c>
    </row>
    <row r="35" spans="2:14" ht="12.75" customHeight="1">
      <c r="B35" s="143">
        <f>'Benef com 13º'!A138</f>
        <v>41</v>
      </c>
      <c r="C35" s="238">
        <f t="shared" si="0"/>
        <v>6</v>
      </c>
      <c r="D35" s="106">
        <v>44044</v>
      </c>
      <c r="E35" s="233">
        <f>'Benef com 13º'!P138</f>
        <v>58902.361772800068</v>
      </c>
      <c r="F35" s="233">
        <f>'Benef com 13º'!Q138</f>
        <v>7847.3169230536587</v>
      </c>
      <c r="G35" s="155">
        <f t="shared" ref="G35:G45" si="10">SUM(E35:F35)</f>
        <v>66749.678695853727</v>
      </c>
      <c r="I35" s="143">
        <f>'Benef com 13º'!A180</f>
        <v>0</v>
      </c>
      <c r="J35" s="238">
        <v>5</v>
      </c>
      <c r="K35" s="106">
        <v>45323</v>
      </c>
      <c r="L35" s="155">
        <f>'Benef com 13º'!P183</f>
        <v>0</v>
      </c>
      <c r="M35" s="233">
        <f>'Benef com 13º'!Q183</f>
        <v>5849.8735230025268</v>
      </c>
      <c r="N35" s="61">
        <f t="shared" si="9"/>
        <v>5849.8735230025268</v>
      </c>
    </row>
    <row r="36" spans="2:14" ht="12.75" customHeight="1">
      <c r="B36" s="237">
        <f>'Benef com 13º'!A139</f>
        <v>40</v>
      </c>
      <c r="C36" s="223">
        <f t="shared" si="0"/>
        <v>6</v>
      </c>
      <c r="D36" s="222">
        <v>44075</v>
      </c>
      <c r="E36" s="225">
        <f>'Benef com 13º'!P139</f>
        <v>57404.118058161017</v>
      </c>
      <c r="F36" s="225">
        <f>'Benef com 13º'!Q139</f>
        <v>7847.3169230536587</v>
      </c>
      <c r="G36" s="221">
        <f t="shared" si="10"/>
        <v>65251.434981214676</v>
      </c>
      <c r="I36" s="237">
        <f>'Benef com 13º'!A181</f>
        <v>0</v>
      </c>
      <c r="J36" s="223">
        <v>4</v>
      </c>
      <c r="K36" s="222">
        <v>45352</v>
      </c>
      <c r="L36" s="225">
        <f>'Benef com 13º'!P184</f>
        <v>0</v>
      </c>
      <c r="M36" s="225">
        <f>'Benef com 13º'!Q184</f>
        <v>4531.545629369085</v>
      </c>
      <c r="N36" s="221">
        <f t="shared" si="9"/>
        <v>4531.545629369085</v>
      </c>
    </row>
    <row r="37" spans="2:14" ht="12.75" customHeight="1">
      <c r="B37" s="143">
        <f>'Benef com 13º'!A140</f>
        <v>39</v>
      </c>
      <c r="C37" s="238">
        <f t="shared" si="0"/>
        <v>6</v>
      </c>
      <c r="D37" s="106">
        <v>44105</v>
      </c>
      <c r="E37" s="233">
        <f>'Benef com 13º'!P140</f>
        <v>55910.562569109548</v>
      </c>
      <c r="F37" s="233">
        <f>'Benef com 13º'!Q140</f>
        <v>7847.3169230536587</v>
      </c>
      <c r="G37" s="61">
        <f t="shared" si="10"/>
        <v>63757.879492163207</v>
      </c>
      <c r="I37" s="143">
        <v>0</v>
      </c>
      <c r="J37" s="238">
        <v>3</v>
      </c>
      <c r="K37" s="106">
        <v>45383</v>
      </c>
      <c r="L37" s="155">
        <f>'Benef com 13º'!P185</f>
        <v>0</v>
      </c>
      <c r="M37" s="233">
        <f>'Benef com 13º'!Q185</f>
        <v>3223.5747555285034</v>
      </c>
      <c r="N37" s="61">
        <f t="shared" si="9"/>
        <v>3223.5747555285034</v>
      </c>
    </row>
    <row r="38" spans="2:14" ht="12.75" customHeight="1">
      <c r="B38" s="237">
        <f>'Benef com 13º'!A141</f>
        <v>38</v>
      </c>
      <c r="C38" s="223">
        <f t="shared" si="0"/>
        <v>6</v>
      </c>
      <c r="D38" s="222">
        <v>44136</v>
      </c>
      <c r="E38" s="225">
        <f>'Benef com 13º'!P141</f>
        <v>54426.515532830977</v>
      </c>
      <c r="F38" s="225">
        <f>'Benef com 13º'!Q141</f>
        <v>7847.3169230536587</v>
      </c>
      <c r="G38" s="221">
        <f t="shared" si="10"/>
        <v>62273.832455884636</v>
      </c>
      <c r="I38" s="237">
        <v>0</v>
      </c>
      <c r="J38" s="223">
        <v>2</v>
      </c>
      <c r="K38" s="222">
        <v>45413</v>
      </c>
      <c r="L38" s="225">
        <f>'Benef com 13º'!P186</f>
        <v>0</v>
      </c>
      <c r="M38" s="225">
        <f>'Benef com 13º'!Q186</f>
        <v>1926.5327614693435</v>
      </c>
      <c r="N38" s="221">
        <f t="shared" si="9"/>
        <v>1926.5327614693435</v>
      </c>
    </row>
    <row r="39" spans="2:14" ht="12.75" customHeight="1">
      <c r="B39" s="143">
        <f>'Benef com 13º'!A142</f>
        <v>37</v>
      </c>
      <c r="C39" s="238">
        <f t="shared" si="0"/>
        <v>6</v>
      </c>
      <c r="D39" s="106">
        <v>44166</v>
      </c>
      <c r="E39" s="233">
        <f>'Benef com 13º'!P142</f>
        <v>52954.358861521338</v>
      </c>
      <c r="F39" s="233">
        <f>'Benef com 13º'!Q142</f>
        <v>7847.3169230536587</v>
      </c>
      <c r="G39" s="61">
        <f t="shared" si="10"/>
        <v>60801.675784574996</v>
      </c>
      <c r="I39" s="143">
        <v>0</v>
      </c>
      <c r="J39" s="238">
        <v>1</v>
      </c>
      <c r="K39" s="106">
        <v>45444</v>
      </c>
      <c r="L39" s="155">
        <f>'Benef com 13º'!P187</f>
        <v>0</v>
      </c>
      <c r="M39" s="233">
        <f>'Benef com 13º'!Q187</f>
        <v>640.41964719160637</v>
      </c>
      <c r="N39" s="61">
        <f t="shared" si="9"/>
        <v>640.41964719160637</v>
      </c>
    </row>
    <row r="40" spans="2:14" ht="12.75" customHeight="1">
      <c r="B40" s="237">
        <f>'Benef com 13º'!A143</f>
        <v>36</v>
      </c>
      <c r="C40" s="223">
        <f t="shared" si="0"/>
        <v>6</v>
      </c>
      <c r="D40" s="222">
        <v>44197</v>
      </c>
      <c r="E40" s="225">
        <f>'Benef com 13º'!P143</f>
        <v>51470.504902748929</v>
      </c>
      <c r="F40" s="225">
        <f>'Benef com 13º'!Q143</f>
        <v>7847.3169230536587</v>
      </c>
      <c r="G40" s="221">
        <f t="shared" si="10"/>
        <v>59317.821825802588</v>
      </c>
      <c r="I40" s="237">
        <v>0</v>
      </c>
      <c r="J40" s="223">
        <v>0</v>
      </c>
      <c r="K40" s="222">
        <v>45474</v>
      </c>
      <c r="L40" s="225">
        <f>'Benef com 13º'!P188</f>
        <v>0</v>
      </c>
      <c r="M40" s="225">
        <f>'Benef com 13º'!Q188</f>
        <v>0</v>
      </c>
      <c r="N40" s="221">
        <f t="shared" si="9"/>
        <v>0</v>
      </c>
    </row>
    <row r="41" spans="2:14" ht="12.75" customHeight="1">
      <c r="B41" s="143">
        <f>'Benef com 13º'!A144</f>
        <v>35</v>
      </c>
      <c r="C41" s="238">
        <f t="shared" si="0"/>
        <v>6</v>
      </c>
      <c r="D41" s="106">
        <v>44228</v>
      </c>
      <c r="E41" s="233">
        <f>'Benef com 13º'!P144</f>
        <v>49958.235130492598</v>
      </c>
      <c r="F41" s="233">
        <f>'Benef com 13º'!Q144</f>
        <v>7847.3169230536587</v>
      </c>
      <c r="G41" s="61">
        <f t="shared" si="10"/>
        <v>57805.552053546257</v>
      </c>
      <c r="I41" s="143">
        <v>0</v>
      </c>
      <c r="J41" s="238">
        <v>0</v>
      </c>
      <c r="K41" s="106">
        <v>45505</v>
      </c>
      <c r="L41" s="155">
        <f>'Benef com 13º'!P189</f>
        <v>0</v>
      </c>
      <c r="M41" s="233">
        <f>'Benef com 13º'!Q189</f>
        <v>0</v>
      </c>
      <c r="N41" s="61">
        <f t="shared" si="9"/>
        <v>0</v>
      </c>
    </row>
    <row r="42" spans="2:14" ht="12.75" customHeight="1">
      <c r="B42" s="237">
        <f>'Benef com 13º'!A145</f>
        <v>34</v>
      </c>
      <c r="C42" s="223">
        <f t="shared" si="0"/>
        <v>6</v>
      </c>
      <c r="D42" s="222">
        <v>44256</v>
      </c>
      <c r="E42" s="225">
        <f>'Benef com 13º'!P145</f>
        <v>48454.759104452918</v>
      </c>
      <c r="F42" s="225">
        <f>'Benef com 13º'!Q145</f>
        <v>7847.3169230536587</v>
      </c>
      <c r="G42" s="221">
        <f t="shared" si="10"/>
        <v>56302.076027506577</v>
      </c>
      <c r="I42" s="237">
        <v>0</v>
      </c>
      <c r="J42" s="223">
        <v>0</v>
      </c>
      <c r="K42" s="222">
        <v>45536</v>
      </c>
      <c r="L42" s="225">
        <f>'Benef com 13º'!P190</f>
        <v>0</v>
      </c>
      <c r="M42" s="225">
        <f>'Benef com 13º'!Q190</f>
        <v>0</v>
      </c>
      <c r="N42" s="221">
        <f t="shared" si="9"/>
        <v>0</v>
      </c>
    </row>
    <row r="43" spans="2:14" ht="12.75" customHeight="1">
      <c r="B43" s="143">
        <f>'Benef com 13º'!A146</f>
        <v>33</v>
      </c>
      <c r="C43" s="238">
        <f t="shared" si="0"/>
        <v>6</v>
      </c>
      <c r="D43" s="106">
        <v>44287</v>
      </c>
      <c r="E43" s="233">
        <f>'Benef com 13º'!P146</f>
        <v>46961.034914538039</v>
      </c>
      <c r="F43" s="233">
        <f>'Benef com 13º'!Q146</f>
        <v>7847.3169230536587</v>
      </c>
      <c r="G43" s="61">
        <f t="shared" si="10"/>
        <v>54808.351837591697</v>
      </c>
      <c r="I43" s="143">
        <v>0</v>
      </c>
      <c r="J43" s="238">
        <v>0</v>
      </c>
      <c r="K43" s="106">
        <v>45566</v>
      </c>
      <c r="L43" s="155">
        <f>'Benef com 13º'!P191</f>
        <v>0</v>
      </c>
      <c r="M43" s="233">
        <f>'Benef com 13º'!Q191</f>
        <v>0</v>
      </c>
      <c r="N43" s="61">
        <f t="shared" si="9"/>
        <v>0</v>
      </c>
    </row>
    <row r="44" spans="2:14" ht="12.75" customHeight="1">
      <c r="B44" s="237">
        <f>'Benef com 13º'!A147</f>
        <v>32</v>
      </c>
      <c r="C44" s="223">
        <f t="shared" si="0"/>
        <v>6</v>
      </c>
      <c r="D44" s="222">
        <v>44317</v>
      </c>
      <c r="E44" s="225">
        <f>'Benef com 13º'!P147</f>
        <v>45477.834446323955</v>
      </c>
      <c r="F44" s="225">
        <f>'Benef com 13º'!Q147</f>
        <v>7847.3169230536587</v>
      </c>
      <c r="G44" s="221">
        <f t="shared" si="10"/>
        <v>53325.151369377614</v>
      </c>
      <c r="I44" s="237">
        <v>0</v>
      </c>
      <c r="J44" s="223">
        <v>0</v>
      </c>
      <c r="K44" s="222">
        <v>45597</v>
      </c>
      <c r="L44" s="225">
        <f>'Benef com 13º'!P192</f>
        <v>0</v>
      </c>
      <c r="M44" s="225">
        <f>'Benef com 13º'!Q192</f>
        <v>0</v>
      </c>
      <c r="N44" s="221">
        <f t="shared" ref="N44:N45" si="11">SUM(L44:M44)</f>
        <v>0</v>
      </c>
    </row>
    <row r="45" spans="2:14" ht="12.75" customHeight="1">
      <c r="B45" s="143">
        <f>'Benef com 13º'!A148</f>
        <v>31</v>
      </c>
      <c r="C45" s="238">
        <f>J4</f>
        <v>6</v>
      </c>
      <c r="D45" s="106">
        <v>44348</v>
      </c>
      <c r="E45" s="233">
        <f>'Benef com 13º'!P148</f>
        <v>44001.748155333873</v>
      </c>
      <c r="F45" s="233">
        <f>'Benef com 13º'!Q148</f>
        <v>7847.3169230536587</v>
      </c>
      <c r="G45" s="61">
        <f t="shared" si="10"/>
        <v>51849.065078387532</v>
      </c>
      <c r="I45" s="143">
        <v>0</v>
      </c>
      <c r="J45" s="238">
        <v>0</v>
      </c>
      <c r="K45" s="106">
        <v>45627</v>
      </c>
      <c r="L45" s="155">
        <f>'Benef com 13º'!P193</f>
        <v>0</v>
      </c>
      <c r="M45" s="233">
        <f>'Benef com 13º'!Q193</f>
        <v>0</v>
      </c>
      <c r="N45" s="61">
        <f t="shared" si="11"/>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580" priority="158" stopIfTrue="1" operator="notEqual">
      <formula>""</formula>
    </cfRule>
  </conditionalFormatting>
  <conditionalFormatting sqref="L5 L7 L9 L11 L13 L15 L17 L19 L21 L23 L25 L27 L29 L31 L33">
    <cfRule type="cellIs" dxfId="579" priority="156" stopIfTrue="1" operator="notEqual">
      <formula>""</formula>
    </cfRule>
  </conditionalFormatting>
  <conditionalFormatting sqref="L5 L7 L9 L11 L13 L15 L17 L19 L21 L23 L25 L27 L29 L31 L33">
    <cfRule type="cellIs" dxfId="578" priority="155" stopIfTrue="1" operator="notEqual">
      <formula>""</formula>
    </cfRule>
  </conditionalFormatting>
  <conditionalFormatting sqref="L5 L7 L9 L11 L13 L15 L17 L19 L21 L23 L25 L27 L29 L31 L33">
    <cfRule type="cellIs" dxfId="577" priority="153" stopIfTrue="1" operator="notEqual">
      <formula>""</formula>
    </cfRule>
  </conditionalFormatting>
  <conditionalFormatting sqref="D5 D41 D7 D9 D11 D13 D15 D17 D19 D21 D23 D25 D27 D29 D31 D33 D35 D37 D39 D43 D45 K5 K7 K9 K11 K13 K15 K17 K19 K21 K23 K25 K27 K29 K31 K33">
    <cfRule type="cellIs" dxfId="576" priority="154" stopIfTrue="1" operator="notEqual">
      <formula>""</formula>
    </cfRule>
  </conditionalFormatting>
  <conditionalFormatting sqref="N11 N13 N15 N17 N19 N21 N23">
    <cfRule type="cellIs" dxfId="575" priority="152" stopIfTrue="1" operator="notEqual">
      <formula>""</formula>
    </cfRule>
  </conditionalFormatting>
  <conditionalFormatting sqref="N11 N13 N15 N17 N19 N21 N23">
    <cfRule type="cellIs" dxfId="574" priority="151" stopIfTrue="1" operator="notEqual">
      <formula>""</formula>
    </cfRule>
  </conditionalFormatting>
  <conditionalFormatting sqref="N11 N13 N15 N17 N19 N21 N23">
    <cfRule type="cellIs" dxfId="573" priority="150" stopIfTrue="1" operator="notEqual">
      <formula>""</formula>
    </cfRule>
  </conditionalFormatting>
  <conditionalFormatting sqref="G4 G6 G8 G10 G12 G14 G16 G18 G20 G22 G24 G26 G28 G30 G32 G34 G36 G38 G40 G42 G44 N4 N6 N8 F35:F45 L4:M33">
    <cfRule type="cellIs" dxfId="572" priority="142" stopIfTrue="1" operator="equal">
      <formula>"Total"</formula>
    </cfRule>
  </conditionalFormatting>
  <conditionalFormatting sqref="F4:F34">
    <cfRule type="cellIs" dxfId="571" priority="144" stopIfTrue="1" operator="equal">
      <formula>"Total"</formula>
    </cfRule>
  </conditionalFormatting>
  <conditionalFormatting sqref="E4:E45">
    <cfRule type="cellIs" dxfId="570" priority="143" stopIfTrue="1" operator="equal">
      <formula>"Total"</formula>
    </cfRule>
  </conditionalFormatting>
  <conditionalFormatting sqref="N10">
    <cfRule type="cellIs" dxfId="569" priority="139" stopIfTrue="1" operator="equal">
      <formula>"Total"</formula>
    </cfRule>
  </conditionalFormatting>
  <conditionalFormatting sqref="N12 N14 N16 N18 N20">
    <cfRule type="cellIs" dxfId="568" priority="136" stopIfTrue="1" operator="equal">
      <formula>"Total"</formula>
    </cfRule>
  </conditionalFormatting>
  <conditionalFormatting sqref="N22">
    <cfRule type="cellIs" dxfId="567" priority="128" stopIfTrue="1" operator="equal">
      <formula>"Total"</formula>
    </cfRule>
  </conditionalFormatting>
  <conditionalFormatting sqref="N25">
    <cfRule type="cellIs" dxfId="566" priority="107" stopIfTrue="1" operator="notEqual">
      <formula>""</formula>
    </cfRule>
  </conditionalFormatting>
  <conditionalFormatting sqref="N25">
    <cfRule type="cellIs" dxfId="565" priority="106" stopIfTrue="1" operator="notEqual">
      <formula>""</formula>
    </cfRule>
  </conditionalFormatting>
  <conditionalFormatting sqref="N25">
    <cfRule type="cellIs" dxfId="564" priority="105" stopIfTrue="1" operator="notEqual">
      <formula>""</formula>
    </cfRule>
  </conditionalFormatting>
  <conditionalFormatting sqref="N24 N26">
    <cfRule type="cellIs" dxfId="563" priority="100" stopIfTrue="1" operator="equal">
      <formula>"Total"</formula>
    </cfRule>
  </conditionalFormatting>
  <conditionalFormatting sqref="N27">
    <cfRule type="cellIs" dxfId="562" priority="89" stopIfTrue="1" operator="notEqual">
      <formula>""</formula>
    </cfRule>
  </conditionalFormatting>
  <conditionalFormatting sqref="N27">
    <cfRule type="cellIs" dxfId="561" priority="88" stopIfTrue="1" operator="notEqual">
      <formula>""</formula>
    </cfRule>
  </conditionalFormatting>
  <conditionalFormatting sqref="N27">
    <cfRule type="cellIs" dxfId="560" priority="87" stopIfTrue="1" operator="notEqual">
      <formula>""</formula>
    </cfRule>
  </conditionalFormatting>
  <conditionalFormatting sqref="N28">
    <cfRule type="cellIs" dxfId="559" priority="76" stopIfTrue="1" operator="equal">
      <formula>"Total"</formula>
    </cfRule>
  </conditionalFormatting>
  <conditionalFormatting sqref="N29">
    <cfRule type="cellIs" dxfId="558" priority="67" stopIfTrue="1" operator="notEqual">
      <formula>""</formula>
    </cfRule>
  </conditionalFormatting>
  <conditionalFormatting sqref="N29">
    <cfRule type="cellIs" dxfId="557" priority="66" stopIfTrue="1" operator="notEqual">
      <formula>""</formula>
    </cfRule>
  </conditionalFormatting>
  <conditionalFormatting sqref="N29">
    <cfRule type="cellIs" dxfId="556" priority="65" stopIfTrue="1" operator="notEqual">
      <formula>""</formula>
    </cfRule>
  </conditionalFormatting>
  <conditionalFormatting sqref="N30 N32">
    <cfRule type="cellIs" dxfId="555" priority="60" stopIfTrue="1" operator="equal">
      <formula>"Total"</formula>
    </cfRule>
  </conditionalFormatting>
  <conditionalFormatting sqref="N31 N33">
    <cfRule type="cellIs" dxfId="554" priority="53" stopIfTrue="1" operator="notEqual">
      <formula>""</formula>
    </cfRule>
  </conditionalFormatting>
  <conditionalFormatting sqref="N31 N33">
    <cfRule type="cellIs" dxfId="553" priority="52" stopIfTrue="1" operator="notEqual">
      <formula>""</formula>
    </cfRule>
  </conditionalFormatting>
  <conditionalFormatting sqref="N31 N33">
    <cfRule type="cellIs" dxfId="552" priority="51" stopIfTrue="1" operator="notEqual">
      <formula>""</formula>
    </cfRule>
  </conditionalFormatting>
  <conditionalFormatting sqref="K35 K37 K39 K41 K43 K45">
    <cfRule type="cellIs" dxfId="551" priority="48" stopIfTrue="1" operator="notEqual">
      <formula>""</formula>
    </cfRule>
  </conditionalFormatting>
  <conditionalFormatting sqref="N35">
    <cfRule type="cellIs" dxfId="550" priority="47" stopIfTrue="1" operator="notEqual">
      <formula>""</formula>
    </cfRule>
  </conditionalFormatting>
  <conditionalFormatting sqref="N35">
    <cfRule type="cellIs" dxfId="549" priority="46" stopIfTrue="1" operator="notEqual">
      <formula>""</formula>
    </cfRule>
  </conditionalFormatting>
  <conditionalFormatting sqref="N35">
    <cfRule type="cellIs" dxfId="548" priority="45" stopIfTrue="1" operator="notEqual">
      <formula>""</formula>
    </cfRule>
  </conditionalFormatting>
  <conditionalFormatting sqref="M35">
    <cfRule type="cellIs" dxfId="547" priority="44" stopIfTrue="1" operator="equal">
      <formula>"Total"</formula>
    </cfRule>
  </conditionalFormatting>
  <conditionalFormatting sqref="N34">
    <cfRule type="cellIs" dxfId="546" priority="43" stopIfTrue="1" operator="equal">
      <formula>"Total"</formula>
    </cfRule>
  </conditionalFormatting>
  <conditionalFormatting sqref="M34">
    <cfRule type="cellIs" dxfId="545" priority="42" stopIfTrue="1" operator="equal">
      <formula>"Total"</formula>
    </cfRule>
  </conditionalFormatting>
  <conditionalFormatting sqref="N37">
    <cfRule type="cellIs" dxfId="544" priority="41" stopIfTrue="1" operator="notEqual">
      <formula>""</formula>
    </cfRule>
  </conditionalFormatting>
  <conditionalFormatting sqref="N37">
    <cfRule type="cellIs" dxfId="543" priority="40" stopIfTrue="1" operator="notEqual">
      <formula>""</formula>
    </cfRule>
  </conditionalFormatting>
  <conditionalFormatting sqref="N37">
    <cfRule type="cellIs" dxfId="542" priority="39" stopIfTrue="1" operator="notEqual">
      <formula>""</formula>
    </cfRule>
  </conditionalFormatting>
  <conditionalFormatting sqref="M37">
    <cfRule type="cellIs" dxfId="541" priority="38" stopIfTrue="1" operator="equal">
      <formula>"Total"</formula>
    </cfRule>
  </conditionalFormatting>
  <conditionalFormatting sqref="N36 N38">
    <cfRule type="cellIs" dxfId="540" priority="37" stopIfTrue="1" operator="equal">
      <formula>"Total"</formula>
    </cfRule>
  </conditionalFormatting>
  <conditionalFormatting sqref="M36 M38">
    <cfRule type="cellIs" dxfId="539" priority="36" stopIfTrue="1" operator="equal">
      <formula>"Total"</formula>
    </cfRule>
  </conditionalFormatting>
  <conditionalFormatting sqref="L38 L34 L36">
    <cfRule type="cellIs" dxfId="538" priority="35" stopIfTrue="1" operator="equal">
      <formula>"Total"</formula>
    </cfRule>
  </conditionalFormatting>
  <conditionalFormatting sqref="L39 L35 L37">
    <cfRule type="cellIs" dxfId="537" priority="34" stopIfTrue="1" operator="notEqual">
      <formula>""</formula>
    </cfRule>
  </conditionalFormatting>
  <conditionalFormatting sqref="L39 L35 L37">
    <cfRule type="cellIs" dxfId="536" priority="33" stopIfTrue="1" operator="notEqual">
      <formula>""</formula>
    </cfRule>
  </conditionalFormatting>
  <conditionalFormatting sqref="L39 L35 L37">
    <cfRule type="cellIs" dxfId="535" priority="32" stopIfTrue="1" operator="notEqual">
      <formula>""</formula>
    </cfRule>
  </conditionalFormatting>
  <conditionalFormatting sqref="L39 L35 L37">
    <cfRule type="cellIs" dxfId="534" priority="31" stopIfTrue="1" operator="notEqual">
      <formula>""</formula>
    </cfRule>
  </conditionalFormatting>
  <conditionalFormatting sqref="N39">
    <cfRule type="cellIs" dxfId="533" priority="30" stopIfTrue="1" operator="notEqual">
      <formula>""</formula>
    </cfRule>
  </conditionalFormatting>
  <conditionalFormatting sqref="N39">
    <cfRule type="cellIs" dxfId="532" priority="29" stopIfTrue="1" operator="notEqual">
      <formula>""</formula>
    </cfRule>
  </conditionalFormatting>
  <conditionalFormatting sqref="N39">
    <cfRule type="cellIs" dxfId="531" priority="28" stopIfTrue="1" operator="notEqual">
      <formula>""</formula>
    </cfRule>
  </conditionalFormatting>
  <conditionalFormatting sqref="M39">
    <cfRule type="cellIs" dxfId="530" priority="27" stopIfTrue="1" operator="equal">
      <formula>"Total"</formula>
    </cfRule>
  </conditionalFormatting>
  <conditionalFormatting sqref="L39 L35 L37">
    <cfRule type="cellIs" dxfId="529" priority="26" stopIfTrue="1" operator="equal">
      <formula>"Total"</formula>
    </cfRule>
  </conditionalFormatting>
  <conditionalFormatting sqref="N40">
    <cfRule type="cellIs" dxfId="528" priority="25" stopIfTrue="1" operator="equal">
      <formula>"Total"</formula>
    </cfRule>
  </conditionalFormatting>
  <conditionalFormatting sqref="M40">
    <cfRule type="cellIs" dxfId="527" priority="24" stopIfTrue="1" operator="equal">
      <formula>"Total"</formula>
    </cfRule>
  </conditionalFormatting>
  <conditionalFormatting sqref="L40">
    <cfRule type="cellIs" dxfId="526" priority="23" stopIfTrue="1" operator="equal">
      <formula>"Total"</formula>
    </cfRule>
  </conditionalFormatting>
  <conditionalFormatting sqref="L41">
    <cfRule type="cellIs" dxfId="525" priority="22" stopIfTrue="1" operator="notEqual">
      <formula>""</formula>
    </cfRule>
  </conditionalFormatting>
  <conditionalFormatting sqref="L41">
    <cfRule type="cellIs" dxfId="524" priority="21" stopIfTrue="1" operator="notEqual">
      <formula>""</formula>
    </cfRule>
  </conditionalFormatting>
  <conditionalFormatting sqref="L41">
    <cfRule type="cellIs" dxfId="523" priority="20" stopIfTrue="1" operator="notEqual">
      <formula>""</formula>
    </cfRule>
  </conditionalFormatting>
  <conditionalFormatting sqref="L41">
    <cfRule type="cellIs" dxfId="522" priority="19" stopIfTrue="1" operator="notEqual">
      <formula>""</formula>
    </cfRule>
  </conditionalFormatting>
  <conditionalFormatting sqref="N41">
    <cfRule type="cellIs" dxfId="521" priority="18" stopIfTrue="1" operator="notEqual">
      <formula>""</formula>
    </cfRule>
  </conditionalFormatting>
  <conditionalFormatting sqref="N41">
    <cfRule type="cellIs" dxfId="520" priority="17" stopIfTrue="1" operator="notEqual">
      <formula>""</formula>
    </cfRule>
  </conditionalFormatting>
  <conditionalFormatting sqref="N41">
    <cfRule type="cellIs" dxfId="519" priority="16" stopIfTrue="1" operator="notEqual">
      <formula>""</formula>
    </cfRule>
  </conditionalFormatting>
  <conditionalFormatting sqref="M41">
    <cfRule type="cellIs" dxfId="518" priority="15" stopIfTrue="1" operator="equal">
      <formula>"Total"</formula>
    </cfRule>
  </conditionalFormatting>
  <conditionalFormatting sqref="L41">
    <cfRule type="cellIs" dxfId="517" priority="14" stopIfTrue="1" operator="equal">
      <formula>"Total"</formula>
    </cfRule>
  </conditionalFormatting>
  <conditionalFormatting sqref="N42 N44">
    <cfRule type="cellIs" dxfId="516" priority="13" stopIfTrue="1" operator="equal">
      <formula>"Total"</formula>
    </cfRule>
  </conditionalFormatting>
  <conditionalFormatting sqref="M42 M44">
    <cfRule type="cellIs" dxfId="515" priority="12" stopIfTrue="1" operator="equal">
      <formula>"Total"</formula>
    </cfRule>
  </conditionalFormatting>
  <conditionalFormatting sqref="L42 L44">
    <cfRule type="cellIs" dxfId="514" priority="11" stopIfTrue="1" operator="equal">
      <formula>"Total"</formula>
    </cfRule>
  </conditionalFormatting>
  <conditionalFormatting sqref="L43 L45">
    <cfRule type="cellIs" dxfId="513" priority="10" stopIfTrue="1" operator="notEqual">
      <formula>""</formula>
    </cfRule>
  </conditionalFormatting>
  <conditionalFormatting sqref="L43 L45">
    <cfRule type="cellIs" dxfId="512" priority="9" stopIfTrue="1" operator="notEqual">
      <formula>""</formula>
    </cfRule>
  </conditionalFormatting>
  <conditionalFormatting sqref="L43 L45">
    <cfRule type="cellIs" dxfId="511" priority="8" stopIfTrue="1" operator="notEqual">
      <formula>""</formula>
    </cfRule>
  </conditionalFormatting>
  <conditionalFormatting sqref="L43 L45">
    <cfRule type="cellIs" dxfId="510" priority="7" stopIfTrue="1" operator="notEqual">
      <formula>""</formula>
    </cfRule>
  </conditionalFormatting>
  <conditionalFormatting sqref="N43 N45">
    <cfRule type="cellIs" dxfId="509" priority="6" stopIfTrue="1" operator="notEqual">
      <formula>""</formula>
    </cfRule>
  </conditionalFormatting>
  <conditionalFormatting sqref="N43 N45">
    <cfRule type="cellIs" dxfId="508" priority="5" stopIfTrue="1" operator="notEqual">
      <formula>""</formula>
    </cfRule>
  </conditionalFormatting>
  <conditionalFormatting sqref="N43 N45">
    <cfRule type="cellIs" dxfId="507" priority="4" stopIfTrue="1" operator="notEqual">
      <formula>""</formula>
    </cfRule>
  </conditionalFormatting>
  <conditionalFormatting sqref="M43 M45">
    <cfRule type="cellIs" dxfId="506" priority="3" stopIfTrue="1" operator="equal">
      <formula>"Total"</formula>
    </cfRule>
  </conditionalFormatting>
  <conditionalFormatting sqref="L43 L45">
    <cfRule type="cellIs" dxfId="505" priority="2" stopIfTrue="1" operator="equal">
      <formula>"Total"</formula>
    </cfRule>
  </conditionalFormatting>
  <pageMargins left="0.23622047244094491" right="0.11811023622047245" top="0.31496062992125984" bottom="0.27559055118110237" header="0.15748031496062992" footer="0.51181102362204722"/>
  <pageSetup paperSize="9" scale="90" orientation="portrait" horizontalDpi="4294967294" verticalDpi="4294967294"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46"/>
  <sheetViews>
    <sheetView showGridLines="0" zoomScale="95" zoomScaleNormal="95" zoomScaleSheetLayoutView="110" workbookViewId="0">
      <pane ySplit="2" topLeftCell="A3" activePane="bottomLeft" state="frozen"/>
      <selection activeCell="P35" sqref="P35"/>
      <selection pane="bottomLeft" activeCell="J45" sqref="J45"/>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3" customHeight="1"/>
    <row r="2" spans="1:14" ht="11.25" customHeight="1" thickBot="1">
      <c r="B2" s="232" t="s">
        <v>55</v>
      </c>
      <c r="D2" s="6"/>
      <c r="G2" s="231">
        <f>'base(indices)'!I2</f>
        <v>45474</v>
      </c>
      <c r="I2" s="301">
        <v>0.9</v>
      </c>
      <c r="K2" s="230"/>
    </row>
    <row r="3" spans="1:14" ht="26.25" customHeight="1" thickBot="1">
      <c r="A3" s="1"/>
      <c r="B3" s="229" t="s">
        <v>51</v>
      </c>
      <c r="C3" s="229" t="s">
        <v>52</v>
      </c>
      <c r="D3" s="228" t="s">
        <v>7</v>
      </c>
      <c r="E3" s="227" t="s">
        <v>53</v>
      </c>
      <c r="F3" s="227" t="s">
        <v>54</v>
      </c>
      <c r="G3" s="227" t="s">
        <v>20</v>
      </c>
      <c r="I3" s="229" t="s">
        <v>51</v>
      </c>
      <c r="J3" s="229" t="s">
        <v>52</v>
      </c>
      <c r="K3" s="228" t="s">
        <v>7</v>
      </c>
      <c r="L3" s="227" t="s">
        <v>53</v>
      </c>
      <c r="M3" s="227" t="s">
        <v>54</v>
      </c>
      <c r="N3" s="227" t="s">
        <v>20</v>
      </c>
    </row>
    <row r="4" spans="1:14" ht="12.75" customHeight="1">
      <c r="B4" s="223">
        <f>'BPC LOAS '!A47</f>
        <v>72</v>
      </c>
      <c r="C4" s="223">
        <f t="shared" ref="C4:C34" si="0">C5</f>
        <v>6</v>
      </c>
      <c r="D4" s="226">
        <v>43101</v>
      </c>
      <c r="E4" s="225">
        <f>'BPC LOAS '!P47</f>
        <v>68400.683076946341</v>
      </c>
      <c r="F4" s="221">
        <f>'BPC LOAS '!Q47</f>
        <v>7847.3169230536587</v>
      </c>
      <c r="G4" s="234">
        <f t="shared" ref="G4:G34" si="1">SUM(E4:F4)</f>
        <v>76248</v>
      </c>
      <c r="I4" s="237">
        <f>'BPC LOAS '!A89</f>
        <v>30</v>
      </c>
      <c r="J4" s="223">
        <f t="shared" ref="J4:J31" si="2">J5</f>
        <v>6</v>
      </c>
      <c r="K4" s="222">
        <v>44378</v>
      </c>
      <c r="L4" s="225">
        <f>'BPC LOAS '!P89</f>
        <v>39346.386804860274</v>
      </c>
      <c r="M4" s="221">
        <f>'BPC LOAS '!Q89</f>
        <v>7847.3169230536587</v>
      </c>
      <c r="N4" s="221">
        <f t="shared" ref="N4:N10" si="3">SUM(L4:M4)</f>
        <v>47193.703727913933</v>
      </c>
    </row>
    <row r="5" spans="1:14" ht="12.75" customHeight="1">
      <c r="B5" s="238">
        <f>'BPC LOAS '!A48</f>
        <v>71</v>
      </c>
      <c r="C5" s="238">
        <f t="shared" si="0"/>
        <v>6</v>
      </c>
      <c r="D5" s="106">
        <v>43132</v>
      </c>
      <c r="E5" s="233">
        <f>'BPC LOAS '!P48</f>
        <v>68400.683076946341</v>
      </c>
      <c r="F5" s="224">
        <f>'BPC LOAS '!Q48</f>
        <v>7847.3169230536587</v>
      </c>
      <c r="G5" s="235">
        <f t="shared" si="1"/>
        <v>76248</v>
      </c>
      <c r="I5" s="143">
        <f>'BPC LOAS '!A90</f>
        <v>29</v>
      </c>
      <c r="J5" s="238">
        <f t="shared" si="2"/>
        <v>6</v>
      </c>
      <c r="K5" s="106">
        <v>44409</v>
      </c>
      <c r="L5" s="233">
        <f>'BPC LOAS '!P90</f>
        <v>37997.811562889401</v>
      </c>
      <c r="M5" s="224">
        <f>'BPC LOAS '!Q90</f>
        <v>7847.3169230536587</v>
      </c>
      <c r="N5" s="61">
        <f t="shared" si="3"/>
        <v>45845.12848594306</v>
      </c>
    </row>
    <row r="6" spans="1:14" ht="12.75" customHeight="1">
      <c r="B6" s="223">
        <f>'BPC LOAS '!A49</f>
        <v>70</v>
      </c>
      <c r="C6" s="223">
        <f t="shared" si="0"/>
        <v>6</v>
      </c>
      <c r="D6" s="222">
        <v>43160</v>
      </c>
      <c r="E6" s="225">
        <f>'BPC LOAS '!P49</f>
        <v>68400.683076946341</v>
      </c>
      <c r="F6" s="221">
        <f>'BPC LOAS '!Q49</f>
        <v>7847.3169230536587</v>
      </c>
      <c r="G6" s="236">
        <f t="shared" si="1"/>
        <v>76248</v>
      </c>
      <c r="I6" s="237">
        <f>'BPC LOAS '!A91</f>
        <v>28</v>
      </c>
      <c r="J6" s="223">
        <f t="shared" si="2"/>
        <v>6</v>
      </c>
      <c r="K6" s="222">
        <v>44440</v>
      </c>
      <c r="L6" s="225">
        <f>'BPC LOAS '!P91</f>
        <v>36660.000659980913</v>
      </c>
      <c r="M6" s="221">
        <f>'BPC LOAS '!Q91</f>
        <v>7847.3169230536587</v>
      </c>
      <c r="N6" s="221">
        <f t="shared" si="3"/>
        <v>44507.317583034572</v>
      </c>
    </row>
    <row r="7" spans="1:14" ht="12.75" customHeight="1">
      <c r="B7" s="238">
        <f>'BPC LOAS '!A50</f>
        <v>69</v>
      </c>
      <c r="C7" s="238">
        <f t="shared" si="0"/>
        <v>6</v>
      </c>
      <c r="D7" s="106">
        <v>43191</v>
      </c>
      <c r="E7" s="233">
        <f>'BPC LOAS '!P50</f>
        <v>68400.683076946341</v>
      </c>
      <c r="F7" s="224">
        <f>'BPC LOAS '!Q50</f>
        <v>7847.3169230536587</v>
      </c>
      <c r="G7" s="235">
        <f t="shared" si="1"/>
        <v>76248</v>
      </c>
      <c r="I7" s="143">
        <f>'BPC LOAS '!A92</f>
        <v>27</v>
      </c>
      <c r="J7" s="238">
        <f t="shared" si="2"/>
        <v>6</v>
      </c>
      <c r="K7" s="106">
        <v>44470</v>
      </c>
      <c r="L7" s="233">
        <f>'BPC LOAS '!P92</f>
        <v>35335.622804096754</v>
      </c>
      <c r="M7" s="224">
        <f>'BPC LOAS '!Q92</f>
        <v>7847.3169230536587</v>
      </c>
      <c r="N7" s="61">
        <f t="shared" si="3"/>
        <v>43182.939727150413</v>
      </c>
    </row>
    <row r="8" spans="1:14" ht="12.75" customHeight="1">
      <c r="B8" s="223">
        <f>'BPC LOAS '!A51</f>
        <v>68</v>
      </c>
      <c r="C8" s="223">
        <f t="shared" si="0"/>
        <v>6</v>
      </c>
      <c r="D8" s="222">
        <v>43221</v>
      </c>
      <c r="E8" s="225">
        <f>'BPC LOAS '!P51</f>
        <v>68400.683076946341</v>
      </c>
      <c r="F8" s="221">
        <f>'BPC LOAS '!Q51</f>
        <v>7847.3169230536587</v>
      </c>
      <c r="G8" s="236">
        <f t="shared" si="1"/>
        <v>76248</v>
      </c>
      <c r="I8" s="237">
        <f>'BPC LOAS '!A93</f>
        <v>26</v>
      </c>
      <c r="J8" s="223">
        <f t="shared" si="2"/>
        <v>6</v>
      </c>
      <c r="K8" s="222">
        <v>44501</v>
      </c>
      <c r="L8" s="225">
        <f>'BPC LOAS '!P93</f>
        <v>34026.558656419322</v>
      </c>
      <c r="M8" s="221">
        <f>'BPC LOAS '!Q93</f>
        <v>7847.3169230536587</v>
      </c>
      <c r="N8" s="221">
        <f t="shared" si="3"/>
        <v>41873.87557947298</v>
      </c>
    </row>
    <row r="9" spans="1:14" ht="12.75" customHeight="1">
      <c r="B9" s="238">
        <f>'BPC LOAS '!A52</f>
        <v>67</v>
      </c>
      <c r="C9" s="238">
        <f t="shared" si="0"/>
        <v>6</v>
      </c>
      <c r="D9" s="106">
        <v>43252</v>
      </c>
      <c r="E9" s="233">
        <f>'BPC LOAS '!P52</f>
        <v>68400.683076946341</v>
      </c>
      <c r="F9" s="224">
        <f>'BPC LOAS '!Q52</f>
        <v>7847.3169230536587</v>
      </c>
      <c r="G9" s="235">
        <f t="shared" si="1"/>
        <v>76248</v>
      </c>
      <c r="I9" s="143">
        <f>'BPC LOAS '!A94</f>
        <v>25</v>
      </c>
      <c r="J9" s="238">
        <f t="shared" si="2"/>
        <v>6</v>
      </c>
      <c r="K9" s="106">
        <v>44531</v>
      </c>
      <c r="L9" s="233">
        <f>'BPC LOAS '!P94</f>
        <v>32732.826365343473</v>
      </c>
      <c r="M9" s="224">
        <f>'BPC LOAS '!Q94</f>
        <v>7847.3169230536587</v>
      </c>
      <c r="N9" s="142">
        <f t="shared" si="3"/>
        <v>40580.143288397128</v>
      </c>
    </row>
    <row r="10" spans="1:14" ht="12.75" customHeight="1">
      <c r="B10" s="223">
        <f>'BPC LOAS '!A53</f>
        <v>66</v>
      </c>
      <c r="C10" s="223">
        <f t="shared" si="0"/>
        <v>6</v>
      </c>
      <c r="D10" s="222">
        <v>43282</v>
      </c>
      <c r="E10" s="225">
        <f>'BPC LOAS '!P53</f>
        <v>68400.683076946341</v>
      </c>
      <c r="F10" s="221">
        <f>'BPC LOAS '!Q53</f>
        <v>7847.3169230536587</v>
      </c>
      <c r="G10" s="236">
        <f t="shared" si="1"/>
        <v>76248</v>
      </c>
      <c r="I10" s="237">
        <f>'BPC LOAS '!A95</f>
        <v>24</v>
      </c>
      <c r="J10" s="223">
        <f t="shared" si="2"/>
        <v>6</v>
      </c>
      <c r="K10" s="222">
        <v>44562</v>
      </c>
      <c r="L10" s="225">
        <f>'BPC LOAS '!P95</f>
        <v>31385.33829229324</v>
      </c>
      <c r="M10" s="221">
        <f>'BPC LOAS '!Q95</f>
        <v>7847.3169230536587</v>
      </c>
      <c r="N10" s="221">
        <f t="shared" si="3"/>
        <v>39232.655215346895</v>
      </c>
    </row>
    <row r="11" spans="1:14" ht="12.75" customHeight="1">
      <c r="B11" s="238">
        <f>'BPC LOAS '!A54</f>
        <v>65</v>
      </c>
      <c r="C11" s="238">
        <f t="shared" si="0"/>
        <v>6</v>
      </c>
      <c r="D11" s="106">
        <v>43313</v>
      </c>
      <c r="E11" s="233">
        <f>'BPC LOAS '!P54</f>
        <v>68400.683076946341</v>
      </c>
      <c r="F11" s="224">
        <f>'BPC LOAS '!Q54</f>
        <v>7847.3169230536587</v>
      </c>
      <c r="G11" s="235">
        <f t="shared" si="1"/>
        <v>76248</v>
      </c>
      <c r="I11" s="143">
        <f>'BPC LOAS '!A96</f>
        <v>23</v>
      </c>
      <c r="J11" s="238">
        <f t="shared" si="2"/>
        <v>6</v>
      </c>
      <c r="K11" s="106">
        <v>44593</v>
      </c>
      <c r="L11" s="233">
        <f>'BPC LOAS '!P96</f>
        <v>29980.551540388973</v>
      </c>
      <c r="M11" s="224">
        <f>'BPC LOAS '!Q96</f>
        <v>7847.3169230536587</v>
      </c>
      <c r="N11" s="142">
        <f t="shared" ref="N11:N22" si="4">SUM(L11:M11)</f>
        <v>37827.868463442632</v>
      </c>
    </row>
    <row r="12" spans="1:14" ht="12.75" customHeight="1">
      <c r="B12" s="223">
        <f>'BPC LOAS '!A55</f>
        <v>64</v>
      </c>
      <c r="C12" s="223">
        <f t="shared" si="0"/>
        <v>6</v>
      </c>
      <c r="D12" s="222">
        <v>43344</v>
      </c>
      <c r="E12" s="225">
        <f>'BPC LOAS '!P55</f>
        <v>68400.683076946341</v>
      </c>
      <c r="F12" s="221">
        <f>'BPC LOAS '!Q55</f>
        <v>7847.3169230536587</v>
      </c>
      <c r="G12" s="236">
        <f t="shared" si="1"/>
        <v>76248</v>
      </c>
      <c r="I12" s="237">
        <f>'BPC LOAS '!A97</f>
        <v>22</v>
      </c>
      <c r="J12" s="223">
        <f t="shared" si="2"/>
        <v>6</v>
      </c>
      <c r="K12" s="222">
        <v>44621</v>
      </c>
      <c r="L12" s="225">
        <f>'BPC LOAS '!P97</f>
        <v>28583.891248322183</v>
      </c>
      <c r="M12" s="221">
        <f>'BPC LOAS '!Q97</f>
        <v>7847.3169230536587</v>
      </c>
      <c r="N12" s="221">
        <f t="shared" si="4"/>
        <v>36431.208171375838</v>
      </c>
    </row>
    <row r="13" spans="1:14" ht="12.75" customHeight="1">
      <c r="B13" s="238">
        <f>'BPC LOAS '!A56</f>
        <v>63</v>
      </c>
      <c r="C13" s="238">
        <f t="shared" si="0"/>
        <v>6</v>
      </c>
      <c r="D13" s="106">
        <v>43374</v>
      </c>
      <c r="E13" s="233">
        <f>'BPC LOAS '!P56</f>
        <v>68400.683076946341</v>
      </c>
      <c r="F13" s="224">
        <f>'BPC LOAS '!Q56</f>
        <v>7847.3169230536587</v>
      </c>
      <c r="G13" s="235">
        <f t="shared" si="1"/>
        <v>76248</v>
      </c>
      <c r="I13" s="143">
        <f>'BPC LOAS '!A98</f>
        <v>21</v>
      </c>
      <c r="J13" s="238">
        <f t="shared" si="2"/>
        <v>6</v>
      </c>
      <c r="K13" s="106">
        <v>44652</v>
      </c>
      <c r="L13" s="233">
        <f>'BPC LOAS '!P98</f>
        <v>27196.448216071043</v>
      </c>
      <c r="M13" s="224">
        <f>'BPC LOAS '!Q98</f>
        <v>7847.3169230536587</v>
      </c>
      <c r="N13" s="142">
        <f t="shared" si="4"/>
        <v>35043.765139124705</v>
      </c>
    </row>
    <row r="14" spans="1:14" ht="12.75" customHeight="1">
      <c r="B14" s="223">
        <f>'BPC LOAS '!A57</f>
        <v>62</v>
      </c>
      <c r="C14" s="223">
        <f t="shared" si="0"/>
        <v>6</v>
      </c>
      <c r="D14" s="222">
        <v>43405</v>
      </c>
      <c r="E14" s="225">
        <f>'BPC LOAS '!P57</f>
        <v>68400.683076946341</v>
      </c>
      <c r="F14" s="221">
        <f>'BPC LOAS '!Q57</f>
        <v>7847.3169230536587</v>
      </c>
      <c r="G14" s="236">
        <f t="shared" si="1"/>
        <v>76248</v>
      </c>
      <c r="I14" s="237">
        <f>'BPC LOAS '!A99</f>
        <v>20</v>
      </c>
      <c r="J14" s="223">
        <f t="shared" si="2"/>
        <v>6</v>
      </c>
      <c r="K14" s="222">
        <v>44682</v>
      </c>
      <c r="L14" s="225">
        <f>'BPC LOAS '!P99</f>
        <v>25818.604223627921</v>
      </c>
      <c r="M14" s="221">
        <f>'BPC LOAS '!Q99</f>
        <v>7847.3169230536587</v>
      </c>
      <c r="N14" s="221">
        <f t="shared" si="4"/>
        <v>33665.921146681576</v>
      </c>
    </row>
    <row r="15" spans="1:14" ht="12.75" customHeight="1">
      <c r="B15" s="238">
        <f>'BPC LOAS '!A58</f>
        <v>61</v>
      </c>
      <c r="C15" s="238">
        <f t="shared" si="0"/>
        <v>6</v>
      </c>
      <c r="D15" s="106">
        <v>43435</v>
      </c>
      <c r="E15" s="233">
        <f>'BPC LOAS '!P58</f>
        <v>68400.683076946341</v>
      </c>
      <c r="F15" s="224">
        <f>'BPC LOAS '!Q58</f>
        <v>7847.3169230536587</v>
      </c>
      <c r="G15" s="235">
        <f t="shared" si="1"/>
        <v>76248</v>
      </c>
      <c r="I15" s="143">
        <f>'BPC LOAS '!A100</f>
        <v>19</v>
      </c>
      <c r="J15" s="238">
        <f t="shared" si="2"/>
        <v>6</v>
      </c>
      <c r="K15" s="106">
        <v>44713</v>
      </c>
      <c r="L15" s="233">
        <f>'BPC LOAS '!P100</f>
        <v>24450.904670981916</v>
      </c>
      <c r="M15" s="224">
        <f>'BPC LOAS '!Q100</f>
        <v>7847.3169230536587</v>
      </c>
      <c r="N15" s="142">
        <f t="shared" si="4"/>
        <v>32298.221594035575</v>
      </c>
    </row>
    <row r="16" spans="1:14" ht="12.75" customHeight="1">
      <c r="B16" s="223">
        <f>'BPC LOAS '!A59</f>
        <v>60</v>
      </c>
      <c r="C16" s="223">
        <f t="shared" si="0"/>
        <v>6</v>
      </c>
      <c r="D16" s="222">
        <v>43466</v>
      </c>
      <c r="E16" s="225">
        <f>'BPC LOAS '!P59</f>
        <v>68400.683076946341</v>
      </c>
      <c r="F16" s="221">
        <f>'BPC LOAS '!Q59</f>
        <v>7847.3169230536587</v>
      </c>
      <c r="G16" s="236">
        <f t="shared" si="1"/>
        <v>76248</v>
      </c>
      <c r="I16" s="237">
        <f>'BPC LOAS '!A101</f>
        <v>18</v>
      </c>
      <c r="J16" s="223">
        <f t="shared" si="2"/>
        <v>6</v>
      </c>
      <c r="K16" s="222">
        <v>44743</v>
      </c>
      <c r="L16" s="225">
        <f>'BPC LOAS '!P101</f>
        <v>23094.385818112296</v>
      </c>
      <c r="M16" s="221">
        <f>'BPC LOAS '!Q101</f>
        <v>7847.3169230536587</v>
      </c>
      <c r="N16" s="221">
        <f t="shared" si="4"/>
        <v>30941.702741165955</v>
      </c>
    </row>
    <row r="17" spans="2:14" ht="12.75" customHeight="1">
      <c r="B17" s="238">
        <f>'BPC LOAS '!A60</f>
        <v>59</v>
      </c>
      <c r="C17" s="238">
        <f t="shared" si="0"/>
        <v>6</v>
      </c>
      <c r="D17" s="106">
        <v>43497</v>
      </c>
      <c r="E17" s="233">
        <f>'BPC LOAS '!P60</f>
        <v>68400.683076946341</v>
      </c>
      <c r="F17" s="224">
        <f>'BPC LOAS '!Q60</f>
        <v>7847.3169230536587</v>
      </c>
      <c r="G17" s="235">
        <f t="shared" si="1"/>
        <v>76248</v>
      </c>
      <c r="I17" s="143">
        <f>'BPC LOAS '!A102</f>
        <v>17</v>
      </c>
      <c r="J17" s="238">
        <f t="shared" si="2"/>
        <v>6</v>
      </c>
      <c r="K17" s="106">
        <v>44774</v>
      </c>
      <c r="L17" s="233">
        <f>'BPC LOAS '!P102</f>
        <v>21749.047665019058</v>
      </c>
      <c r="M17" s="224">
        <f>'BPC LOAS '!Q102</f>
        <v>7847.3169230536587</v>
      </c>
      <c r="N17" s="142">
        <f t="shared" si="4"/>
        <v>29596.364588072716</v>
      </c>
    </row>
    <row r="18" spans="2:14" ht="12.75" customHeight="1">
      <c r="B18" s="223">
        <f>'BPC LOAS '!A61</f>
        <v>58</v>
      </c>
      <c r="C18" s="223">
        <f t="shared" si="0"/>
        <v>6</v>
      </c>
      <c r="D18" s="222">
        <v>43525</v>
      </c>
      <c r="E18" s="225">
        <f>'BPC LOAS '!P61</f>
        <v>68400.683076946341</v>
      </c>
      <c r="F18" s="221">
        <f>'BPC LOAS '!Q61</f>
        <v>7847.3169230536587</v>
      </c>
      <c r="G18" s="236">
        <f t="shared" si="1"/>
        <v>76248</v>
      </c>
      <c r="I18" s="237">
        <f>'BPC LOAS '!A103</f>
        <v>16</v>
      </c>
      <c r="J18" s="223">
        <f t="shared" si="2"/>
        <v>6</v>
      </c>
      <c r="K18" s="222">
        <v>44805</v>
      </c>
      <c r="L18" s="225">
        <f>'BPC LOAS '!P103</f>
        <v>20415.708311685845</v>
      </c>
      <c r="M18" s="221">
        <f>'BPC LOAS '!Q103</f>
        <v>7847.3169230536587</v>
      </c>
      <c r="N18" s="221">
        <f t="shared" si="4"/>
        <v>28263.025234739504</v>
      </c>
    </row>
    <row r="19" spans="2:14" ht="12.75" customHeight="1">
      <c r="B19" s="238">
        <f>'BPC LOAS '!A62</f>
        <v>57</v>
      </c>
      <c r="C19" s="238">
        <f t="shared" si="0"/>
        <v>6</v>
      </c>
      <c r="D19" s="106">
        <v>43556</v>
      </c>
      <c r="E19" s="233">
        <f>'BPC LOAS '!P62</f>
        <v>68400.683076946341</v>
      </c>
      <c r="F19" s="224">
        <f>'BPC LOAS '!Q62</f>
        <v>7847.3169230536587</v>
      </c>
      <c r="G19" s="235">
        <f t="shared" si="1"/>
        <v>76248</v>
      </c>
      <c r="I19" s="143">
        <f>'BPC LOAS '!A104</f>
        <v>15</v>
      </c>
      <c r="J19" s="238">
        <f t="shared" si="2"/>
        <v>6</v>
      </c>
      <c r="K19" s="106">
        <v>44835</v>
      </c>
      <c r="L19" s="233">
        <f>'BPC LOAS '!P104</f>
        <v>19094.585918108296</v>
      </c>
      <c r="M19" s="224">
        <f>'BPC LOAS '!Q104</f>
        <v>7847.3169230536587</v>
      </c>
      <c r="N19" s="142">
        <f t="shared" si="4"/>
        <v>26941.902841161955</v>
      </c>
    </row>
    <row r="20" spans="2:14" ht="12.75" customHeight="1">
      <c r="B20" s="223">
        <f>'BPC LOAS '!A63</f>
        <v>56</v>
      </c>
      <c r="C20" s="223">
        <f t="shared" si="0"/>
        <v>6</v>
      </c>
      <c r="D20" s="222">
        <v>43586</v>
      </c>
      <c r="E20" s="225">
        <f>'BPC LOAS '!P63</f>
        <v>68400.683076946341</v>
      </c>
      <c r="F20" s="221">
        <f>'BPC LOAS '!Q63</f>
        <v>7847.3169230536587</v>
      </c>
      <c r="G20" s="236">
        <f t="shared" si="1"/>
        <v>76248</v>
      </c>
      <c r="I20" s="237">
        <f>'BPC LOAS '!A105</f>
        <v>14</v>
      </c>
      <c r="J20" s="223">
        <f t="shared" si="2"/>
        <v>6</v>
      </c>
      <c r="K20" s="222">
        <v>44866</v>
      </c>
      <c r="L20" s="225">
        <f>'BPC LOAS '!P105</f>
        <v>17784.862384302764</v>
      </c>
      <c r="M20" s="221">
        <f>'BPC LOAS '!Q105</f>
        <v>7847.3169230536587</v>
      </c>
      <c r="N20" s="221">
        <f t="shared" si="4"/>
        <v>25632.179307356422</v>
      </c>
    </row>
    <row r="21" spans="2:14" ht="12.75" customHeight="1">
      <c r="B21" s="238">
        <f>'BPC LOAS '!A64</f>
        <v>55</v>
      </c>
      <c r="C21" s="238">
        <f t="shared" si="0"/>
        <v>6</v>
      </c>
      <c r="D21" s="106">
        <v>43617</v>
      </c>
      <c r="E21" s="233">
        <f>'BPC LOAS '!P64</f>
        <v>68400.683076946341</v>
      </c>
      <c r="F21" s="224">
        <f>'BPC LOAS '!Q64</f>
        <v>7847.3169230536587</v>
      </c>
      <c r="G21" s="235">
        <f t="shared" si="1"/>
        <v>76248</v>
      </c>
      <c r="I21" s="143">
        <f>'BPC LOAS '!A106</f>
        <v>13</v>
      </c>
      <c r="J21" s="238">
        <f t="shared" si="2"/>
        <v>6</v>
      </c>
      <c r="K21" s="106">
        <v>44896</v>
      </c>
      <c r="L21" s="239">
        <f>'BPC LOAS '!P106</f>
        <v>16486.265010274714</v>
      </c>
      <c r="M21" s="224">
        <f>'BPC LOAS '!Q106</f>
        <v>7847.3169230536587</v>
      </c>
      <c r="N21" s="61">
        <f t="shared" si="4"/>
        <v>24333.581933328373</v>
      </c>
    </row>
    <row r="22" spans="2:14" ht="12.75" customHeight="1">
      <c r="B22" s="223">
        <f>'BPC LOAS '!A65</f>
        <v>54</v>
      </c>
      <c r="C22" s="223">
        <f t="shared" si="0"/>
        <v>6</v>
      </c>
      <c r="D22" s="222">
        <v>43647</v>
      </c>
      <c r="E22" s="225">
        <f>'BPC LOAS '!P65</f>
        <v>68400.683076946341</v>
      </c>
      <c r="F22" s="221">
        <f>'BPC LOAS '!Q65</f>
        <v>7847.3169230536587</v>
      </c>
      <c r="G22" s="236">
        <f t="shared" si="1"/>
        <v>76248</v>
      </c>
      <c r="I22" s="237">
        <f>'BPC LOAS '!A107</f>
        <v>12</v>
      </c>
      <c r="J22" s="223">
        <f t="shared" si="2"/>
        <v>6</v>
      </c>
      <c r="K22" s="222">
        <v>44927</v>
      </c>
      <c r="L22" s="225">
        <f>'BPC LOAS '!P107</f>
        <v>15151.784096964333</v>
      </c>
      <c r="M22" s="221">
        <f>'BPC LOAS '!Q107</f>
        <v>7847.3169230536587</v>
      </c>
      <c r="N22" s="221">
        <f t="shared" si="4"/>
        <v>22999.101020017992</v>
      </c>
    </row>
    <row r="23" spans="2:14" ht="12.75" customHeight="1">
      <c r="B23" s="238">
        <f>'BPC LOAS '!A66</f>
        <v>53</v>
      </c>
      <c r="C23" s="238">
        <f t="shared" si="0"/>
        <v>6</v>
      </c>
      <c r="D23" s="106">
        <v>43678</v>
      </c>
      <c r="E23" s="233">
        <f>'BPC LOAS '!P66</f>
        <v>68400.683076946341</v>
      </c>
      <c r="F23" s="224">
        <f>'BPC LOAS '!Q66</f>
        <v>7847.3169230536587</v>
      </c>
      <c r="G23" s="235">
        <f t="shared" si="1"/>
        <v>76248</v>
      </c>
      <c r="I23" s="143">
        <f>'BPC LOAS '!A108</f>
        <v>11</v>
      </c>
      <c r="J23" s="238">
        <f t="shared" si="2"/>
        <v>6</v>
      </c>
      <c r="K23" s="106">
        <v>44958</v>
      </c>
      <c r="L23" s="239">
        <f>'BPC LOAS '!P108</f>
        <v>13782.418644351641</v>
      </c>
      <c r="M23" s="224">
        <f>'BPC LOAS '!Q108</f>
        <v>7847.3169230536587</v>
      </c>
      <c r="N23" s="61">
        <f t="shared" ref="N23:N24" si="5">SUM(L23:M23)</f>
        <v>21629.7355674053</v>
      </c>
    </row>
    <row r="24" spans="2:14" ht="12.75" customHeight="1">
      <c r="B24" s="223">
        <f>'BPC LOAS '!A67</f>
        <v>52</v>
      </c>
      <c r="C24" s="223">
        <f t="shared" si="0"/>
        <v>6</v>
      </c>
      <c r="D24" s="222">
        <v>43709</v>
      </c>
      <c r="E24" s="225">
        <f>'BPC LOAS '!P67</f>
        <v>68400.683076946341</v>
      </c>
      <c r="F24" s="221">
        <f>'BPC LOAS '!Q67</f>
        <v>7847.3169230536587</v>
      </c>
      <c r="G24" s="236">
        <f t="shared" si="1"/>
        <v>76248</v>
      </c>
      <c r="I24" s="237">
        <f>'BPC LOAS '!A109</f>
        <v>10</v>
      </c>
      <c r="J24" s="223">
        <f t="shared" si="2"/>
        <v>6</v>
      </c>
      <c r="K24" s="222">
        <v>44986</v>
      </c>
      <c r="L24" s="225">
        <f>'BPC LOAS '!P109</f>
        <v>12425.005551499902</v>
      </c>
      <c r="M24" s="221">
        <f>'BPC LOAS '!Q109</f>
        <v>7847.3169230536587</v>
      </c>
      <c r="N24" s="221">
        <f t="shared" si="5"/>
        <v>20272.322474553563</v>
      </c>
    </row>
    <row r="25" spans="2:14" ht="12.75" customHeight="1">
      <c r="B25" s="238">
        <f>'BPC LOAS '!A68</f>
        <v>51</v>
      </c>
      <c r="C25" s="238">
        <f t="shared" si="0"/>
        <v>6</v>
      </c>
      <c r="D25" s="106">
        <v>43739</v>
      </c>
      <c r="E25" s="233">
        <f>'BPC LOAS '!P68</f>
        <v>68270.755172920675</v>
      </c>
      <c r="F25" s="224">
        <f>'BPC LOAS '!Q68</f>
        <v>7847.3169230536587</v>
      </c>
      <c r="G25" s="235">
        <f t="shared" si="1"/>
        <v>76118.072095974334</v>
      </c>
      <c r="I25" s="143">
        <f>'BPC LOAS '!A110</f>
        <v>9</v>
      </c>
      <c r="J25" s="238">
        <f t="shared" si="2"/>
        <v>6</v>
      </c>
      <c r="K25" s="106">
        <v>45017</v>
      </c>
      <c r="L25" s="239">
        <f>'BPC LOAS '!P110</f>
        <v>11079.837768403258</v>
      </c>
      <c r="M25" s="224">
        <f>'BPC LOAS '!Q110</f>
        <v>7847.3169230536587</v>
      </c>
      <c r="N25" s="61">
        <f t="shared" ref="N25:N26" si="6">SUM(L25:M25)</f>
        <v>18927.154691456919</v>
      </c>
    </row>
    <row r="26" spans="2:14" ht="12.75" customHeight="1">
      <c r="B26" s="223">
        <f>'BPC LOAS '!A69</f>
        <v>50</v>
      </c>
      <c r="C26" s="223">
        <f t="shared" si="0"/>
        <v>6</v>
      </c>
      <c r="D26" s="222">
        <v>43770</v>
      </c>
      <c r="E26" s="225">
        <f>'BPC LOAS '!P69</f>
        <v>66921.611341551121</v>
      </c>
      <c r="F26" s="221">
        <f>'BPC LOAS '!Q69</f>
        <v>7847.3169230536587</v>
      </c>
      <c r="G26" s="236">
        <f t="shared" si="1"/>
        <v>74768.92826460478</v>
      </c>
      <c r="I26" s="237">
        <f>'BPC LOAS '!A111</f>
        <v>8</v>
      </c>
      <c r="J26" s="223">
        <f t="shared" si="2"/>
        <v>6</v>
      </c>
      <c r="K26" s="222">
        <v>45047</v>
      </c>
      <c r="L26" s="225">
        <f>'BPC LOAS '!P111</f>
        <v>9737.7388052452388</v>
      </c>
      <c r="M26" s="221">
        <f>'BPC LOAS '!Q111</f>
        <v>7847.3169230536587</v>
      </c>
      <c r="N26" s="221">
        <f t="shared" si="6"/>
        <v>17585.055728298896</v>
      </c>
    </row>
    <row r="27" spans="2:14" ht="12.75" customHeight="1">
      <c r="B27" s="238">
        <f>'BPC LOAS '!A70</f>
        <v>49</v>
      </c>
      <c r="C27" s="238">
        <f t="shared" si="0"/>
        <v>6</v>
      </c>
      <c r="D27" s="106">
        <v>43800</v>
      </c>
      <c r="E27" s="233">
        <f>'BPC LOAS '!P70</f>
        <v>65574.017004199137</v>
      </c>
      <c r="F27" s="224">
        <f>'BPC LOAS '!Q70</f>
        <v>7847.3169230536587</v>
      </c>
      <c r="G27" s="235">
        <f t="shared" si="1"/>
        <v>73421.333927252796</v>
      </c>
      <c r="I27" s="143">
        <f>'BPC LOAS '!A112</f>
        <v>7</v>
      </c>
      <c r="J27" s="238">
        <f t="shared" si="2"/>
        <v>6</v>
      </c>
      <c r="K27" s="106">
        <v>45078</v>
      </c>
      <c r="L27" s="239">
        <f>'BPC LOAS '!P112</f>
        <v>8398.5064320298879</v>
      </c>
      <c r="M27" s="224">
        <f>'BPC LOAS '!Q112</f>
        <v>7847.3169230536587</v>
      </c>
      <c r="N27" s="61">
        <f t="shared" ref="N27:N28" si="7">SUM(L27:M27)</f>
        <v>16245.823355083547</v>
      </c>
    </row>
    <row r="28" spans="2:14" ht="12.75" customHeight="1">
      <c r="B28" s="223">
        <f>'BPC LOAS '!A71</f>
        <v>48</v>
      </c>
      <c r="C28" s="223">
        <f t="shared" si="0"/>
        <v>6</v>
      </c>
      <c r="D28" s="222">
        <v>43831</v>
      </c>
      <c r="E28" s="225">
        <f>'BPC LOAS '!P71</f>
        <v>64206.987530664381</v>
      </c>
      <c r="F28" s="221">
        <f>'BPC LOAS '!Q71</f>
        <v>7847.3169230536587</v>
      </c>
      <c r="G28" s="236">
        <f t="shared" si="1"/>
        <v>72054.304453718039</v>
      </c>
      <c r="I28" s="237">
        <f>'BPC LOAS '!A113</f>
        <v>6</v>
      </c>
      <c r="J28" s="223">
        <f t="shared" si="2"/>
        <v>6</v>
      </c>
      <c r="K28" s="222">
        <v>45108</v>
      </c>
      <c r="L28" s="225">
        <f>'BPC LOAS '!P113</f>
        <v>7072.2826585543635</v>
      </c>
      <c r="M28" s="221">
        <f>'BPC LOAS '!Q113</f>
        <v>7847.3169230536587</v>
      </c>
      <c r="N28" s="221">
        <f t="shared" si="7"/>
        <v>14919.599581608021</v>
      </c>
    </row>
    <row r="29" spans="2:14" ht="12.75" customHeight="1">
      <c r="B29" s="238">
        <f>'BPC LOAS '!A72</f>
        <v>47</v>
      </c>
      <c r="C29" s="238">
        <f t="shared" si="0"/>
        <v>6</v>
      </c>
      <c r="D29" s="106">
        <v>43862</v>
      </c>
      <c r="E29" s="233">
        <f>'BPC LOAS '!P72</f>
        <v>62820.493093391648</v>
      </c>
      <c r="F29" s="224">
        <f>'BPC LOAS '!Q72</f>
        <v>7847.3169230536587</v>
      </c>
      <c r="G29" s="235">
        <f t="shared" si="1"/>
        <v>70667.810016445306</v>
      </c>
      <c r="I29" s="143">
        <f>'BPC LOAS '!A114</f>
        <v>5</v>
      </c>
      <c r="J29" s="238">
        <f t="shared" si="2"/>
        <v>6</v>
      </c>
      <c r="K29" s="106">
        <v>45139</v>
      </c>
      <c r="L29" s="239">
        <f>'BPC LOAS '!P114</f>
        <v>5758.7704848246067</v>
      </c>
      <c r="M29" s="224">
        <f>'BPC LOAS '!Q114</f>
        <v>7847.3169230536587</v>
      </c>
      <c r="N29" s="61">
        <f t="shared" ref="N29:N30" si="8">SUM(L29:M29)</f>
        <v>13606.087407878265</v>
      </c>
    </row>
    <row r="30" spans="2:14" ht="12.75" customHeight="1">
      <c r="B30" s="223">
        <f>'BPC LOAS '!A73</f>
        <v>46</v>
      </c>
      <c r="C30" s="223">
        <f t="shared" si="0"/>
        <v>6</v>
      </c>
      <c r="D30" s="222">
        <v>43891</v>
      </c>
      <c r="E30" s="225">
        <f>'BPC LOAS '!P73</f>
        <v>61436.432275940329</v>
      </c>
      <c r="F30" s="221">
        <f>'BPC LOAS '!Q73</f>
        <v>7847.3169230536587</v>
      </c>
      <c r="G30" s="236">
        <f t="shared" si="1"/>
        <v>69283.749198993988</v>
      </c>
      <c r="I30" s="237">
        <f>'BPC LOAS '!A115</f>
        <v>4</v>
      </c>
      <c r="J30" s="223">
        <f t="shared" si="2"/>
        <v>6</v>
      </c>
      <c r="K30" s="222">
        <v>45170</v>
      </c>
      <c r="L30" s="225">
        <f>'BPC LOAS '!P115</f>
        <v>4458.3857108323018</v>
      </c>
      <c r="M30" s="221">
        <f>'BPC LOAS '!Q115</f>
        <v>7847.3169230536587</v>
      </c>
      <c r="N30" s="221">
        <f t="shared" si="8"/>
        <v>12305.702633885961</v>
      </c>
    </row>
    <row r="31" spans="2:14" ht="12.75" customHeight="1">
      <c r="B31" s="238">
        <f>'BPC LOAS '!A74</f>
        <v>45</v>
      </c>
      <c r="C31" s="238">
        <f t="shared" si="0"/>
        <v>6</v>
      </c>
      <c r="D31" s="106">
        <v>43922</v>
      </c>
      <c r="E31" s="233">
        <f>'BPC LOAS '!P74</f>
        <v>60054.030477736444</v>
      </c>
      <c r="F31" s="224">
        <f>'BPC LOAS '!Q74</f>
        <v>7847.3169230536587</v>
      </c>
      <c r="G31" s="235">
        <f t="shared" si="1"/>
        <v>67901.34740079011</v>
      </c>
      <c r="I31" s="143">
        <f>'BPC LOAS '!A116</f>
        <v>3</v>
      </c>
      <c r="J31" s="238">
        <f t="shared" si="2"/>
        <v>6</v>
      </c>
      <c r="K31" s="106">
        <v>45200</v>
      </c>
      <c r="L31" s="239">
        <f>'BPC LOAS '!P116</f>
        <v>3170.5343365893309</v>
      </c>
      <c r="M31" s="224">
        <f>'BPC LOAS '!Q116</f>
        <v>7847.3169230536587</v>
      </c>
      <c r="N31" s="61">
        <f t="shared" ref="N31:N32" si="9">SUM(L31:M31)</f>
        <v>11017.85125964299</v>
      </c>
    </row>
    <row r="32" spans="2:14" ht="12.75" customHeight="1">
      <c r="B32" s="223">
        <f>'BPC LOAS '!A75</f>
        <v>44</v>
      </c>
      <c r="C32" s="223">
        <f t="shared" si="0"/>
        <v>6</v>
      </c>
      <c r="D32" s="222">
        <v>43952</v>
      </c>
      <c r="E32" s="225">
        <f>'BPC LOAS '!P75</f>
        <v>58671.697783951327</v>
      </c>
      <c r="F32" s="221">
        <f>'BPC LOAS '!Q75</f>
        <v>7847.3169230536587</v>
      </c>
      <c r="G32" s="236">
        <f t="shared" si="1"/>
        <v>66519.014707004986</v>
      </c>
      <c r="I32" s="237">
        <f>'BPC LOAS '!A117</f>
        <v>2</v>
      </c>
      <c r="J32" s="223">
        <f>J33</f>
        <v>6</v>
      </c>
      <c r="K32" s="222">
        <v>45231</v>
      </c>
      <c r="L32" s="225">
        <f>'BPC LOAS '!P117</f>
        <v>1894.384762112323</v>
      </c>
      <c r="M32" s="221">
        <f>'BPC LOAS '!Q117</f>
        <v>7847.3169230536587</v>
      </c>
      <c r="N32" s="221">
        <f t="shared" si="9"/>
        <v>9741.701685165981</v>
      </c>
    </row>
    <row r="33" spans="2:14" ht="12.75" customHeight="1">
      <c r="B33" s="238">
        <f>'BPC LOAS '!A76</f>
        <v>43</v>
      </c>
      <c r="C33" s="238">
        <f t="shared" si="0"/>
        <v>6</v>
      </c>
      <c r="D33" s="106">
        <v>43983</v>
      </c>
      <c r="E33" s="233">
        <f>'BPC LOAS '!P76</f>
        <v>57285.193678387521</v>
      </c>
      <c r="F33" s="224">
        <f>'BPC LOAS '!Q76</f>
        <v>7847.3169230536587</v>
      </c>
      <c r="G33" s="235">
        <f t="shared" si="1"/>
        <v>65132.510601441179</v>
      </c>
      <c r="I33" s="143">
        <f>'BPC LOAS '!A118</f>
        <v>1</v>
      </c>
      <c r="J33" s="238">
        <f>J34</f>
        <v>6</v>
      </c>
      <c r="K33" s="106">
        <v>45261</v>
      </c>
      <c r="L33" s="239">
        <f>'BPC LOAS '!P118</f>
        <v>629.63998740721877</v>
      </c>
      <c r="M33" s="224">
        <f>'BPC LOAS '!Q118</f>
        <v>7847.3169230536587</v>
      </c>
      <c r="N33" s="61">
        <f t="shared" ref="N33:N45" si="10">SUM(L33:M33)</f>
        <v>8476.9569104608781</v>
      </c>
    </row>
    <row r="34" spans="2:14" ht="12.75" customHeight="1">
      <c r="B34" s="223">
        <f>'BPC LOAS '!A77</f>
        <v>42</v>
      </c>
      <c r="C34" s="223">
        <f t="shared" si="0"/>
        <v>6</v>
      </c>
      <c r="D34" s="222">
        <v>44013</v>
      </c>
      <c r="E34" s="225">
        <f>'BPC LOAS '!P77</f>
        <v>55894.72631741067</v>
      </c>
      <c r="F34" s="221">
        <f>'BPC LOAS '!Q77</f>
        <v>7847.3169230536587</v>
      </c>
      <c r="G34" s="236">
        <f t="shared" si="1"/>
        <v>63742.043240464329</v>
      </c>
      <c r="I34" s="237">
        <v>0</v>
      </c>
      <c r="J34" s="223">
        <f>'Ben 90% E.R.S.E.'!J34</f>
        <v>6</v>
      </c>
      <c r="K34" s="222">
        <v>45292</v>
      </c>
      <c r="L34" s="225">
        <f>'BPC LOAS '!P122</f>
        <v>0</v>
      </c>
      <c r="M34" s="221">
        <f>'BPC LOAS '!Q122</f>
        <v>7179.4479964110369</v>
      </c>
      <c r="N34" s="221">
        <f t="shared" si="10"/>
        <v>7179.4479964110369</v>
      </c>
    </row>
    <row r="35" spans="2:14" ht="12.75" customHeight="1">
      <c r="B35" s="238">
        <f>'BPC LOAS '!A78</f>
        <v>41</v>
      </c>
      <c r="C35" s="238">
        <f t="shared" ref="C35:C44" si="11">C36</f>
        <v>6</v>
      </c>
      <c r="D35" s="106">
        <v>44044</v>
      </c>
      <c r="E35" s="233">
        <f>'BPC LOAS '!P78</f>
        <v>54506.477244322261</v>
      </c>
      <c r="F35" s="224">
        <f>'BPC LOAS '!Q78</f>
        <v>7847.3169230536587</v>
      </c>
      <c r="G35" s="155">
        <f t="shared" ref="G35:G45" si="12">SUM(E35:F35)</f>
        <v>62353.79416737592</v>
      </c>
      <c r="I35" s="143">
        <v>0</v>
      </c>
      <c r="J35" s="238">
        <f>'Ben 90% E.R.S.E.'!J35</f>
        <v>5</v>
      </c>
      <c r="K35" s="106">
        <v>45323</v>
      </c>
      <c r="L35" s="155">
        <f>'BPC LOAS '!P123</f>
        <v>0</v>
      </c>
      <c r="M35" s="224">
        <f>'BPC LOAS '!Q123</f>
        <v>5849.8735230025268</v>
      </c>
      <c r="N35" s="61">
        <f t="shared" si="10"/>
        <v>5849.8735230025268</v>
      </c>
    </row>
    <row r="36" spans="2:14" ht="12.75" customHeight="1">
      <c r="B36" s="223">
        <f>'BPC LOAS '!A79</f>
        <v>40</v>
      </c>
      <c r="C36" s="223">
        <f t="shared" si="11"/>
        <v>6</v>
      </c>
      <c r="D36" s="222">
        <v>44075</v>
      </c>
      <c r="E36" s="225">
        <f>'BPC LOAS '!P79</f>
        <v>53121.897865748477</v>
      </c>
      <c r="F36" s="221">
        <f>'BPC LOAS '!Q79</f>
        <v>7847.3169230536587</v>
      </c>
      <c r="G36" s="221">
        <f t="shared" si="12"/>
        <v>60969.214788802135</v>
      </c>
      <c r="I36" s="237">
        <v>0</v>
      </c>
      <c r="J36" s="223">
        <f>'Ben 90% E.R.S.E.'!J36</f>
        <v>4</v>
      </c>
      <c r="K36" s="222">
        <v>45352</v>
      </c>
      <c r="L36" s="225">
        <f>'BPC LOAS '!P124</f>
        <v>0</v>
      </c>
      <c r="M36" s="221">
        <f>'BPC LOAS '!Q124</f>
        <v>4531.545629369085</v>
      </c>
      <c r="N36" s="221">
        <f t="shared" si="10"/>
        <v>4531.545629369085</v>
      </c>
    </row>
    <row r="37" spans="2:14" ht="12.75" customHeight="1">
      <c r="B37" s="238">
        <f>'BPC LOAS '!A80</f>
        <v>39</v>
      </c>
      <c r="C37" s="238">
        <f t="shared" si="11"/>
        <v>6</v>
      </c>
      <c r="D37" s="106">
        <v>44105</v>
      </c>
      <c r="E37" s="233">
        <f>'BPC LOAS '!P80</f>
        <v>51742.00671276229</v>
      </c>
      <c r="F37" s="224">
        <f>'BPC LOAS '!Q80</f>
        <v>7847.3169230536587</v>
      </c>
      <c r="G37" s="61">
        <f t="shared" si="12"/>
        <v>59589.323635815948</v>
      </c>
      <c r="I37" s="412">
        <v>0</v>
      </c>
      <c r="J37" s="238">
        <f>'Ben 90% E.R.S.E.'!J37</f>
        <v>3</v>
      </c>
      <c r="K37" s="106">
        <v>45383</v>
      </c>
      <c r="L37" s="155">
        <f>'BPC LOAS '!P125</f>
        <v>0</v>
      </c>
      <c r="M37" s="224">
        <f>'BPC LOAS '!Q125</f>
        <v>3223.5747555285034</v>
      </c>
      <c r="N37" s="61">
        <f t="shared" si="10"/>
        <v>3223.5747555285034</v>
      </c>
    </row>
    <row r="38" spans="2:14" ht="12.75" customHeight="1">
      <c r="B38" s="223">
        <f>'BPC LOAS '!A81</f>
        <v>38</v>
      </c>
      <c r="C38" s="223">
        <f t="shared" si="11"/>
        <v>6</v>
      </c>
      <c r="D38" s="222">
        <v>44136</v>
      </c>
      <c r="E38" s="225">
        <f>'BPC LOAS '!P81</f>
        <v>50371.624012548993</v>
      </c>
      <c r="F38" s="221">
        <f>'BPC LOAS '!Q81</f>
        <v>7847.3169230536587</v>
      </c>
      <c r="G38" s="221">
        <f t="shared" si="12"/>
        <v>58218.940935602652</v>
      </c>
      <c r="I38" s="237">
        <v>0</v>
      </c>
      <c r="J38" s="223">
        <f>'Ben 90% E.R.S.E.'!J38</f>
        <v>2</v>
      </c>
      <c r="K38" s="222">
        <v>45413</v>
      </c>
      <c r="L38" s="225">
        <f>'BPC LOAS '!P126</f>
        <v>0</v>
      </c>
      <c r="M38" s="221">
        <f>'BPC LOAS '!Q126</f>
        <v>1926.5327614693435</v>
      </c>
      <c r="N38" s="221">
        <f t="shared" si="10"/>
        <v>1926.5327614693435</v>
      </c>
    </row>
    <row r="39" spans="2:14" ht="12.75" customHeight="1">
      <c r="B39" s="238">
        <f>'BPC LOAS '!A82</f>
        <v>37</v>
      </c>
      <c r="C39" s="238">
        <f t="shared" si="11"/>
        <v>6</v>
      </c>
      <c r="D39" s="106">
        <v>44166</v>
      </c>
      <c r="E39" s="233">
        <f>'BPC LOAS '!P82</f>
        <v>49013.131677304642</v>
      </c>
      <c r="F39" s="224">
        <f>'BPC LOAS '!Q82</f>
        <v>7847.3169230536587</v>
      </c>
      <c r="G39" s="61">
        <f t="shared" si="12"/>
        <v>56860.448600358301</v>
      </c>
      <c r="I39" s="412">
        <v>0</v>
      </c>
      <c r="J39" s="238">
        <f>'Ben 90% E.R.S.E.'!J39</f>
        <v>1</v>
      </c>
      <c r="K39" s="106">
        <v>45444</v>
      </c>
      <c r="L39" s="155">
        <f>'BPC LOAS '!P127</f>
        <v>0</v>
      </c>
      <c r="M39" s="224">
        <f>'BPC LOAS '!Q127</f>
        <v>640.41964719160637</v>
      </c>
      <c r="N39" s="61">
        <f t="shared" si="10"/>
        <v>640.41964719160637</v>
      </c>
    </row>
    <row r="40" spans="2:14" ht="12.75" customHeight="1">
      <c r="B40" s="223">
        <f>'BPC LOAS '!A83</f>
        <v>36</v>
      </c>
      <c r="C40" s="223">
        <f t="shared" si="11"/>
        <v>6</v>
      </c>
      <c r="D40" s="222">
        <v>44197</v>
      </c>
      <c r="E40" s="225">
        <f>'BPC LOAS '!P83</f>
        <v>47631.98265951949</v>
      </c>
      <c r="F40" s="221">
        <f>'BPC LOAS '!Q83</f>
        <v>7847.3169230536587</v>
      </c>
      <c r="G40" s="221">
        <f t="shared" si="12"/>
        <v>55479.299582573149</v>
      </c>
      <c r="I40" s="237">
        <v>0</v>
      </c>
      <c r="J40" s="223">
        <f>'Ben 90% E.R.S.E.'!J40</f>
        <v>0</v>
      </c>
      <c r="K40" s="222">
        <v>45474</v>
      </c>
      <c r="L40" s="225">
        <f>'BPC LOAS '!P128</f>
        <v>0</v>
      </c>
      <c r="M40" s="221">
        <f>'BPC LOAS '!Q128</f>
        <v>0</v>
      </c>
      <c r="N40" s="221">
        <f t="shared" si="10"/>
        <v>0</v>
      </c>
    </row>
    <row r="41" spans="2:14" ht="12.75" customHeight="1">
      <c r="B41" s="238">
        <f>'BPC LOAS '!A84</f>
        <v>35</v>
      </c>
      <c r="C41" s="238">
        <f t="shared" si="11"/>
        <v>6</v>
      </c>
      <c r="D41" s="106">
        <v>44228</v>
      </c>
      <c r="E41" s="233">
        <f>'BPC LOAS '!P84</f>
        <v>46228.15093791949</v>
      </c>
      <c r="F41" s="224">
        <f>'BPC LOAS '!Q84</f>
        <v>7847.3169230536587</v>
      </c>
      <c r="G41" s="61">
        <f t="shared" si="12"/>
        <v>54075.467860973149</v>
      </c>
      <c r="I41" s="143">
        <v>0</v>
      </c>
      <c r="J41" s="238">
        <f>'Ben 90% E.R.S.E.'!J41</f>
        <v>0</v>
      </c>
      <c r="K41" s="106">
        <v>45505</v>
      </c>
      <c r="L41" s="155">
        <f>'BPC LOAS '!P129</f>
        <v>0</v>
      </c>
      <c r="M41" s="224">
        <f>'BPC LOAS '!Q129</f>
        <v>0</v>
      </c>
      <c r="N41" s="61">
        <f t="shared" si="10"/>
        <v>0</v>
      </c>
    </row>
    <row r="42" spans="2:14" ht="12.75" customHeight="1">
      <c r="B42" s="223">
        <f>'BPC LOAS '!A85</f>
        <v>34</v>
      </c>
      <c r="C42" s="223">
        <f t="shared" si="11"/>
        <v>6</v>
      </c>
      <c r="D42" s="222">
        <v>44256</v>
      </c>
      <c r="E42" s="225">
        <f>'BPC LOAS '!P85</f>
        <v>44833.112962536128</v>
      </c>
      <c r="F42" s="221">
        <f>'BPC LOAS '!Q85</f>
        <v>7847.3169230536587</v>
      </c>
      <c r="G42" s="221">
        <f t="shared" si="12"/>
        <v>52680.429885589787</v>
      </c>
      <c r="I42" s="237">
        <v>0</v>
      </c>
      <c r="J42" s="223">
        <f>'Ben 90% E.R.S.E.'!J42</f>
        <v>0</v>
      </c>
      <c r="K42" s="222">
        <v>45536</v>
      </c>
      <c r="L42" s="225">
        <f>'BPC LOAS '!P130</f>
        <v>0</v>
      </c>
      <c r="M42" s="221">
        <f>'BPC LOAS '!Q130</f>
        <v>0</v>
      </c>
      <c r="N42" s="221">
        <f t="shared" si="10"/>
        <v>0</v>
      </c>
    </row>
    <row r="43" spans="2:14" ht="12.75" customHeight="1">
      <c r="B43" s="238">
        <f>'BPC LOAS '!A86</f>
        <v>33</v>
      </c>
      <c r="C43" s="238">
        <f t="shared" si="11"/>
        <v>6</v>
      </c>
      <c r="D43" s="106">
        <v>44287</v>
      </c>
      <c r="E43" s="233">
        <f>'BPC LOAS '!P86</f>
        <v>43447.826823277566</v>
      </c>
      <c r="F43" s="224">
        <f>'BPC LOAS '!Q86</f>
        <v>7847.3169230536587</v>
      </c>
      <c r="G43" s="61">
        <f t="shared" si="12"/>
        <v>51295.143746331225</v>
      </c>
      <c r="I43" s="143">
        <v>0</v>
      </c>
      <c r="J43" s="238">
        <f>'Ben 90% E.R.S.E.'!J43</f>
        <v>0</v>
      </c>
      <c r="K43" s="106">
        <v>45566</v>
      </c>
      <c r="L43" s="155">
        <f>'BPC LOAS '!P131</f>
        <v>0</v>
      </c>
      <c r="M43" s="224">
        <f>'BPC LOAS '!Q131</f>
        <v>0</v>
      </c>
      <c r="N43" s="61">
        <f t="shared" si="10"/>
        <v>0</v>
      </c>
    </row>
    <row r="44" spans="2:14" ht="12.75" customHeight="1">
      <c r="B44" s="223">
        <f>'BPC LOAS '!A87</f>
        <v>32</v>
      </c>
      <c r="C44" s="223">
        <f t="shared" si="11"/>
        <v>6</v>
      </c>
      <c r="D44" s="222">
        <v>44317</v>
      </c>
      <c r="E44" s="225">
        <f>'BPC LOAS '!P87</f>
        <v>42073.064405719801</v>
      </c>
      <c r="F44" s="221">
        <f>'BPC LOAS '!Q87</f>
        <v>7847.3169230536587</v>
      </c>
      <c r="G44" s="221">
        <f t="shared" si="12"/>
        <v>49920.381328773459</v>
      </c>
      <c r="I44" s="237">
        <v>0</v>
      </c>
      <c r="J44" s="223">
        <f>'Ben 90% E.R.S.E.'!J44</f>
        <v>0</v>
      </c>
      <c r="K44" s="222">
        <v>45597</v>
      </c>
      <c r="L44" s="225">
        <f>'BPC LOAS '!P132</f>
        <v>0</v>
      </c>
      <c r="M44" s="221">
        <f>'BPC LOAS '!Q132</f>
        <v>0</v>
      </c>
      <c r="N44" s="221">
        <f t="shared" si="10"/>
        <v>0</v>
      </c>
    </row>
    <row r="45" spans="2:14" ht="12.75" customHeight="1">
      <c r="B45" s="238">
        <f>'BPC LOAS '!A88</f>
        <v>31</v>
      </c>
      <c r="C45" s="238">
        <f>J4</f>
        <v>6</v>
      </c>
      <c r="D45" s="106">
        <v>44348</v>
      </c>
      <c r="E45" s="233">
        <f>'BPC LOAS '!P88</f>
        <v>40705.416165386043</v>
      </c>
      <c r="F45" s="224">
        <f>'BPC LOAS '!Q88</f>
        <v>7847.3169230536587</v>
      </c>
      <c r="G45" s="61">
        <f t="shared" si="12"/>
        <v>48552.733088439702</v>
      </c>
      <c r="I45" s="143">
        <v>0</v>
      </c>
      <c r="J45" s="238">
        <f>'Ben 90% E.R.S.E.'!J45</f>
        <v>0</v>
      </c>
      <c r="K45" s="106">
        <v>45627</v>
      </c>
      <c r="L45" s="155">
        <f>'BPC LOAS '!P133</f>
        <v>0</v>
      </c>
      <c r="M45" s="224">
        <f>'BPC LOAS '!Q133</f>
        <v>0</v>
      </c>
      <c r="N45" s="61">
        <f t="shared" si="10"/>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504" priority="137" stopIfTrue="1" operator="notEqual">
      <formula>""</formula>
    </cfRule>
  </conditionalFormatting>
  <conditionalFormatting sqref="F5 E35:E45 L4:L34 L36 L38 L40 L42 L44 F7 F9 F11 F13 F15 F17 F19 F21 F23 F25 F27 F29 F31 F33 F35 F37 F39 F41 F43 F45">
    <cfRule type="cellIs" dxfId="503" priority="136" stopIfTrue="1" operator="equal">
      <formula>"Total"</formula>
    </cfRule>
  </conditionalFormatting>
  <conditionalFormatting sqref="G4 G6 G8 G10 G12 G14 G16 G18 G20 G22 G24 G26 G28 G30 G32 G34 G36 G38 G40 G42 G44 N4 N6 N8">
    <cfRule type="cellIs" dxfId="502" priority="121" stopIfTrue="1" operator="equal">
      <formula>"Total"</formula>
    </cfRule>
  </conditionalFormatting>
  <conditionalFormatting sqref="F4 F6 F8 F10 F12 F14 F16 F18 F20 F22 F24 F26 F28 F30 F32 F34 F36 F38 F40 F42 F44">
    <cfRule type="cellIs" dxfId="501" priority="123" stopIfTrue="1" operator="equal">
      <formula>"Total"</formula>
    </cfRule>
  </conditionalFormatting>
  <conditionalFormatting sqref="E4:E34">
    <cfRule type="cellIs" dxfId="500" priority="122" stopIfTrue="1" operator="equal">
      <formula>"Total"</formula>
    </cfRule>
  </conditionalFormatting>
  <conditionalFormatting sqref="N10 N12 N14 N16 N18 N20">
    <cfRule type="cellIs" dxfId="499" priority="101" stopIfTrue="1" operator="equal">
      <formula>"Total"</formula>
    </cfRule>
  </conditionalFormatting>
  <conditionalFormatting sqref="M5 M7 M9 M11 M13 M15 M17 M19 M21 M23 M25 M27 M29 M31 M33 M35 M37 M39 M41 M43 M45">
    <cfRule type="cellIs" dxfId="498" priority="97" stopIfTrue="1" operator="equal">
      <formula>"Total"</formula>
    </cfRule>
  </conditionalFormatting>
  <conditionalFormatting sqref="M4 M6 M8 M10 M12 M14 M16 M18 M20 M22 M24 M26 M28 M30 M32 M34 M36 M38 M40 M42 M44">
    <cfRule type="cellIs" dxfId="497" priority="96" stopIfTrue="1" operator="equal">
      <formula>"Total"</formula>
    </cfRule>
  </conditionalFormatting>
  <conditionalFormatting sqref="N22">
    <cfRule type="cellIs" dxfId="496" priority="94" stopIfTrue="1" operator="equal">
      <formula>"Total"</formula>
    </cfRule>
  </conditionalFormatting>
  <conditionalFormatting sqref="N23">
    <cfRule type="cellIs" dxfId="495" priority="91" stopIfTrue="1" operator="notEqual">
      <formula>""</formula>
    </cfRule>
  </conditionalFormatting>
  <conditionalFormatting sqref="N24 N26 N28">
    <cfRule type="cellIs" dxfId="494" priority="76" stopIfTrue="1" operator="equal">
      <formula>"Total"</formula>
    </cfRule>
  </conditionalFormatting>
  <conditionalFormatting sqref="N25 N27 N29">
    <cfRule type="cellIs" dxfId="493" priority="75" stopIfTrue="1" operator="notEqual">
      <formula>""</formula>
    </cfRule>
  </conditionalFormatting>
  <conditionalFormatting sqref="N30 N32">
    <cfRule type="cellIs" dxfId="492" priority="59" stopIfTrue="1" operator="equal">
      <formula>"Total"</formula>
    </cfRule>
  </conditionalFormatting>
  <conditionalFormatting sqref="N31 N33">
    <cfRule type="cellIs" dxfId="491" priority="58" stopIfTrue="1" operator="notEqual">
      <formula>""</formula>
    </cfRule>
  </conditionalFormatting>
  <conditionalFormatting sqref="D5 D7 D9 D11 D13 D15 D17 D19 D21 D23 D25 D27 D29 D31 D33 D35 D37 D39">
    <cfRule type="cellIs" dxfId="490" priority="51" stopIfTrue="1" operator="notEqual">
      <formula>""</formula>
    </cfRule>
  </conditionalFormatting>
  <conditionalFormatting sqref="D41 D43 D45 K5 K7 K9 K11 K13 K15 K17 K19 K21 K23 K25 K27 K29 K31 K33">
    <cfRule type="cellIs" dxfId="489" priority="50" stopIfTrue="1" operator="notEqual">
      <formula>""</formula>
    </cfRule>
  </conditionalFormatting>
  <conditionalFormatting sqref="K35 K37 K39 K41 K43 K45">
    <cfRule type="cellIs" dxfId="488" priority="49" stopIfTrue="1" operator="notEqual">
      <formula>""</formula>
    </cfRule>
  </conditionalFormatting>
  <conditionalFormatting sqref="N35">
    <cfRule type="cellIs" dxfId="487" priority="48" stopIfTrue="1" operator="notEqual">
      <formula>""</formula>
    </cfRule>
  </conditionalFormatting>
  <conditionalFormatting sqref="N35">
    <cfRule type="cellIs" dxfId="486" priority="47" stopIfTrue="1" operator="notEqual">
      <formula>""</formula>
    </cfRule>
  </conditionalFormatting>
  <conditionalFormatting sqref="N35">
    <cfRule type="cellIs" dxfId="485" priority="46" stopIfTrue="1" operator="notEqual">
      <formula>""</formula>
    </cfRule>
  </conditionalFormatting>
  <conditionalFormatting sqref="N34">
    <cfRule type="cellIs" dxfId="484" priority="44" stopIfTrue="1" operator="equal">
      <formula>"Total"</formula>
    </cfRule>
  </conditionalFormatting>
  <conditionalFormatting sqref="N37">
    <cfRule type="cellIs" dxfId="483" priority="42" stopIfTrue="1" operator="notEqual">
      <formula>""</formula>
    </cfRule>
  </conditionalFormatting>
  <conditionalFormatting sqref="N37">
    <cfRule type="cellIs" dxfId="482" priority="41" stopIfTrue="1" operator="notEqual">
      <formula>""</formula>
    </cfRule>
  </conditionalFormatting>
  <conditionalFormatting sqref="N37">
    <cfRule type="cellIs" dxfId="481" priority="40" stopIfTrue="1" operator="notEqual">
      <formula>""</formula>
    </cfRule>
  </conditionalFormatting>
  <conditionalFormatting sqref="N36 N38">
    <cfRule type="cellIs" dxfId="480" priority="38" stopIfTrue="1" operator="equal">
      <formula>"Total"</formula>
    </cfRule>
  </conditionalFormatting>
  <conditionalFormatting sqref="L35 L37 L39 L41 L43 L45">
    <cfRule type="cellIs" dxfId="479" priority="35" stopIfTrue="1" operator="notEqual">
      <formula>""</formula>
    </cfRule>
  </conditionalFormatting>
  <conditionalFormatting sqref="L35 L37 L39 L41 L43 L45">
    <cfRule type="cellIs" dxfId="478" priority="34" stopIfTrue="1" operator="notEqual">
      <formula>""</formula>
    </cfRule>
  </conditionalFormatting>
  <conditionalFormatting sqref="L35 L37 L39 L41 L43 L45">
    <cfRule type="cellIs" dxfId="477" priority="33" stopIfTrue="1" operator="notEqual">
      <formula>""</formula>
    </cfRule>
  </conditionalFormatting>
  <conditionalFormatting sqref="L35 L37 L39 L41 L43 L45">
    <cfRule type="cellIs" dxfId="476" priority="32" stopIfTrue="1" operator="notEqual">
      <formula>""</formula>
    </cfRule>
  </conditionalFormatting>
  <conditionalFormatting sqref="N39">
    <cfRule type="cellIs" dxfId="475" priority="31" stopIfTrue="1" operator="notEqual">
      <formula>""</formula>
    </cfRule>
  </conditionalFormatting>
  <conditionalFormatting sqref="N39">
    <cfRule type="cellIs" dxfId="474" priority="30" stopIfTrue="1" operator="notEqual">
      <formula>""</formula>
    </cfRule>
  </conditionalFormatting>
  <conditionalFormatting sqref="N39">
    <cfRule type="cellIs" dxfId="473" priority="29" stopIfTrue="1" operator="notEqual">
      <formula>""</formula>
    </cfRule>
  </conditionalFormatting>
  <conditionalFormatting sqref="L35 L37 L39 L41 L43 L45">
    <cfRule type="cellIs" dxfId="472" priority="27" stopIfTrue="1" operator="equal">
      <formula>"Total"</formula>
    </cfRule>
  </conditionalFormatting>
  <conditionalFormatting sqref="N40">
    <cfRule type="cellIs" dxfId="471" priority="26" stopIfTrue="1" operator="equal">
      <formula>"Total"</formula>
    </cfRule>
  </conditionalFormatting>
  <conditionalFormatting sqref="N41">
    <cfRule type="cellIs" dxfId="470" priority="19" stopIfTrue="1" operator="notEqual">
      <formula>""</formula>
    </cfRule>
  </conditionalFormatting>
  <conditionalFormatting sqref="N41">
    <cfRule type="cellIs" dxfId="469" priority="18" stopIfTrue="1" operator="notEqual">
      <formula>""</formula>
    </cfRule>
  </conditionalFormatting>
  <conditionalFormatting sqref="N41">
    <cfRule type="cellIs" dxfId="468" priority="17" stopIfTrue="1" operator="notEqual">
      <formula>""</formula>
    </cfRule>
  </conditionalFormatting>
  <conditionalFormatting sqref="N42 N44">
    <cfRule type="cellIs" dxfId="467" priority="14" stopIfTrue="1" operator="equal">
      <formula>"Total"</formula>
    </cfRule>
  </conditionalFormatting>
  <conditionalFormatting sqref="N43 N45">
    <cfRule type="cellIs" dxfId="466" priority="7" stopIfTrue="1" operator="notEqual">
      <formula>""</formula>
    </cfRule>
  </conditionalFormatting>
  <conditionalFormatting sqref="N43 N45">
    <cfRule type="cellIs" dxfId="465" priority="6" stopIfTrue="1" operator="notEqual">
      <formula>""</formula>
    </cfRule>
  </conditionalFormatting>
  <conditionalFormatting sqref="N43 N45">
    <cfRule type="cellIs" dxfId="464" priority="5"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N46"/>
  <sheetViews>
    <sheetView showGridLines="0" zoomScale="95" zoomScaleNormal="95" zoomScaleSheetLayoutView="110" workbookViewId="0">
      <pane ySplit="2" topLeftCell="A3" activePane="bottomLeft" state="frozen"/>
      <selection activeCell="I135" sqref="I135"/>
      <selection pane="bottomLeft" activeCell="A3" sqref="A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45474</v>
      </c>
      <c r="I2" s="301">
        <v>0.95</v>
      </c>
      <c r="K2" s="230"/>
    </row>
    <row r="3" spans="2:14" ht="26.25" customHeight="1" thickBot="1">
      <c r="B3" s="229" t="s">
        <v>51</v>
      </c>
      <c r="C3" s="229" t="s">
        <v>52</v>
      </c>
      <c r="D3" s="228" t="s">
        <v>7</v>
      </c>
      <c r="E3" s="227" t="s">
        <v>53</v>
      </c>
      <c r="F3" s="227" t="s">
        <v>54</v>
      </c>
      <c r="G3" s="227" t="s">
        <v>19</v>
      </c>
      <c r="I3" s="229" t="s">
        <v>51</v>
      </c>
      <c r="J3" s="229" t="s">
        <v>52</v>
      </c>
      <c r="K3" s="228" t="s">
        <v>7</v>
      </c>
      <c r="L3" s="227" t="s">
        <v>53</v>
      </c>
      <c r="M3" s="227" t="s">
        <v>54</v>
      </c>
      <c r="N3" s="227" t="s">
        <v>19</v>
      </c>
    </row>
    <row r="4" spans="2:14" ht="12.75" customHeight="1">
      <c r="B4" s="223">
        <f>'Benef com 13º'!A107</f>
        <v>72</v>
      </c>
      <c r="C4" s="223">
        <f t="shared" ref="C4:C44" si="0">C5</f>
        <v>6</v>
      </c>
      <c r="D4" s="226">
        <v>43101</v>
      </c>
      <c r="E4" s="225">
        <f>'Benef com 13º'!M107</f>
        <v>72200.721025665582</v>
      </c>
      <c r="F4" s="225">
        <f>'Benef com 13º'!N107</f>
        <v>8283.2789743344165</v>
      </c>
      <c r="G4" s="225">
        <f t="shared" ref="G4:G34" si="1">SUM(E4:F4)</f>
        <v>80484</v>
      </c>
      <c r="I4" s="237">
        <f>'Benef com 13º'!A149</f>
        <v>30</v>
      </c>
      <c r="J4" s="223">
        <f>'Ben 90% E.R.S.E.'!J4</f>
        <v>6</v>
      </c>
      <c r="K4" s="222">
        <v>44378</v>
      </c>
      <c r="L4" s="225">
        <f>'Benef com 13º'!M149</f>
        <v>44897.296341049099</v>
      </c>
      <c r="M4" s="225">
        <f>'Benef com 13º'!N149</f>
        <v>8283.2789743344165</v>
      </c>
      <c r="N4" s="221">
        <f t="shared" ref="N4:N21" si="2">SUM(L4:M4)</f>
        <v>53180.575315383518</v>
      </c>
    </row>
    <row r="5" spans="2:14" ht="12.75" customHeight="1">
      <c r="B5" s="238">
        <f>'Benef com 13º'!A108</f>
        <v>71</v>
      </c>
      <c r="C5" s="238">
        <f t="shared" si="0"/>
        <v>6</v>
      </c>
      <c r="D5" s="106">
        <v>43132</v>
      </c>
      <c r="E5" s="233">
        <f>'Benef com 13º'!M108</f>
        <v>72200.721025665582</v>
      </c>
      <c r="F5" s="233">
        <f>'Benef com 13º'!N108</f>
        <v>8283.2789743344165</v>
      </c>
      <c r="G5" s="61">
        <f t="shared" si="1"/>
        <v>80484</v>
      </c>
      <c r="I5" s="143">
        <f>'Benef com 13º'!A150</f>
        <v>29</v>
      </c>
      <c r="J5" s="238">
        <f>'Ben 90% E.R.S.E.'!J5</f>
        <v>6</v>
      </c>
      <c r="K5" s="106">
        <v>44409</v>
      </c>
      <c r="L5" s="155">
        <f>'Benef com 13º'!M150</f>
        <v>43359.337865498179</v>
      </c>
      <c r="M5" s="233">
        <f>'Benef com 13º'!N150</f>
        <v>8283.2789743344165</v>
      </c>
      <c r="N5" s="61">
        <f t="shared" si="2"/>
        <v>51642.616839832597</v>
      </c>
    </row>
    <row r="6" spans="2:14" ht="12.75" customHeight="1">
      <c r="B6" s="223">
        <f>'Benef com 13º'!A109</f>
        <v>70</v>
      </c>
      <c r="C6" s="223">
        <f t="shared" si="0"/>
        <v>6</v>
      </c>
      <c r="D6" s="222">
        <v>43160</v>
      </c>
      <c r="E6" s="225">
        <f>'Benef com 13º'!M109</f>
        <v>72200.721025665582</v>
      </c>
      <c r="F6" s="225">
        <f>'Benef com 13º'!N109</f>
        <v>8283.2789743344165</v>
      </c>
      <c r="G6" s="221">
        <f t="shared" si="1"/>
        <v>80484</v>
      </c>
      <c r="I6" s="237">
        <f>'Benef com 13º'!A151</f>
        <v>28</v>
      </c>
      <c r="J6" s="223">
        <f>'Ben 90% E.R.S.E.'!J6</f>
        <v>6</v>
      </c>
      <c r="K6" s="222">
        <v>44440</v>
      </c>
      <c r="L6" s="225">
        <f>'Benef com 13º'!M151</f>
        <v>41832.741747846441</v>
      </c>
      <c r="M6" s="225">
        <f>'Benef com 13º'!N151</f>
        <v>8283.2789743344165</v>
      </c>
      <c r="N6" s="221">
        <f t="shared" si="2"/>
        <v>50116.02072218086</v>
      </c>
    </row>
    <row r="7" spans="2:14" ht="12.75" customHeight="1">
      <c r="B7" s="238">
        <f>'Benef com 13º'!A110</f>
        <v>69</v>
      </c>
      <c r="C7" s="238">
        <f t="shared" si="0"/>
        <v>6</v>
      </c>
      <c r="D7" s="106">
        <v>43191</v>
      </c>
      <c r="E7" s="233">
        <f>'Benef com 13º'!M110</f>
        <v>72200.721025665582</v>
      </c>
      <c r="F7" s="233">
        <f>'Benef com 13º'!N110</f>
        <v>8283.2789743344165</v>
      </c>
      <c r="G7" s="61">
        <f t="shared" si="1"/>
        <v>80484</v>
      </c>
      <c r="I7" s="143">
        <f>'Benef com 13º'!A152</f>
        <v>27</v>
      </c>
      <c r="J7" s="238">
        <f>'Ben 90% E.R.S.E.'!J7</f>
        <v>6</v>
      </c>
      <c r="K7" s="106">
        <v>44470</v>
      </c>
      <c r="L7" s="155">
        <f>'Benef com 13º'!M152</f>
        <v>40320.324957609264</v>
      </c>
      <c r="M7" s="233">
        <f>'Benef com 13º'!N152</f>
        <v>8283.2789743344165</v>
      </c>
      <c r="N7" s="61">
        <f t="shared" si="2"/>
        <v>48603.603931943682</v>
      </c>
    </row>
    <row r="8" spans="2:14" ht="12.75" customHeight="1">
      <c r="B8" s="223">
        <f>'Benef com 13º'!A111</f>
        <v>68</v>
      </c>
      <c r="C8" s="223">
        <f t="shared" si="0"/>
        <v>6</v>
      </c>
      <c r="D8" s="222">
        <v>43221</v>
      </c>
      <c r="E8" s="225">
        <f>'Benef com 13º'!M111</f>
        <v>72200.721025665582</v>
      </c>
      <c r="F8" s="225">
        <f>'Benef com 13º'!N111</f>
        <v>8283.2789743344165</v>
      </c>
      <c r="G8" s="221">
        <f t="shared" si="1"/>
        <v>80484</v>
      </c>
      <c r="I8" s="237">
        <f>'Benef com 13º'!A153</f>
        <v>26</v>
      </c>
      <c r="J8" s="223">
        <f>'Ben 90% E.R.S.E.'!J8</f>
        <v>6</v>
      </c>
      <c r="K8" s="222">
        <v>44501</v>
      </c>
      <c r="L8" s="225">
        <f>'Benef com 13º'!M153</f>
        <v>38824.072637145859</v>
      </c>
      <c r="M8" s="225">
        <f>'Benef com 13º'!N153</f>
        <v>8283.2789743344165</v>
      </c>
      <c r="N8" s="221">
        <f t="shared" si="2"/>
        <v>47107.351611480277</v>
      </c>
    </row>
    <row r="9" spans="2:14" ht="12.75" customHeight="1">
      <c r="B9" s="238">
        <f>'Benef com 13º'!A112</f>
        <v>67</v>
      </c>
      <c r="C9" s="238">
        <f t="shared" si="0"/>
        <v>6</v>
      </c>
      <c r="D9" s="106">
        <v>43252</v>
      </c>
      <c r="E9" s="233">
        <f>'Benef com 13º'!M112</f>
        <v>72200.721025665582</v>
      </c>
      <c r="F9" s="233">
        <f>'Benef com 13º'!N112</f>
        <v>8283.2789743344165</v>
      </c>
      <c r="G9" s="61">
        <f t="shared" si="1"/>
        <v>80484</v>
      </c>
      <c r="I9" s="143">
        <f>'Benef com 13º'!A154</f>
        <v>25</v>
      </c>
      <c r="J9" s="238">
        <f>'Ben 90% E.R.S.E.'!J9</f>
        <v>6</v>
      </c>
      <c r="K9" s="106">
        <v>44531</v>
      </c>
      <c r="L9" s="155">
        <f>'Benef com 13º'!M154</f>
        <v>37344.003943095231</v>
      </c>
      <c r="M9" s="233">
        <f>'Benef com 13º'!N154</f>
        <v>8283.2789743344165</v>
      </c>
      <c r="N9" s="142">
        <f t="shared" si="2"/>
        <v>45627.282917429649</v>
      </c>
    </row>
    <row r="10" spans="2:14" ht="12.75" customHeight="1">
      <c r="B10" s="223">
        <f>'Benef com 13º'!A113</f>
        <v>66</v>
      </c>
      <c r="C10" s="223">
        <f t="shared" si="0"/>
        <v>6</v>
      </c>
      <c r="D10" s="222">
        <v>43282</v>
      </c>
      <c r="E10" s="225">
        <f>'Benef com 13º'!M113</f>
        <v>72200.721025665582</v>
      </c>
      <c r="F10" s="225">
        <f>'Benef com 13º'!N113</f>
        <v>8283.2789743344165</v>
      </c>
      <c r="G10" s="221">
        <f t="shared" si="1"/>
        <v>80484</v>
      </c>
      <c r="I10" s="237">
        <f>'Benef com 13º'!A155</f>
        <v>24</v>
      </c>
      <c r="J10" s="223">
        <f>'Ben 90% E.R.S.E.'!J10</f>
        <v>6</v>
      </c>
      <c r="K10" s="222">
        <v>44562</v>
      </c>
      <c r="L10" s="225">
        <f>'Benef com 13º'!M155</f>
        <v>35823.077703538322</v>
      </c>
      <c r="M10" s="225">
        <f>'Benef com 13º'!N155</f>
        <v>8283.2789743344165</v>
      </c>
      <c r="N10" s="221">
        <f t="shared" si="2"/>
        <v>44106.35667787274</v>
      </c>
    </row>
    <row r="11" spans="2:14" ht="12.75" customHeight="1">
      <c r="B11" s="238">
        <f>'Benef com 13º'!A114</f>
        <v>65</v>
      </c>
      <c r="C11" s="238">
        <f t="shared" si="0"/>
        <v>6</v>
      </c>
      <c r="D11" s="106">
        <v>43313</v>
      </c>
      <c r="E11" s="233">
        <f>'Benef com 13º'!M114</f>
        <v>72200.721025665582</v>
      </c>
      <c r="F11" s="233">
        <f>'Benef com 13º'!N114</f>
        <v>8283.2789743344165</v>
      </c>
      <c r="G11" s="61">
        <f t="shared" si="1"/>
        <v>80484</v>
      </c>
      <c r="I11" s="143">
        <f>'Benef com 13º'!A156</f>
        <v>23</v>
      </c>
      <c r="J11" s="238">
        <f>'Ben 90% E.R.S.E.'!J11</f>
        <v>6</v>
      </c>
      <c r="K11" s="106">
        <v>44593</v>
      </c>
      <c r="L11" s="155">
        <f>'Benef com 13º'!M156</f>
        <v>34225.529425489287</v>
      </c>
      <c r="M11" s="233">
        <f>'Benef com 13º'!N156</f>
        <v>8283.2789743344165</v>
      </c>
      <c r="N11" s="61">
        <f t="shared" si="2"/>
        <v>42508.808399823705</v>
      </c>
    </row>
    <row r="12" spans="2:14" ht="12.75" customHeight="1">
      <c r="B12" s="223">
        <f>'Benef com 13º'!A115</f>
        <v>64</v>
      </c>
      <c r="C12" s="223">
        <f t="shared" si="0"/>
        <v>6</v>
      </c>
      <c r="D12" s="222">
        <v>43344</v>
      </c>
      <c r="E12" s="225">
        <f>'Benef com 13º'!M115</f>
        <v>72200.721025665582</v>
      </c>
      <c r="F12" s="225">
        <f>'Benef com 13º'!N115</f>
        <v>8283.2789743344165</v>
      </c>
      <c r="G12" s="221">
        <f t="shared" si="1"/>
        <v>80484</v>
      </c>
      <c r="I12" s="237">
        <f>'Benef com 13º'!A157</f>
        <v>22</v>
      </c>
      <c r="J12" s="223">
        <f>'Ben 90% E.R.S.E.'!J12</f>
        <v>6</v>
      </c>
      <c r="K12" s="222">
        <v>44621</v>
      </c>
      <c r="L12" s="225">
        <f>'Benef com 13º'!M157</f>
        <v>32636.559077268688</v>
      </c>
      <c r="M12" s="225">
        <f>'Benef com 13º'!N157</f>
        <v>8283.2789743344165</v>
      </c>
      <c r="N12" s="221">
        <f t="shared" si="2"/>
        <v>40919.838051603103</v>
      </c>
    </row>
    <row r="13" spans="2:14" ht="12.75" customHeight="1">
      <c r="B13" s="238">
        <f>'Benef com 13º'!A116</f>
        <v>63</v>
      </c>
      <c r="C13" s="238">
        <f t="shared" si="0"/>
        <v>6</v>
      </c>
      <c r="D13" s="106">
        <v>43374</v>
      </c>
      <c r="E13" s="233">
        <f>'Benef com 13º'!M116</f>
        <v>72200.721025665582</v>
      </c>
      <c r="F13" s="233">
        <f>'Benef com 13º'!N116</f>
        <v>8283.2789743344165</v>
      </c>
      <c r="G13" s="61">
        <f t="shared" si="1"/>
        <v>80484</v>
      </c>
      <c r="I13" s="143">
        <f>'Benef com 13º'!A158</f>
        <v>21</v>
      </c>
      <c r="J13" s="238">
        <f>'Ben 90% E.R.S.E.'!J13</f>
        <v>6</v>
      </c>
      <c r="K13" s="106">
        <v>44652</v>
      </c>
      <c r="L13" s="155">
        <f>'Benef com 13º'!M158</f>
        <v>31057.318058853511</v>
      </c>
      <c r="M13" s="233">
        <f>'Benef com 13º'!N158</f>
        <v>8283.2789743344165</v>
      </c>
      <c r="N13" s="61">
        <f t="shared" si="2"/>
        <v>39340.597033187929</v>
      </c>
    </row>
    <row r="14" spans="2:14" ht="12.75" customHeight="1">
      <c r="B14" s="223">
        <f>'Benef com 13º'!A117</f>
        <v>62</v>
      </c>
      <c r="C14" s="223">
        <f t="shared" si="0"/>
        <v>6</v>
      </c>
      <c r="D14" s="222">
        <v>43405</v>
      </c>
      <c r="E14" s="225">
        <f>'Benef com 13º'!M117</f>
        <v>72200.721025665582</v>
      </c>
      <c r="F14" s="225">
        <f>'Benef com 13º'!N117</f>
        <v>8283.2789743344165</v>
      </c>
      <c r="G14" s="221">
        <f t="shared" si="1"/>
        <v>80484</v>
      </c>
      <c r="I14" s="237">
        <f>'Benef com 13º'!A159</f>
        <v>20</v>
      </c>
      <c r="J14" s="223">
        <f>'Ben 90% E.R.S.E.'!J14</f>
        <v>6</v>
      </c>
      <c r="K14" s="222">
        <v>44682</v>
      </c>
      <c r="L14" s="225">
        <f>'Benef com 13º'!M159</f>
        <v>29488.209360235684</v>
      </c>
      <c r="M14" s="225">
        <f>'Benef com 13º'!N159</f>
        <v>8283.2789743344165</v>
      </c>
      <c r="N14" s="221">
        <f t="shared" si="2"/>
        <v>37771.488334570102</v>
      </c>
    </row>
    <row r="15" spans="2:14" ht="12.75" customHeight="1">
      <c r="B15" s="238">
        <f>'Benef com 13º'!A118</f>
        <v>61</v>
      </c>
      <c r="C15" s="238">
        <f t="shared" si="0"/>
        <v>6</v>
      </c>
      <c r="D15" s="106">
        <v>43435</v>
      </c>
      <c r="E15" s="233">
        <f>'Benef com 13º'!M118</f>
        <v>72200.721025665582</v>
      </c>
      <c r="F15" s="233">
        <f>'Benef com 13º'!N118</f>
        <v>8283.2789743344165</v>
      </c>
      <c r="G15" s="61">
        <f t="shared" si="1"/>
        <v>80484</v>
      </c>
      <c r="I15" s="143">
        <f>'Benef com 13º'!A160</f>
        <v>19</v>
      </c>
      <c r="J15" s="238">
        <f>'Ben 90% E.R.S.E.'!J15</f>
        <v>6</v>
      </c>
      <c r="K15" s="106">
        <v>44713</v>
      </c>
      <c r="L15" s="155">
        <f>'Benef com 13º'!M160</f>
        <v>27929.808681403701</v>
      </c>
      <c r="M15" s="233">
        <f>'Benef com 13º'!N160</f>
        <v>8283.2789743344165</v>
      </c>
      <c r="N15" s="61">
        <f t="shared" si="2"/>
        <v>36213.08765573812</v>
      </c>
    </row>
    <row r="16" spans="2:14" ht="12.75" customHeight="1">
      <c r="B16" s="223">
        <f>'Benef com 13º'!A119</f>
        <v>60</v>
      </c>
      <c r="C16" s="223">
        <f t="shared" si="0"/>
        <v>6</v>
      </c>
      <c r="D16" s="222">
        <v>43466</v>
      </c>
      <c r="E16" s="225">
        <f>'Benef com 13º'!M119</f>
        <v>72200.721025665582</v>
      </c>
      <c r="F16" s="225">
        <f>'Benef com 13º'!N119</f>
        <v>8283.2789743344165</v>
      </c>
      <c r="G16" s="221">
        <f t="shared" si="1"/>
        <v>80484</v>
      </c>
      <c r="I16" s="237">
        <f>'Benef com 13º'!A161</f>
        <v>18</v>
      </c>
      <c r="J16" s="223">
        <f>'Ben 90% E.R.S.E.'!J16</f>
        <v>6</v>
      </c>
      <c r="K16" s="222">
        <v>44743</v>
      </c>
      <c r="L16" s="225">
        <f>'Benef com 13º'!M161</f>
        <v>26383.209852335684</v>
      </c>
      <c r="M16" s="225">
        <f>'Benef com 13º'!N161</f>
        <v>8283.2789743344165</v>
      </c>
      <c r="N16" s="221">
        <f t="shared" si="2"/>
        <v>34666.488826670102</v>
      </c>
    </row>
    <row r="17" spans="2:14" ht="12.75" customHeight="1">
      <c r="B17" s="238">
        <f>'Benef com 13º'!A120</f>
        <v>59</v>
      </c>
      <c r="C17" s="238">
        <f t="shared" si="0"/>
        <v>6</v>
      </c>
      <c r="D17" s="106">
        <v>43497</v>
      </c>
      <c r="E17" s="233">
        <f>'Benef com 13º'!M120</f>
        <v>72200.721025665582</v>
      </c>
      <c r="F17" s="233">
        <f>'Benef com 13º'!N120</f>
        <v>8283.2789743344165</v>
      </c>
      <c r="G17" s="61">
        <f t="shared" si="1"/>
        <v>80484</v>
      </c>
      <c r="I17" s="143">
        <f>'Benef com 13º'!A162</f>
        <v>17</v>
      </c>
      <c r="J17" s="238">
        <f>'Ben 90% E.R.S.E.'!J17</f>
        <v>6</v>
      </c>
      <c r="K17" s="106">
        <v>44774</v>
      </c>
      <c r="L17" s="155">
        <f>'Benef com 13º'!M162</f>
        <v>24848.412873031615</v>
      </c>
      <c r="M17" s="233">
        <f>'Benef com 13º'!N162</f>
        <v>8283.2789743344165</v>
      </c>
      <c r="N17" s="61">
        <f t="shared" si="2"/>
        <v>33131.691847366033</v>
      </c>
    </row>
    <row r="18" spans="2:14" ht="12.75" customHeight="1">
      <c r="B18" s="223">
        <f>'Benef com 13º'!A121</f>
        <v>58</v>
      </c>
      <c r="C18" s="223">
        <f t="shared" si="0"/>
        <v>6</v>
      </c>
      <c r="D18" s="222">
        <v>43525</v>
      </c>
      <c r="E18" s="225">
        <f>'Benef com 13º'!M121</f>
        <v>72200.721025665582</v>
      </c>
      <c r="F18" s="225">
        <f>'Benef com 13º'!N121</f>
        <v>8283.2789743344165</v>
      </c>
      <c r="G18" s="221">
        <f t="shared" si="1"/>
        <v>80484</v>
      </c>
      <c r="I18" s="237">
        <f>'Benef com 13º'!A163</f>
        <v>16</v>
      </c>
      <c r="J18" s="223">
        <f>'Ben 90% E.R.S.E.'!J18</f>
        <v>6</v>
      </c>
      <c r="K18" s="222">
        <v>44805</v>
      </c>
      <c r="L18" s="225">
        <f>'Benef com 13º'!M163</f>
        <v>23326.281293474247</v>
      </c>
      <c r="M18" s="225">
        <f>'Benef com 13º'!N163</f>
        <v>8283.2789743344165</v>
      </c>
      <c r="N18" s="221">
        <f t="shared" si="2"/>
        <v>31609.560267808665</v>
      </c>
    </row>
    <row r="19" spans="2:14" ht="12.75" customHeight="1">
      <c r="B19" s="238">
        <f>'Benef com 13º'!A122</f>
        <v>57</v>
      </c>
      <c r="C19" s="238">
        <f t="shared" si="0"/>
        <v>6</v>
      </c>
      <c r="D19" s="106">
        <v>43556</v>
      </c>
      <c r="E19" s="233">
        <f>'Benef com 13º'!M122</f>
        <v>72200.721025665582</v>
      </c>
      <c r="F19" s="233">
        <f>'Benef com 13º'!N122</f>
        <v>8283.2789743344165</v>
      </c>
      <c r="G19" s="61">
        <f t="shared" si="1"/>
        <v>80484</v>
      </c>
      <c r="I19" s="143">
        <f>'Benef com 13º'!A164</f>
        <v>15</v>
      </c>
      <c r="J19" s="238">
        <f>'Ben 90% E.R.S.E.'!J19</f>
        <v>6</v>
      </c>
      <c r="K19" s="106">
        <v>44835</v>
      </c>
      <c r="L19" s="155">
        <f>'Benef com 13º'!M164</f>
        <v>21817.045393658973</v>
      </c>
      <c r="M19" s="233">
        <f>'Benef com 13º'!N164</f>
        <v>8283.2789743344165</v>
      </c>
      <c r="N19" s="61">
        <f t="shared" si="2"/>
        <v>30100.324367993388</v>
      </c>
    </row>
    <row r="20" spans="2:14" ht="12.75" customHeight="1">
      <c r="B20" s="223">
        <f>'Benef com 13º'!A123</f>
        <v>56</v>
      </c>
      <c r="C20" s="223">
        <f t="shared" si="0"/>
        <v>6</v>
      </c>
      <c r="D20" s="222">
        <v>43586</v>
      </c>
      <c r="E20" s="225">
        <f>'Benef com 13º'!M123</f>
        <v>72200.721025665582</v>
      </c>
      <c r="F20" s="225">
        <f>'Benef com 13º'!N123</f>
        <v>8283.2789743344165</v>
      </c>
      <c r="G20" s="221">
        <f t="shared" si="1"/>
        <v>80484</v>
      </c>
      <c r="I20" s="237">
        <f>'Benef com 13º'!A165</f>
        <v>14</v>
      </c>
      <c r="J20" s="223">
        <f>'Ben 90% E.R.S.E.'!J20</f>
        <v>6</v>
      </c>
      <c r="K20" s="222">
        <v>44866</v>
      </c>
      <c r="L20" s="225">
        <f>'Benef com 13º'!M165</f>
        <v>20319.841623603043</v>
      </c>
      <c r="M20" s="225">
        <f>'Benef com 13º'!N165</f>
        <v>8283.2789743344165</v>
      </c>
      <c r="N20" s="221">
        <f t="shared" si="2"/>
        <v>28603.120597937457</v>
      </c>
    </row>
    <row r="21" spans="2:14" ht="12.75" customHeight="1">
      <c r="B21" s="238">
        <f>'Benef com 13º'!A124</f>
        <v>55</v>
      </c>
      <c r="C21" s="238">
        <f t="shared" si="0"/>
        <v>6</v>
      </c>
      <c r="D21" s="106">
        <v>43617</v>
      </c>
      <c r="E21" s="233">
        <f>'Benef com 13º'!M124</f>
        <v>72200.721025665582</v>
      </c>
      <c r="F21" s="233">
        <f>'Benef com 13º'!N124</f>
        <v>8283.2789743344165</v>
      </c>
      <c r="G21" s="61">
        <f t="shared" si="1"/>
        <v>80484</v>
      </c>
      <c r="I21" s="143">
        <f>'Benef com 13º'!A166</f>
        <v>13</v>
      </c>
      <c r="J21" s="238">
        <f>'Ben 90% E.R.S.E.'!J21</f>
        <v>6</v>
      </c>
      <c r="K21" s="106">
        <v>44896</v>
      </c>
      <c r="L21" s="155">
        <f>'Benef com 13º'!M166</f>
        <v>18834.382133312232</v>
      </c>
      <c r="M21" s="233">
        <f>'Benef com 13º'!N166</f>
        <v>8283.2789743344165</v>
      </c>
      <c r="N21" s="61">
        <f t="shared" si="2"/>
        <v>27117.661107646651</v>
      </c>
    </row>
    <row r="22" spans="2:14" ht="12.75" customHeight="1">
      <c r="B22" s="223">
        <f>'Benef com 13º'!A125</f>
        <v>54</v>
      </c>
      <c r="C22" s="223">
        <f t="shared" si="0"/>
        <v>6</v>
      </c>
      <c r="D22" s="222">
        <v>43647</v>
      </c>
      <c r="E22" s="225">
        <f>'Benef com 13º'!M125</f>
        <v>72200.721025665582</v>
      </c>
      <c r="F22" s="225">
        <f>'Benef com 13º'!N125</f>
        <v>8283.2789743344165</v>
      </c>
      <c r="G22" s="221">
        <f t="shared" si="1"/>
        <v>80484</v>
      </c>
      <c r="I22" s="237">
        <f>'Benef com 13º'!A167</f>
        <v>12</v>
      </c>
      <c r="J22" s="223">
        <f>'Ben 90% E.R.S.E.'!J22</f>
        <v>6</v>
      </c>
      <c r="K22" s="222">
        <v>44927</v>
      </c>
      <c r="L22" s="225">
        <f>'Benef com 13º'!M167</f>
        <v>17322.78985354408</v>
      </c>
      <c r="M22" s="225">
        <f>'Benef com 13º'!N167</f>
        <v>8283.2789743344165</v>
      </c>
      <c r="N22" s="221">
        <f t="shared" ref="N22:N45" si="3">SUM(L22:M22)</f>
        <v>25606.068827878495</v>
      </c>
    </row>
    <row r="23" spans="2:14" ht="12.75" customHeight="1">
      <c r="B23" s="238">
        <f>'Benef com 13º'!A126</f>
        <v>53</v>
      </c>
      <c r="C23" s="238">
        <f t="shared" si="0"/>
        <v>6</v>
      </c>
      <c r="D23" s="106">
        <v>43678</v>
      </c>
      <c r="E23" s="233">
        <f>'Benef com 13º'!M126</f>
        <v>72200.721025665582</v>
      </c>
      <c r="F23" s="233">
        <f>'Benef com 13º'!N126</f>
        <v>8283.2789743344165</v>
      </c>
      <c r="G23" s="61">
        <f t="shared" si="1"/>
        <v>80484</v>
      </c>
      <c r="I23" s="143">
        <f>'Benef com 13º'!A168</f>
        <v>11</v>
      </c>
      <c r="J23" s="238">
        <f>'Ben 90% E.R.S.E.'!J23</f>
        <v>6</v>
      </c>
      <c r="K23" s="106">
        <v>44958</v>
      </c>
      <c r="L23" s="155">
        <f>'Benef com 13º'!M168</f>
        <v>15765.617144687536</v>
      </c>
      <c r="M23" s="233">
        <f>'Benef com 13º'!N168</f>
        <v>8283.2789743344165</v>
      </c>
      <c r="N23" s="61">
        <f t="shared" si="3"/>
        <v>24048.896119021952</v>
      </c>
    </row>
    <row r="24" spans="2:14" ht="12.75" customHeight="1">
      <c r="B24" s="223">
        <f>'Benef com 13º'!A127</f>
        <v>52</v>
      </c>
      <c r="C24" s="223">
        <f t="shared" si="0"/>
        <v>6</v>
      </c>
      <c r="D24" s="222">
        <v>43709</v>
      </c>
      <c r="E24" s="225">
        <f>'Benef com 13º'!M127</f>
        <v>72200.721025665582</v>
      </c>
      <c r="F24" s="225">
        <f>'Benef com 13º'!N127</f>
        <v>8283.2789743344165</v>
      </c>
      <c r="G24" s="221">
        <f t="shared" si="1"/>
        <v>80484</v>
      </c>
      <c r="I24" s="237">
        <f>'Benef com 13º'!A169</f>
        <v>10</v>
      </c>
      <c r="J24" s="223">
        <f>'Ben 90% E.R.S.E.'!J24</f>
        <v>6</v>
      </c>
      <c r="K24" s="222">
        <v>44986</v>
      </c>
      <c r="L24" s="225">
        <f>'Benef com 13º'!M169</f>
        <v>14221.060815578661</v>
      </c>
      <c r="M24" s="225">
        <f>'Benef com 13º'!N169</f>
        <v>8283.2789743344165</v>
      </c>
      <c r="N24" s="221">
        <f t="shared" si="3"/>
        <v>22504.33978991308</v>
      </c>
    </row>
    <row r="25" spans="2:14" ht="12.75" customHeight="1">
      <c r="B25" s="238">
        <f>'Benef com 13º'!A128</f>
        <v>51</v>
      </c>
      <c r="C25" s="238">
        <f t="shared" si="0"/>
        <v>6</v>
      </c>
      <c r="D25" s="106">
        <v>43739</v>
      </c>
      <c r="E25" s="233">
        <f>'Benef com 13º'!M128</f>
        <v>72200.721025665582</v>
      </c>
      <c r="F25" s="233">
        <f>'Benef com 13º'!N128</f>
        <v>8283.2789743344165</v>
      </c>
      <c r="G25" s="61">
        <f t="shared" si="1"/>
        <v>80484</v>
      </c>
      <c r="I25" s="143">
        <f>'Benef com 13º'!A170</f>
        <v>9</v>
      </c>
      <c r="J25" s="238">
        <f>'Ben 90% E.R.S.E.'!J25</f>
        <v>6</v>
      </c>
      <c r="K25" s="106">
        <v>45017</v>
      </c>
      <c r="L25" s="155">
        <f>'Benef com 13º'!M170</f>
        <v>12689.430091211278</v>
      </c>
      <c r="M25" s="233">
        <f>'Benef com 13º'!N170</f>
        <v>8283.2789743344165</v>
      </c>
      <c r="N25" s="61">
        <f t="shared" si="3"/>
        <v>20972.709065545692</v>
      </c>
    </row>
    <row r="26" spans="2:14" ht="12.75" customHeight="1">
      <c r="B26" s="223">
        <f>'Benef com 13º'!A129</f>
        <v>50</v>
      </c>
      <c r="C26" s="223">
        <f t="shared" si="0"/>
        <v>6</v>
      </c>
      <c r="D26" s="222">
        <v>43770</v>
      </c>
      <c r="E26" s="225">
        <f>'Benef com 13º'!M129</f>
        <v>72200.721025665582</v>
      </c>
      <c r="F26" s="225">
        <f>'Benef com 13º'!N129</f>
        <v>8283.2789743344165</v>
      </c>
      <c r="G26" s="221">
        <f t="shared" si="1"/>
        <v>80484</v>
      </c>
      <c r="I26" s="237">
        <f>'Benef com 13º'!A171</f>
        <v>8</v>
      </c>
      <c r="J26" s="223">
        <f>'Ben 90% E.R.S.E.'!J26</f>
        <v>6</v>
      </c>
      <c r="K26" s="222">
        <v>45047</v>
      </c>
      <c r="L26" s="225">
        <f>'Benef com 13º'!M171</f>
        <v>11161.038676779106</v>
      </c>
      <c r="M26" s="225">
        <f>'Benef com 13º'!N171</f>
        <v>8283.2789743344165</v>
      </c>
      <c r="N26" s="221">
        <f t="shared" si="3"/>
        <v>19444.317651113524</v>
      </c>
    </row>
    <row r="27" spans="2:14" ht="12.75" customHeight="1">
      <c r="B27" s="238">
        <f>'Benef com 13º'!A130</f>
        <v>49</v>
      </c>
      <c r="C27" s="238">
        <f t="shared" si="0"/>
        <v>6</v>
      </c>
      <c r="D27" s="106">
        <v>43800</v>
      </c>
      <c r="E27" s="233">
        <f>'Benef com 13º'!M130</f>
        <v>72200.721025665582</v>
      </c>
      <c r="F27" s="233">
        <f>'Benef com 13º'!N130</f>
        <v>8283.2789743344165</v>
      </c>
      <c r="G27" s="61">
        <f t="shared" si="1"/>
        <v>80484</v>
      </c>
      <c r="I27" s="143">
        <f>'Benef com 13º'!A172</f>
        <v>7</v>
      </c>
      <c r="J27" s="238">
        <f>'Ben 90% E.R.S.E.'!J27</f>
        <v>6</v>
      </c>
      <c r="K27" s="106">
        <v>45078</v>
      </c>
      <c r="L27" s="155">
        <f>'Benef com 13º'!M172</f>
        <v>9635.6731072864204</v>
      </c>
      <c r="M27" s="233">
        <f>'Benef com 13º'!N172</f>
        <v>8283.2789743344165</v>
      </c>
      <c r="N27" s="61">
        <f t="shared" si="3"/>
        <v>17918.952081620839</v>
      </c>
    </row>
    <row r="28" spans="2:14" ht="12.75" customHeight="1">
      <c r="B28" s="223">
        <f>'Benef com 13º'!A131</f>
        <v>48</v>
      </c>
      <c r="C28" s="223">
        <f t="shared" si="0"/>
        <v>6</v>
      </c>
      <c r="D28" s="222">
        <v>43831</v>
      </c>
      <c r="E28" s="225">
        <f>'Benef com 13º'!M131</f>
        <v>72200.721025665582</v>
      </c>
      <c r="F28" s="225">
        <f>'Benef com 13º'!N131</f>
        <v>8283.2789743344165</v>
      </c>
      <c r="G28" s="221">
        <f t="shared" si="1"/>
        <v>80484</v>
      </c>
      <c r="I28" s="237">
        <f>'Benef com 13º'!A173</f>
        <v>6</v>
      </c>
      <c r="J28" s="223">
        <f>'Ben 90% E.R.S.E.'!J28</f>
        <v>6</v>
      </c>
      <c r="K28" s="222">
        <v>45108</v>
      </c>
      <c r="L28" s="225">
        <f>'Benef com 13º'!M173</f>
        <v>8124.0388375191051</v>
      </c>
      <c r="M28" s="225">
        <f>'Benef com 13º'!N173</f>
        <v>8283.2789743344165</v>
      </c>
      <c r="N28" s="221">
        <f t="shared" si="3"/>
        <v>16407.317811853522</v>
      </c>
    </row>
    <row r="29" spans="2:14" ht="12.75" customHeight="1">
      <c r="B29" s="238">
        <f>'Benef com 13º'!A132</f>
        <v>47</v>
      </c>
      <c r="C29" s="238">
        <f t="shared" si="0"/>
        <v>6</v>
      </c>
      <c r="D29" s="106">
        <v>43862</v>
      </c>
      <c r="E29" s="233">
        <f>'Benef com 13º'!M132</f>
        <v>71670.494951497865</v>
      </c>
      <c r="F29" s="233">
        <f>'Benef com 13º'!N132</f>
        <v>8283.2789743344165</v>
      </c>
      <c r="G29" s="61">
        <f t="shared" si="1"/>
        <v>79953.773925832284</v>
      </c>
      <c r="I29" s="143">
        <f>'Benef com 13º'!A174</f>
        <v>5</v>
      </c>
      <c r="J29" s="238">
        <f>'Ben 90% E.R.S.E.'!J29</f>
        <v>6</v>
      </c>
      <c r="K29" s="106">
        <v>45139</v>
      </c>
      <c r="L29" s="155">
        <f>'Benef com 13º'!M174</f>
        <v>6625.8223674834344</v>
      </c>
      <c r="M29" s="233">
        <f>'Benef com 13º'!N174</f>
        <v>8283.2789743344165</v>
      </c>
      <c r="N29" s="61">
        <f t="shared" si="3"/>
        <v>14909.101341817852</v>
      </c>
    </row>
    <row r="30" spans="2:14" ht="12.75" customHeight="1">
      <c r="B30" s="223">
        <f>'Benef com 13º'!A133</f>
        <v>46</v>
      </c>
      <c r="C30" s="223">
        <f t="shared" si="0"/>
        <v>6</v>
      </c>
      <c r="D30" s="222">
        <v>43891</v>
      </c>
      <c r="E30" s="225">
        <f>'Benef com 13º'!M133</f>
        <v>70089.562845008142</v>
      </c>
      <c r="F30" s="225">
        <f>'Benef com 13º'!N133</f>
        <v>8283.2789743344165</v>
      </c>
      <c r="G30" s="221">
        <f t="shared" si="1"/>
        <v>78372.84181934256</v>
      </c>
      <c r="I30" s="237">
        <f>'Benef com 13º'!A175</f>
        <v>4</v>
      </c>
      <c r="J30" s="223">
        <f>'Ben 90% E.R.S.E.'!J30</f>
        <v>6</v>
      </c>
      <c r="K30" s="222">
        <v>45170</v>
      </c>
      <c r="L30" s="225">
        <f>'Benef com 13º'!M175</f>
        <v>5141.4625971706309</v>
      </c>
      <c r="M30" s="225">
        <f>'Benef com 13º'!N175</f>
        <v>8283.2789743344165</v>
      </c>
      <c r="N30" s="221">
        <f t="shared" si="3"/>
        <v>13424.741571505048</v>
      </c>
    </row>
    <row r="31" spans="2:14" ht="12.75" customHeight="1">
      <c r="B31" s="238">
        <f>'Benef com 13º'!A134</f>
        <v>45</v>
      </c>
      <c r="C31" s="238">
        <f t="shared" si="0"/>
        <v>6</v>
      </c>
      <c r="D31" s="106">
        <v>43922</v>
      </c>
      <c r="E31" s="233">
        <f>'Benef com 13º'!M134</f>
        <v>68510.381925501788</v>
      </c>
      <c r="F31" s="233">
        <f>'Benef com 13º'!N134</f>
        <v>8283.2789743344165</v>
      </c>
      <c r="G31" s="61">
        <f t="shared" si="1"/>
        <v>76793.660899836206</v>
      </c>
      <c r="I31" s="143">
        <f>'Benef com 13º'!A176</f>
        <v>3</v>
      </c>
      <c r="J31" s="238">
        <f>'Ben 90% E.R.S.E.'!J31</f>
        <v>6</v>
      </c>
      <c r="K31" s="106">
        <v>45200</v>
      </c>
      <c r="L31" s="155">
        <f>'Benef com 13º'!M176</f>
        <v>3670.3325265932331</v>
      </c>
      <c r="M31" s="233">
        <f>'Benef com 13º'!N176</f>
        <v>8283.2789743344165</v>
      </c>
      <c r="N31" s="61">
        <f t="shared" si="3"/>
        <v>11953.611500927649</v>
      </c>
    </row>
    <row r="32" spans="2:14" ht="12.75" customHeight="1">
      <c r="B32" s="223">
        <f>'Benef com 13º'!A135</f>
        <v>44</v>
      </c>
      <c r="C32" s="223">
        <f t="shared" si="0"/>
        <v>6</v>
      </c>
      <c r="D32" s="222">
        <v>43952</v>
      </c>
      <c r="E32" s="225">
        <f>'Benef com 13º'!M135</f>
        <v>66931.273949548602</v>
      </c>
      <c r="F32" s="225">
        <f>'Benef com 13º'!N135</f>
        <v>8283.2789743344165</v>
      </c>
      <c r="G32" s="221">
        <f t="shared" si="1"/>
        <v>75214.55292388302</v>
      </c>
      <c r="I32" s="237">
        <f>'Benef com 13º'!A177</f>
        <v>2</v>
      </c>
      <c r="J32" s="223">
        <f>'Ben 90% E.R.S.E.'!J32</f>
        <v>6</v>
      </c>
      <c r="K32" s="222">
        <v>45231</v>
      </c>
      <c r="L32" s="225">
        <f>'Benef com 13º'!M177</f>
        <v>2211.5543557687974</v>
      </c>
      <c r="M32" s="225">
        <f>'Benef com 13º'!N177</f>
        <v>8283.2789743344165</v>
      </c>
      <c r="N32" s="221">
        <f t="shared" si="3"/>
        <v>10494.833330103214</v>
      </c>
    </row>
    <row r="33" spans="2:14" ht="12.75" customHeight="1">
      <c r="B33" s="238">
        <f>'Benef com 13º'!A136</f>
        <v>43</v>
      </c>
      <c r="C33" s="238">
        <f t="shared" si="0"/>
        <v>6</v>
      </c>
      <c r="D33" s="106">
        <v>43983</v>
      </c>
      <c r="E33" s="233">
        <f>'Benef com 13º'!M136</f>
        <v>65347.762816717885</v>
      </c>
      <c r="F33" s="233">
        <f>'Benef com 13º'!N136</f>
        <v>8283.2789743344165</v>
      </c>
      <c r="G33" s="61">
        <f t="shared" si="1"/>
        <v>73631.041791052296</v>
      </c>
      <c r="I33" s="143">
        <f>'Benef com 13º'!A178</f>
        <v>1</v>
      </c>
      <c r="J33" s="238">
        <f>'Ben 90% E.R.S.E.'!J33</f>
        <v>6</v>
      </c>
      <c r="K33" s="106">
        <v>45261</v>
      </c>
      <c r="L33" s="155">
        <f>'Benef com 13º'!M178</f>
        <v>776.35138447291467</v>
      </c>
      <c r="M33" s="233">
        <f>'Benef com 13º'!N178</f>
        <v>8283.2789743344165</v>
      </c>
      <c r="N33" s="61">
        <f t="shared" si="3"/>
        <v>9059.6303588073315</v>
      </c>
    </row>
    <row r="34" spans="2:14" ht="12.75" customHeight="1">
      <c r="B34" s="223">
        <f>'Benef com 13º'!A137</f>
        <v>42</v>
      </c>
      <c r="C34" s="223">
        <f t="shared" si="0"/>
        <v>6</v>
      </c>
      <c r="D34" s="222">
        <v>44013</v>
      </c>
      <c r="E34" s="225">
        <f>'Benef com 13º'!M137</f>
        <v>63760.06824761787</v>
      </c>
      <c r="F34" s="225">
        <f>'Benef com 13º'!N137</f>
        <v>8283.2789743344165</v>
      </c>
      <c r="G34" s="221">
        <f t="shared" si="1"/>
        <v>72043.347221952281</v>
      </c>
      <c r="I34" s="237">
        <f>'Benef com 13º'!A179</f>
        <v>0</v>
      </c>
      <c r="J34" s="223">
        <f>'Ben 90% E.R.S.E.'!J34</f>
        <v>6</v>
      </c>
      <c r="K34" s="222">
        <v>45292</v>
      </c>
      <c r="L34" s="225">
        <f>'Benef com 13º'!M182</f>
        <v>0</v>
      </c>
      <c r="M34" s="225">
        <f>'Benef com 13º'!N182</f>
        <v>7578.3062184338723</v>
      </c>
      <c r="N34" s="221">
        <f t="shared" si="3"/>
        <v>7578.3062184338723</v>
      </c>
    </row>
    <row r="35" spans="2:14" ht="12.75" customHeight="1">
      <c r="B35" s="143">
        <f>'Benef com 13º'!A138</f>
        <v>41</v>
      </c>
      <c r="C35" s="238">
        <f t="shared" si="0"/>
        <v>6</v>
      </c>
      <c r="D35" s="106">
        <v>44044</v>
      </c>
      <c r="E35" s="233">
        <f>'Benef com 13º'!M138</f>
        <v>62174.715204622291</v>
      </c>
      <c r="F35" s="233">
        <f>'Benef com 13º'!N138</f>
        <v>8283.2789743344165</v>
      </c>
      <c r="G35" s="155">
        <f t="shared" ref="G35:G45" si="4">SUM(E35:F35)</f>
        <v>70457.994178956709</v>
      </c>
      <c r="I35" s="143">
        <f>'Benef com 13º'!A180</f>
        <v>0</v>
      </c>
      <c r="J35" s="238">
        <f>'Ben 90% E.R.S.E.'!J35</f>
        <v>5</v>
      </c>
      <c r="K35" s="106">
        <v>45323</v>
      </c>
      <c r="L35" s="155">
        <f>'Benef com 13º'!M183</f>
        <v>0</v>
      </c>
      <c r="M35" s="233">
        <f>'Benef com 13º'!N183</f>
        <v>6174.8664965026665</v>
      </c>
      <c r="N35" s="61">
        <f t="shared" si="3"/>
        <v>6174.8664965026665</v>
      </c>
    </row>
    <row r="36" spans="2:14" ht="12.75" customHeight="1">
      <c r="B36" s="237">
        <f>'Benef com 13º'!A139</f>
        <v>40</v>
      </c>
      <c r="C36" s="223">
        <f t="shared" si="0"/>
        <v>6</v>
      </c>
      <c r="D36" s="222">
        <v>44075</v>
      </c>
      <c r="E36" s="225">
        <f>'Benef com 13º'!M139</f>
        <v>60593.235728058848</v>
      </c>
      <c r="F36" s="225">
        <f>'Benef com 13º'!N139</f>
        <v>8283.2789743344165</v>
      </c>
      <c r="G36" s="221">
        <f t="shared" si="4"/>
        <v>68876.514702393266</v>
      </c>
      <c r="I36" s="237">
        <f>'Benef com 13º'!A181</f>
        <v>0</v>
      </c>
      <c r="J36" s="223">
        <f>'Ben 90% E.R.S.E.'!J36</f>
        <v>4</v>
      </c>
      <c r="K36" s="222">
        <v>45352</v>
      </c>
      <c r="L36" s="225">
        <f>'Benef com 13º'!M184</f>
        <v>0</v>
      </c>
      <c r="M36" s="225">
        <f>'Benef com 13º'!N184</f>
        <v>4783.2981643340336</v>
      </c>
      <c r="N36" s="221">
        <f t="shared" si="3"/>
        <v>4783.2981643340336</v>
      </c>
    </row>
    <row r="37" spans="2:14" ht="12.75" customHeight="1">
      <c r="B37" s="143">
        <f>'Benef com 13º'!A140</f>
        <v>39</v>
      </c>
      <c r="C37" s="238">
        <f t="shared" si="0"/>
        <v>6</v>
      </c>
      <c r="D37" s="106">
        <v>44105</v>
      </c>
      <c r="E37" s="233">
        <f>'Benef com 13º'!M140</f>
        <v>59016.704934060079</v>
      </c>
      <c r="F37" s="233">
        <f>'Benef com 13º'!N140</f>
        <v>8283.2789743344165</v>
      </c>
      <c r="G37" s="61">
        <f t="shared" si="4"/>
        <v>67299.983908394497</v>
      </c>
      <c r="I37" s="143">
        <v>0</v>
      </c>
      <c r="J37" s="238">
        <f>'Ben 90% E.R.S.E.'!J37</f>
        <v>3</v>
      </c>
      <c r="K37" s="106">
        <v>45383</v>
      </c>
      <c r="L37" s="155">
        <f>'Benef com 13º'!M185</f>
        <v>0</v>
      </c>
      <c r="M37" s="233">
        <f>'Benef com 13º'!N185</f>
        <v>3402.6622419467535</v>
      </c>
      <c r="N37" s="61">
        <f t="shared" si="3"/>
        <v>3402.6622419467535</v>
      </c>
    </row>
    <row r="38" spans="2:14" ht="12.75" customHeight="1">
      <c r="B38" s="237">
        <f>'Benef com 13º'!A141</f>
        <v>38</v>
      </c>
      <c r="C38" s="223">
        <f t="shared" si="0"/>
        <v>6</v>
      </c>
      <c r="D38" s="222">
        <v>44136</v>
      </c>
      <c r="E38" s="225">
        <f>'Benef com 13º'!M141</f>
        <v>57450.210840210471</v>
      </c>
      <c r="F38" s="225">
        <f>'Benef com 13º'!N141</f>
        <v>8283.2789743344165</v>
      </c>
      <c r="G38" s="221">
        <f t="shared" si="4"/>
        <v>65733.489814544882</v>
      </c>
      <c r="I38" s="237">
        <v>0</v>
      </c>
      <c r="J38" s="223">
        <f>'Ben 90% E.R.S.E.'!J38</f>
        <v>2</v>
      </c>
      <c r="K38" s="222">
        <v>45413</v>
      </c>
      <c r="L38" s="225">
        <f>'Benef com 13º'!M186</f>
        <v>0</v>
      </c>
      <c r="M38" s="225">
        <f>'Benef com 13º'!N186</f>
        <v>2033.5623593287514</v>
      </c>
      <c r="N38" s="221">
        <f t="shared" si="3"/>
        <v>2033.5623593287514</v>
      </c>
    </row>
    <row r="39" spans="2:14" ht="12.75" customHeight="1">
      <c r="B39" s="143">
        <f>'Benef com 13º'!A142</f>
        <v>37</v>
      </c>
      <c r="C39" s="238">
        <f t="shared" si="0"/>
        <v>6</v>
      </c>
      <c r="D39" s="106">
        <v>44166</v>
      </c>
      <c r="E39" s="233">
        <f>'Benef com 13º'!M142</f>
        <v>55896.267687161409</v>
      </c>
      <c r="F39" s="233">
        <f>'Benef com 13º'!N142</f>
        <v>8283.2789743344165</v>
      </c>
      <c r="G39" s="61">
        <f t="shared" si="4"/>
        <v>64179.546661495828</v>
      </c>
      <c r="I39" s="143">
        <v>0</v>
      </c>
      <c r="J39" s="238">
        <f>'Ben 90% E.R.S.E.'!J39</f>
        <v>1</v>
      </c>
      <c r="K39" s="106">
        <v>45444</v>
      </c>
      <c r="L39" s="155">
        <f>'Benef com 13º'!M187</f>
        <v>0</v>
      </c>
      <c r="M39" s="233">
        <f>'Benef com 13º'!N187</f>
        <v>675.99851648002891</v>
      </c>
      <c r="N39" s="61">
        <f t="shared" si="3"/>
        <v>675.99851648002891</v>
      </c>
    </row>
    <row r="40" spans="2:14" ht="12.75" customHeight="1">
      <c r="B40" s="237">
        <f>'Benef com 13º'!A143</f>
        <v>36</v>
      </c>
      <c r="C40" s="223">
        <f t="shared" si="0"/>
        <v>6</v>
      </c>
      <c r="D40" s="222">
        <v>44197</v>
      </c>
      <c r="E40" s="225">
        <f>'Benef com 13º'!M143</f>
        <v>54329.977397346083</v>
      </c>
      <c r="F40" s="225">
        <f>'Benef com 13º'!N143</f>
        <v>8283.2789743344165</v>
      </c>
      <c r="G40" s="221">
        <f t="shared" si="4"/>
        <v>62613.256371680502</v>
      </c>
      <c r="I40" s="237">
        <v>0</v>
      </c>
      <c r="J40" s="223">
        <f>'Ben 90% E.R.S.E.'!J40</f>
        <v>0</v>
      </c>
      <c r="K40" s="222">
        <v>45474</v>
      </c>
      <c r="L40" s="225">
        <f>'Benef com 13º'!M188</f>
        <v>0</v>
      </c>
      <c r="M40" s="225">
        <f>'Benef com 13º'!N188</f>
        <v>0</v>
      </c>
      <c r="N40" s="221">
        <f t="shared" si="3"/>
        <v>0</v>
      </c>
    </row>
    <row r="41" spans="2:14" ht="12.75" customHeight="1">
      <c r="B41" s="143">
        <f>'Benef com 13º'!A144</f>
        <v>35</v>
      </c>
      <c r="C41" s="238">
        <f t="shared" si="0"/>
        <v>6</v>
      </c>
      <c r="D41" s="106">
        <v>44228</v>
      </c>
      <c r="E41" s="233">
        <f>'Benef com 13º'!M144</f>
        <v>52733.692637742184</v>
      </c>
      <c r="F41" s="233">
        <f>'Benef com 13º'!N144</f>
        <v>8283.2789743344165</v>
      </c>
      <c r="G41" s="61">
        <f t="shared" si="4"/>
        <v>61016.971612076602</v>
      </c>
      <c r="I41" s="143">
        <v>0</v>
      </c>
      <c r="J41" s="238">
        <f>'Ben 90% E.R.S.E.'!J41</f>
        <v>0</v>
      </c>
      <c r="K41" s="106">
        <v>45505</v>
      </c>
      <c r="L41" s="155">
        <f>'Benef com 13º'!M189</f>
        <v>0</v>
      </c>
      <c r="M41" s="233">
        <f>'Benef com 13º'!N189</f>
        <v>0</v>
      </c>
      <c r="N41" s="61">
        <f t="shared" si="3"/>
        <v>0</v>
      </c>
    </row>
    <row r="42" spans="2:14" ht="12.75" customHeight="1">
      <c r="B42" s="237">
        <f>'Benef com 13º'!A145</f>
        <v>34</v>
      </c>
      <c r="C42" s="223">
        <f t="shared" si="0"/>
        <v>6</v>
      </c>
      <c r="D42" s="222">
        <v>44256</v>
      </c>
      <c r="E42" s="225">
        <f>'Benef com 13º'!M145</f>
        <v>51146.690165811415</v>
      </c>
      <c r="F42" s="225">
        <f>'Benef com 13º'!N145</f>
        <v>8283.2789743344165</v>
      </c>
      <c r="G42" s="221">
        <f t="shared" si="4"/>
        <v>59429.969140145833</v>
      </c>
      <c r="I42" s="237">
        <v>0</v>
      </c>
      <c r="J42" s="223">
        <f>'Ben 90% E.R.S.E.'!J42</f>
        <v>0</v>
      </c>
      <c r="K42" s="222">
        <v>45536</v>
      </c>
      <c r="L42" s="225">
        <f>'Benef com 13º'!M190</f>
        <v>0</v>
      </c>
      <c r="M42" s="225">
        <f>'Benef com 13º'!N190</f>
        <v>0</v>
      </c>
      <c r="N42" s="221">
        <f t="shared" si="3"/>
        <v>0</v>
      </c>
    </row>
    <row r="43" spans="2:14" ht="12.75" customHeight="1">
      <c r="B43" s="143">
        <f>'Benef com 13º'!A146</f>
        <v>33</v>
      </c>
      <c r="C43" s="238">
        <f t="shared" si="0"/>
        <v>6</v>
      </c>
      <c r="D43" s="106">
        <v>44287</v>
      </c>
      <c r="E43" s="233">
        <f>'Benef com 13º'!M146</f>
        <v>49569.981298679035</v>
      </c>
      <c r="F43" s="233">
        <f>'Benef com 13º'!N146</f>
        <v>8283.2789743344165</v>
      </c>
      <c r="G43" s="61">
        <f t="shared" si="4"/>
        <v>57853.260273013453</v>
      </c>
      <c r="I43" s="143">
        <v>0</v>
      </c>
      <c r="J43" s="238">
        <f>'Ben 90% E.R.S.E.'!J43</f>
        <v>0</v>
      </c>
      <c r="K43" s="106">
        <v>45566</v>
      </c>
      <c r="L43" s="155">
        <f>'Benef com 13º'!M191</f>
        <v>0</v>
      </c>
      <c r="M43" s="233">
        <f>'Benef com 13º'!N191</f>
        <v>0</v>
      </c>
      <c r="N43" s="61">
        <f t="shared" si="3"/>
        <v>0</v>
      </c>
    </row>
    <row r="44" spans="2:14" ht="12.75" customHeight="1">
      <c r="B44" s="237">
        <f>'Benef com 13º'!A147</f>
        <v>32</v>
      </c>
      <c r="C44" s="223">
        <f t="shared" si="0"/>
        <v>6</v>
      </c>
      <c r="D44" s="222">
        <v>44317</v>
      </c>
      <c r="E44" s="225">
        <f>'Benef com 13º'!M147</f>
        <v>48004.38080445306</v>
      </c>
      <c r="F44" s="225">
        <f>'Benef com 13º'!N147</f>
        <v>8283.2789743344165</v>
      </c>
      <c r="G44" s="221">
        <f t="shared" si="4"/>
        <v>56287.659778787478</v>
      </c>
      <c r="I44" s="237">
        <v>0</v>
      </c>
      <c r="J44" s="223">
        <f>'Ben 90% E.R.S.E.'!J44</f>
        <v>0</v>
      </c>
      <c r="K44" s="222">
        <v>45597</v>
      </c>
      <c r="L44" s="225">
        <f>'Benef com 13º'!M192</f>
        <v>0</v>
      </c>
      <c r="M44" s="225">
        <f>'Benef com 13º'!N192</f>
        <v>0</v>
      </c>
      <c r="N44" s="221">
        <f t="shared" si="3"/>
        <v>0</v>
      </c>
    </row>
    <row r="45" spans="2:14" ht="12.75" customHeight="1">
      <c r="B45" s="143">
        <f>'Benef com 13º'!A148</f>
        <v>31</v>
      </c>
      <c r="C45" s="238">
        <f>J4</f>
        <v>6</v>
      </c>
      <c r="D45" s="106">
        <v>44348</v>
      </c>
      <c r="E45" s="233">
        <f>'Benef com 13º'!M148</f>
        <v>46446.289719519089</v>
      </c>
      <c r="F45" s="233">
        <f>'Benef com 13º'!N148</f>
        <v>8283.2789743344165</v>
      </c>
      <c r="G45" s="61">
        <f t="shared" si="4"/>
        <v>54729.568693853507</v>
      </c>
      <c r="I45" s="143">
        <v>0</v>
      </c>
      <c r="J45" s="238">
        <f>'Ben 90% E.R.S.E.'!J45</f>
        <v>0</v>
      </c>
      <c r="K45" s="106">
        <v>45627</v>
      </c>
      <c r="L45" s="155">
        <f>'Benef com 13º'!M193</f>
        <v>0</v>
      </c>
      <c r="M45" s="233">
        <f>'Benef com 13º'!N193</f>
        <v>0</v>
      </c>
      <c r="N45" s="61">
        <f t="shared" si="3"/>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463" priority="76" stopIfTrue="1" operator="notEqual">
      <formula>""</formula>
    </cfRule>
  </conditionalFormatting>
  <conditionalFormatting sqref="L5 L7 L9 L11 L13 L15 L17 L19 L21 L23 L25 L27 L29 L31 L33">
    <cfRule type="cellIs" dxfId="462" priority="75" stopIfTrue="1" operator="notEqual">
      <formula>""</formula>
    </cfRule>
  </conditionalFormatting>
  <conditionalFormatting sqref="L5 L7 L9 L11 L13 L15 L17 L19 L21 L23 L25 L27 L29 L31 L33">
    <cfRule type="cellIs" dxfId="461" priority="74" stopIfTrue="1" operator="notEqual">
      <formula>""</formula>
    </cfRule>
  </conditionalFormatting>
  <conditionalFormatting sqref="L5 L7 L9 L11 L13 L15 L17 L19 L21 L23 L25 L27 L29 L31 L33">
    <cfRule type="cellIs" dxfId="460" priority="72" stopIfTrue="1" operator="notEqual">
      <formula>""</formula>
    </cfRule>
  </conditionalFormatting>
  <conditionalFormatting sqref="D5 D41 D7 D9 D11 D13 D15 D17 D19 D21 D23 D25 D27 D29 D31 D33 D35 D37 D39 D43 D45 K5 K7 K9 K11 K13 K15 K17 K19 K21 K23 K25 K27 K29 K31 K33">
    <cfRule type="cellIs" dxfId="459" priority="73" stopIfTrue="1" operator="notEqual">
      <formula>""</formula>
    </cfRule>
  </conditionalFormatting>
  <conditionalFormatting sqref="N11 N13 N15 N17 N19 N21 N23">
    <cfRule type="cellIs" dxfId="458" priority="71" stopIfTrue="1" operator="notEqual">
      <formula>""</formula>
    </cfRule>
  </conditionalFormatting>
  <conditionalFormatting sqref="N11 N13 N15 N17 N19 N21 N23">
    <cfRule type="cellIs" dxfId="457" priority="70" stopIfTrue="1" operator="notEqual">
      <formula>""</formula>
    </cfRule>
  </conditionalFormatting>
  <conditionalFormatting sqref="N11 N13 N15 N17 N19 N21 N23">
    <cfRule type="cellIs" dxfId="456" priority="69" stopIfTrue="1" operator="notEqual">
      <formula>""</formula>
    </cfRule>
  </conditionalFormatting>
  <conditionalFormatting sqref="G4 G6 G8 G10 G12 G14 G16 G18 G20 G22 G24 G26 G28 G30 G32 G34 G36 G38 G40 G42 G44 N4 N6 N8 F35:F45 L4:M33">
    <cfRule type="cellIs" dxfId="455" priority="66" stopIfTrue="1" operator="equal">
      <formula>"Total"</formula>
    </cfRule>
  </conditionalFormatting>
  <conditionalFormatting sqref="F4:F34">
    <cfRule type="cellIs" dxfId="454" priority="68" stopIfTrue="1" operator="equal">
      <formula>"Total"</formula>
    </cfRule>
  </conditionalFormatting>
  <conditionalFormatting sqref="E4:E45">
    <cfRule type="cellIs" dxfId="453" priority="67" stopIfTrue="1" operator="equal">
      <formula>"Total"</formula>
    </cfRule>
  </conditionalFormatting>
  <conditionalFormatting sqref="N10">
    <cfRule type="cellIs" dxfId="452" priority="65" stopIfTrue="1" operator="equal">
      <formula>"Total"</formula>
    </cfRule>
  </conditionalFormatting>
  <conditionalFormatting sqref="N12 N14 N16 N18 N20">
    <cfRule type="cellIs" dxfId="451" priority="64" stopIfTrue="1" operator="equal">
      <formula>"Total"</formula>
    </cfRule>
  </conditionalFormatting>
  <conditionalFormatting sqref="N22">
    <cfRule type="cellIs" dxfId="450" priority="63" stopIfTrue="1" operator="equal">
      <formula>"Total"</formula>
    </cfRule>
  </conditionalFormatting>
  <conditionalFormatting sqref="N25">
    <cfRule type="cellIs" dxfId="449" priority="62" stopIfTrue="1" operator="notEqual">
      <formula>""</formula>
    </cfRule>
  </conditionalFormatting>
  <conditionalFormatting sqref="N25">
    <cfRule type="cellIs" dxfId="448" priority="61" stopIfTrue="1" operator="notEqual">
      <formula>""</formula>
    </cfRule>
  </conditionalFormatting>
  <conditionalFormatting sqref="N25">
    <cfRule type="cellIs" dxfId="447" priority="60" stopIfTrue="1" operator="notEqual">
      <formula>""</formula>
    </cfRule>
  </conditionalFormatting>
  <conditionalFormatting sqref="N24 N26">
    <cfRule type="cellIs" dxfId="446" priority="59" stopIfTrue="1" operator="equal">
      <formula>"Total"</formula>
    </cfRule>
  </conditionalFormatting>
  <conditionalFormatting sqref="N27">
    <cfRule type="cellIs" dxfId="445" priority="58" stopIfTrue="1" operator="notEqual">
      <formula>""</formula>
    </cfRule>
  </conditionalFormatting>
  <conditionalFormatting sqref="N27">
    <cfRule type="cellIs" dxfId="444" priority="57" stopIfTrue="1" operator="notEqual">
      <formula>""</formula>
    </cfRule>
  </conditionalFormatting>
  <conditionalFormatting sqref="N27">
    <cfRule type="cellIs" dxfId="443" priority="56" stopIfTrue="1" operator="notEqual">
      <formula>""</formula>
    </cfRule>
  </conditionalFormatting>
  <conditionalFormatting sqref="N28">
    <cfRule type="cellIs" dxfId="442" priority="55" stopIfTrue="1" operator="equal">
      <formula>"Total"</formula>
    </cfRule>
  </conditionalFormatting>
  <conditionalFormatting sqref="N29">
    <cfRule type="cellIs" dxfId="441" priority="54" stopIfTrue="1" operator="notEqual">
      <formula>""</formula>
    </cfRule>
  </conditionalFormatting>
  <conditionalFormatting sqref="N29">
    <cfRule type="cellIs" dxfId="440" priority="53" stopIfTrue="1" operator="notEqual">
      <formula>""</formula>
    </cfRule>
  </conditionalFormatting>
  <conditionalFormatting sqref="N29">
    <cfRule type="cellIs" dxfId="439" priority="52" stopIfTrue="1" operator="notEqual">
      <formula>""</formula>
    </cfRule>
  </conditionalFormatting>
  <conditionalFormatting sqref="N30 N32">
    <cfRule type="cellIs" dxfId="438" priority="51" stopIfTrue="1" operator="equal">
      <formula>"Total"</formula>
    </cfRule>
  </conditionalFormatting>
  <conditionalFormatting sqref="N31 N33">
    <cfRule type="cellIs" dxfId="437" priority="50" stopIfTrue="1" operator="notEqual">
      <formula>""</formula>
    </cfRule>
  </conditionalFormatting>
  <conditionalFormatting sqref="N31 N33">
    <cfRule type="cellIs" dxfId="436" priority="49" stopIfTrue="1" operator="notEqual">
      <formula>""</formula>
    </cfRule>
  </conditionalFormatting>
  <conditionalFormatting sqref="N31 N33">
    <cfRule type="cellIs" dxfId="435" priority="48" stopIfTrue="1" operator="notEqual">
      <formula>""</formula>
    </cfRule>
  </conditionalFormatting>
  <conditionalFormatting sqref="K35 K37 K39 K41 K43 K45">
    <cfRule type="cellIs" dxfId="434" priority="47" stopIfTrue="1" operator="notEqual">
      <formula>""</formula>
    </cfRule>
  </conditionalFormatting>
  <conditionalFormatting sqref="N35">
    <cfRule type="cellIs" dxfId="433" priority="46" stopIfTrue="1" operator="notEqual">
      <formula>""</formula>
    </cfRule>
  </conditionalFormatting>
  <conditionalFormatting sqref="N35">
    <cfRule type="cellIs" dxfId="432" priority="45" stopIfTrue="1" operator="notEqual">
      <formula>""</formula>
    </cfRule>
  </conditionalFormatting>
  <conditionalFormatting sqref="N35">
    <cfRule type="cellIs" dxfId="431" priority="44" stopIfTrue="1" operator="notEqual">
      <formula>""</formula>
    </cfRule>
  </conditionalFormatting>
  <conditionalFormatting sqref="M35">
    <cfRule type="cellIs" dxfId="430" priority="43" stopIfTrue="1" operator="equal">
      <formula>"Total"</formula>
    </cfRule>
  </conditionalFormatting>
  <conditionalFormatting sqref="N34">
    <cfRule type="cellIs" dxfId="429" priority="42" stopIfTrue="1" operator="equal">
      <formula>"Total"</formula>
    </cfRule>
  </conditionalFormatting>
  <conditionalFormatting sqref="M34">
    <cfRule type="cellIs" dxfId="428" priority="41" stopIfTrue="1" operator="equal">
      <formula>"Total"</formula>
    </cfRule>
  </conditionalFormatting>
  <conditionalFormatting sqref="N37">
    <cfRule type="cellIs" dxfId="427" priority="40" stopIfTrue="1" operator="notEqual">
      <formula>""</formula>
    </cfRule>
  </conditionalFormatting>
  <conditionalFormatting sqref="N37">
    <cfRule type="cellIs" dxfId="426" priority="39" stopIfTrue="1" operator="notEqual">
      <formula>""</formula>
    </cfRule>
  </conditionalFormatting>
  <conditionalFormatting sqref="N37">
    <cfRule type="cellIs" dxfId="425" priority="38" stopIfTrue="1" operator="notEqual">
      <formula>""</formula>
    </cfRule>
  </conditionalFormatting>
  <conditionalFormatting sqref="M37">
    <cfRule type="cellIs" dxfId="424" priority="37" stopIfTrue="1" operator="equal">
      <formula>"Total"</formula>
    </cfRule>
  </conditionalFormatting>
  <conditionalFormatting sqref="N36 N38">
    <cfRule type="cellIs" dxfId="423" priority="36" stopIfTrue="1" operator="equal">
      <formula>"Total"</formula>
    </cfRule>
  </conditionalFormatting>
  <conditionalFormatting sqref="M36 M38">
    <cfRule type="cellIs" dxfId="422" priority="35" stopIfTrue="1" operator="equal">
      <formula>"Total"</formula>
    </cfRule>
  </conditionalFormatting>
  <conditionalFormatting sqref="L38 L34 L36">
    <cfRule type="cellIs" dxfId="421" priority="34" stopIfTrue="1" operator="equal">
      <formula>"Total"</formula>
    </cfRule>
  </conditionalFormatting>
  <conditionalFormatting sqref="L39 L35 L37">
    <cfRule type="cellIs" dxfId="420" priority="33" stopIfTrue="1" operator="notEqual">
      <formula>""</formula>
    </cfRule>
  </conditionalFormatting>
  <conditionalFormatting sqref="L39 L35 L37">
    <cfRule type="cellIs" dxfId="419" priority="32" stopIfTrue="1" operator="notEqual">
      <formula>""</formula>
    </cfRule>
  </conditionalFormatting>
  <conditionalFormatting sqref="L39 L35 L37">
    <cfRule type="cellIs" dxfId="418" priority="31" stopIfTrue="1" operator="notEqual">
      <formula>""</formula>
    </cfRule>
  </conditionalFormatting>
  <conditionalFormatting sqref="L39 L35 L37">
    <cfRule type="cellIs" dxfId="417" priority="30" stopIfTrue="1" operator="notEqual">
      <formula>""</formula>
    </cfRule>
  </conditionalFormatting>
  <conditionalFormatting sqref="N39">
    <cfRule type="cellIs" dxfId="416" priority="29" stopIfTrue="1" operator="notEqual">
      <formula>""</formula>
    </cfRule>
  </conditionalFormatting>
  <conditionalFormatting sqref="N39">
    <cfRule type="cellIs" dxfId="415" priority="28" stopIfTrue="1" operator="notEqual">
      <formula>""</formula>
    </cfRule>
  </conditionalFormatting>
  <conditionalFormatting sqref="N39">
    <cfRule type="cellIs" dxfId="414" priority="27" stopIfTrue="1" operator="notEqual">
      <formula>""</formula>
    </cfRule>
  </conditionalFormatting>
  <conditionalFormatting sqref="M39">
    <cfRule type="cellIs" dxfId="413" priority="26" stopIfTrue="1" operator="equal">
      <formula>"Total"</formula>
    </cfRule>
  </conditionalFormatting>
  <conditionalFormatting sqref="L39 L35 L37">
    <cfRule type="cellIs" dxfId="412" priority="25" stopIfTrue="1" operator="equal">
      <formula>"Total"</formula>
    </cfRule>
  </conditionalFormatting>
  <conditionalFormatting sqref="N40">
    <cfRule type="cellIs" dxfId="411" priority="24" stopIfTrue="1" operator="equal">
      <formula>"Total"</formula>
    </cfRule>
  </conditionalFormatting>
  <conditionalFormatting sqref="M40">
    <cfRule type="cellIs" dxfId="410" priority="23" stopIfTrue="1" operator="equal">
      <formula>"Total"</formula>
    </cfRule>
  </conditionalFormatting>
  <conditionalFormatting sqref="L40">
    <cfRule type="cellIs" dxfId="409" priority="22" stopIfTrue="1" operator="equal">
      <formula>"Total"</formula>
    </cfRule>
  </conditionalFormatting>
  <conditionalFormatting sqref="L41">
    <cfRule type="cellIs" dxfId="408" priority="21" stopIfTrue="1" operator="notEqual">
      <formula>""</formula>
    </cfRule>
  </conditionalFormatting>
  <conditionalFormatting sqref="L41">
    <cfRule type="cellIs" dxfId="407" priority="20" stopIfTrue="1" operator="notEqual">
      <formula>""</formula>
    </cfRule>
  </conditionalFormatting>
  <conditionalFormatting sqref="L41">
    <cfRule type="cellIs" dxfId="406" priority="19" stopIfTrue="1" operator="notEqual">
      <formula>""</formula>
    </cfRule>
  </conditionalFormatting>
  <conditionalFormatting sqref="L41">
    <cfRule type="cellIs" dxfId="405" priority="18" stopIfTrue="1" operator="notEqual">
      <formula>""</formula>
    </cfRule>
  </conditionalFormatting>
  <conditionalFormatting sqref="N41">
    <cfRule type="cellIs" dxfId="404" priority="17" stopIfTrue="1" operator="notEqual">
      <formula>""</formula>
    </cfRule>
  </conditionalFormatting>
  <conditionalFormatting sqref="N41">
    <cfRule type="cellIs" dxfId="403" priority="16" stopIfTrue="1" operator="notEqual">
      <formula>""</formula>
    </cfRule>
  </conditionalFormatting>
  <conditionalFormatting sqref="N41">
    <cfRule type="cellIs" dxfId="402" priority="15" stopIfTrue="1" operator="notEqual">
      <formula>""</formula>
    </cfRule>
  </conditionalFormatting>
  <conditionalFormatting sqref="M41">
    <cfRule type="cellIs" dxfId="401" priority="14" stopIfTrue="1" operator="equal">
      <formula>"Total"</formula>
    </cfRule>
  </conditionalFormatting>
  <conditionalFormatting sqref="L41">
    <cfRule type="cellIs" dxfId="400" priority="13" stopIfTrue="1" operator="equal">
      <formula>"Total"</formula>
    </cfRule>
  </conditionalFormatting>
  <conditionalFormatting sqref="N42 N44">
    <cfRule type="cellIs" dxfId="399" priority="12" stopIfTrue="1" operator="equal">
      <formula>"Total"</formula>
    </cfRule>
  </conditionalFormatting>
  <conditionalFormatting sqref="M42 M44">
    <cfRule type="cellIs" dxfId="398" priority="11" stopIfTrue="1" operator="equal">
      <formula>"Total"</formula>
    </cfRule>
  </conditionalFormatting>
  <conditionalFormatting sqref="L42 L44">
    <cfRule type="cellIs" dxfId="397" priority="10" stopIfTrue="1" operator="equal">
      <formula>"Total"</formula>
    </cfRule>
  </conditionalFormatting>
  <conditionalFormatting sqref="L43 L45">
    <cfRule type="cellIs" dxfId="396" priority="9" stopIfTrue="1" operator="notEqual">
      <formula>""</formula>
    </cfRule>
  </conditionalFormatting>
  <conditionalFormatting sqref="L43 L45">
    <cfRule type="cellIs" dxfId="395" priority="8" stopIfTrue="1" operator="notEqual">
      <formula>""</formula>
    </cfRule>
  </conditionalFormatting>
  <conditionalFormatting sqref="L43 L45">
    <cfRule type="cellIs" dxfId="394" priority="7" stopIfTrue="1" operator="notEqual">
      <formula>""</formula>
    </cfRule>
  </conditionalFormatting>
  <conditionalFormatting sqref="L43 L45">
    <cfRule type="cellIs" dxfId="393" priority="6" stopIfTrue="1" operator="notEqual">
      <formula>""</formula>
    </cfRule>
  </conditionalFormatting>
  <conditionalFormatting sqref="N43 N45">
    <cfRule type="cellIs" dxfId="392" priority="5" stopIfTrue="1" operator="notEqual">
      <formula>""</formula>
    </cfRule>
  </conditionalFormatting>
  <conditionalFormatting sqref="N43 N45">
    <cfRule type="cellIs" dxfId="391" priority="4" stopIfTrue="1" operator="notEqual">
      <formula>""</formula>
    </cfRule>
  </conditionalFormatting>
  <conditionalFormatting sqref="N43 N45">
    <cfRule type="cellIs" dxfId="390" priority="3" stopIfTrue="1" operator="notEqual">
      <formula>""</formula>
    </cfRule>
  </conditionalFormatting>
  <conditionalFormatting sqref="M43 M45">
    <cfRule type="cellIs" dxfId="389" priority="2" stopIfTrue="1" operator="equal">
      <formula>"Total"</formula>
    </cfRule>
  </conditionalFormatting>
  <conditionalFormatting sqref="L43 L45">
    <cfRule type="cellIs" dxfId="388"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46"/>
  <sheetViews>
    <sheetView showGridLines="0" zoomScale="95" zoomScaleNormal="95" zoomScaleSheetLayoutView="110" workbookViewId="0">
      <pane ySplit="2" topLeftCell="A3" activePane="bottomLeft" state="frozen"/>
      <selection activeCell="P35" sqref="P35"/>
      <selection pane="bottomLeft" activeCell="A3" sqref="A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55</v>
      </c>
      <c r="D2" s="6"/>
      <c r="G2" s="231">
        <f>'base(indices)'!I2</f>
        <v>45474</v>
      </c>
      <c r="I2" s="301">
        <v>0.95</v>
      </c>
      <c r="K2" s="230"/>
    </row>
    <row r="3" spans="1:14" ht="26.25" customHeight="1" thickBot="1">
      <c r="A3" s="1"/>
      <c r="B3" s="229" t="s">
        <v>51</v>
      </c>
      <c r="C3" s="229" t="s">
        <v>52</v>
      </c>
      <c r="D3" s="228" t="s">
        <v>7</v>
      </c>
      <c r="E3" s="227" t="s">
        <v>53</v>
      </c>
      <c r="F3" s="227" t="s">
        <v>54</v>
      </c>
      <c r="G3" s="227" t="s">
        <v>19</v>
      </c>
      <c r="I3" s="229" t="s">
        <v>51</v>
      </c>
      <c r="J3" s="229" t="s">
        <v>52</v>
      </c>
      <c r="K3" s="228" t="s">
        <v>7</v>
      </c>
      <c r="L3" s="227" t="s">
        <v>53</v>
      </c>
      <c r="M3" s="227" t="s">
        <v>54</v>
      </c>
      <c r="N3" s="227" t="s">
        <v>19</v>
      </c>
    </row>
    <row r="4" spans="1:14" ht="12.75" customHeight="1">
      <c r="B4" s="223">
        <f>'BPC LOAS '!A47</f>
        <v>72</v>
      </c>
      <c r="C4" s="223">
        <f t="shared" ref="C4:C34" si="0">C5</f>
        <v>6</v>
      </c>
      <c r="D4" s="226">
        <v>43101</v>
      </c>
      <c r="E4" s="225">
        <f>'BPC LOAS '!M47</f>
        <v>72200.721025665582</v>
      </c>
      <c r="F4" s="221">
        <f>'BPC LOAS '!N47</f>
        <v>8283.2789743344165</v>
      </c>
      <c r="G4" s="234">
        <f t="shared" ref="G4:G34" si="1">SUM(E4:F4)</f>
        <v>80484</v>
      </c>
      <c r="I4" s="237">
        <f>'BPC LOAS '!A89</f>
        <v>30</v>
      </c>
      <c r="J4" s="223">
        <f>'LOAS 90% E.R.S.E.'!J4</f>
        <v>6</v>
      </c>
      <c r="K4" s="222">
        <v>44378</v>
      </c>
      <c r="L4" s="225">
        <f>'BPC LOAS '!M89</f>
        <v>41532.297182908063</v>
      </c>
      <c r="M4" s="221">
        <f>'BPC LOAS '!N89</f>
        <v>8283.2789743344165</v>
      </c>
      <c r="N4" s="221">
        <f t="shared" ref="N4:N10" si="2">SUM(L4:M4)</f>
        <v>49815.576157242482</v>
      </c>
    </row>
    <row r="5" spans="1:14" ht="12.75" customHeight="1">
      <c r="B5" s="238">
        <f>'BPC LOAS '!A48</f>
        <v>71</v>
      </c>
      <c r="C5" s="238">
        <f t="shared" si="0"/>
        <v>6</v>
      </c>
      <c r="D5" s="106">
        <v>43132</v>
      </c>
      <c r="E5" s="233">
        <f>'BPC LOAS '!M48</f>
        <v>72200.721025665582</v>
      </c>
      <c r="F5" s="224">
        <f>'BPC LOAS '!N48</f>
        <v>8283.2789743344165</v>
      </c>
      <c r="G5" s="235">
        <f t="shared" si="1"/>
        <v>80484</v>
      </c>
      <c r="I5" s="143">
        <f>'BPC LOAS '!A90</f>
        <v>29</v>
      </c>
      <c r="J5" s="238">
        <f>'LOAS 90% E.R.S.E.'!J5</f>
        <v>6</v>
      </c>
      <c r="K5" s="106">
        <v>44409</v>
      </c>
      <c r="L5" s="233">
        <f>'BPC LOAS '!M90</f>
        <v>40108.801094161034</v>
      </c>
      <c r="M5" s="224">
        <f>'BPC LOAS '!N90</f>
        <v>8283.2789743344165</v>
      </c>
      <c r="N5" s="61">
        <f t="shared" si="2"/>
        <v>48392.080068495452</v>
      </c>
    </row>
    <row r="6" spans="1:14" ht="12.75" customHeight="1">
      <c r="B6" s="223">
        <f>'BPC LOAS '!A49</f>
        <v>70</v>
      </c>
      <c r="C6" s="223">
        <f t="shared" si="0"/>
        <v>6</v>
      </c>
      <c r="D6" s="222">
        <v>43160</v>
      </c>
      <c r="E6" s="225">
        <f>'BPC LOAS '!M49</f>
        <v>72200.721025665582</v>
      </c>
      <c r="F6" s="221">
        <f>'BPC LOAS '!N49</f>
        <v>8283.2789743344165</v>
      </c>
      <c r="G6" s="236">
        <f t="shared" si="1"/>
        <v>80484</v>
      </c>
      <c r="I6" s="237">
        <f>'BPC LOAS '!A91</f>
        <v>28</v>
      </c>
      <c r="J6" s="223">
        <f>'LOAS 90% E.R.S.E.'!J6</f>
        <v>6</v>
      </c>
      <c r="K6" s="222">
        <v>44440</v>
      </c>
      <c r="L6" s="225">
        <f>'BPC LOAS '!M91</f>
        <v>38696.667363313187</v>
      </c>
      <c r="M6" s="221">
        <f>'BPC LOAS '!N91</f>
        <v>8283.2789743344165</v>
      </c>
      <c r="N6" s="221">
        <f t="shared" si="2"/>
        <v>46979.946337647605</v>
      </c>
    </row>
    <row r="7" spans="1:14" ht="12.75" customHeight="1">
      <c r="B7" s="238">
        <f>'BPC LOAS '!A50</f>
        <v>69</v>
      </c>
      <c r="C7" s="238">
        <f t="shared" si="0"/>
        <v>6</v>
      </c>
      <c r="D7" s="106">
        <v>43191</v>
      </c>
      <c r="E7" s="233">
        <f>'BPC LOAS '!M50</f>
        <v>72200.721025665582</v>
      </c>
      <c r="F7" s="224">
        <f>'BPC LOAS '!N50</f>
        <v>8283.2789743344165</v>
      </c>
      <c r="G7" s="235">
        <f t="shared" si="1"/>
        <v>80484</v>
      </c>
      <c r="I7" s="143">
        <f>'BPC LOAS '!A92</f>
        <v>27</v>
      </c>
      <c r="J7" s="238">
        <f>'LOAS 90% E.R.S.E.'!J7</f>
        <v>6</v>
      </c>
      <c r="K7" s="106">
        <v>44470</v>
      </c>
      <c r="L7" s="233">
        <f>'BPC LOAS '!M92</f>
        <v>37298.712959879907</v>
      </c>
      <c r="M7" s="224">
        <f>'BPC LOAS '!N92</f>
        <v>8283.2789743344165</v>
      </c>
      <c r="N7" s="61">
        <f t="shared" si="2"/>
        <v>45581.991934214326</v>
      </c>
    </row>
    <row r="8" spans="1:14" ht="12.75" customHeight="1">
      <c r="B8" s="223">
        <f>'BPC LOAS '!A51</f>
        <v>68</v>
      </c>
      <c r="C8" s="223">
        <f t="shared" si="0"/>
        <v>6</v>
      </c>
      <c r="D8" s="222">
        <v>43221</v>
      </c>
      <c r="E8" s="225">
        <f>'BPC LOAS '!M51</f>
        <v>72200.721025665582</v>
      </c>
      <c r="F8" s="221">
        <f>'BPC LOAS '!N51</f>
        <v>8283.2789743344165</v>
      </c>
      <c r="G8" s="236">
        <f t="shared" si="1"/>
        <v>80484</v>
      </c>
      <c r="I8" s="237">
        <f>'BPC LOAS '!A93</f>
        <v>26</v>
      </c>
      <c r="J8" s="223">
        <f>'LOAS 90% E.R.S.E.'!J8</f>
        <v>6</v>
      </c>
      <c r="K8" s="222">
        <v>44501</v>
      </c>
      <c r="L8" s="225">
        <f>'BPC LOAS '!M93</f>
        <v>35916.923026220386</v>
      </c>
      <c r="M8" s="221">
        <f>'BPC LOAS '!N93</f>
        <v>8283.2789743344165</v>
      </c>
      <c r="N8" s="221">
        <f t="shared" si="2"/>
        <v>44200.202000554804</v>
      </c>
    </row>
    <row r="9" spans="1:14" ht="12.75" customHeight="1">
      <c r="B9" s="238">
        <f>'BPC LOAS '!A52</f>
        <v>67</v>
      </c>
      <c r="C9" s="238">
        <f t="shared" si="0"/>
        <v>6</v>
      </c>
      <c r="D9" s="106">
        <v>43252</v>
      </c>
      <c r="E9" s="233">
        <f>'BPC LOAS '!M52</f>
        <v>72200.721025665582</v>
      </c>
      <c r="F9" s="224">
        <f>'BPC LOAS '!N52</f>
        <v>8283.2789743344165</v>
      </c>
      <c r="G9" s="235">
        <f t="shared" si="1"/>
        <v>80484</v>
      </c>
      <c r="I9" s="143">
        <f>'BPC LOAS '!A94</f>
        <v>25</v>
      </c>
      <c r="J9" s="238">
        <f>'LOAS 90% E.R.S.E.'!J9</f>
        <v>6</v>
      </c>
      <c r="K9" s="106">
        <v>44531</v>
      </c>
      <c r="L9" s="233">
        <f>'BPC LOAS '!M94</f>
        <v>34551.316718973663</v>
      </c>
      <c r="M9" s="224">
        <f>'BPC LOAS '!N94</f>
        <v>8283.2789743344165</v>
      </c>
      <c r="N9" s="142">
        <f t="shared" si="2"/>
        <v>42834.595693308082</v>
      </c>
    </row>
    <row r="10" spans="1:14" ht="12.75" customHeight="1">
      <c r="B10" s="223">
        <f>'BPC LOAS '!A53</f>
        <v>66</v>
      </c>
      <c r="C10" s="223">
        <f t="shared" si="0"/>
        <v>6</v>
      </c>
      <c r="D10" s="222">
        <v>43282</v>
      </c>
      <c r="E10" s="225">
        <f>'BPC LOAS '!M53</f>
        <v>72200.721025665582</v>
      </c>
      <c r="F10" s="221">
        <f>'BPC LOAS '!N53</f>
        <v>8283.2789743344165</v>
      </c>
      <c r="G10" s="236">
        <f t="shared" si="1"/>
        <v>80484</v>
      </c>
      <c r="I10" s="237">
        <f>'BPC LOAS '!A95</f>
        <v>24</v>
      </c>
      <c r="J10" s="223">
        <f>'LOAS 90% E.R.S.E.'!J10</f>
        <v>6</v>
      </c>
      <c r="K10" s="222">
        <v>44562</v>
      </c>
      <c r="L10" s="225">
        <f>'BPC LOAS '!M95</f>
        <v>33128.96819742064</v>
      </c>
      <c r="M10" s="221">
        <f>'BPC LOAS '!N95</f>
        <v>8283.2789743344165</v>
      </c>
      <c r="N10" s="221">
        <f t="shared" si="2"/>
        <v>41412.247171755058</v>
      </c>
    </row>
    <row r="11" spans="1:14" ht="12.75" customHeight="1">
      <c r="B11" s="238">
        <f>'BPC LOAS '!A54</f>
        <v>65</v>
      </c>
      <c r="C11" s="238">
        <f t="shared" si="0"/>
        <v>6</v>
      </c>
      <c r="D11" s="106">
        <v>43313</v>
      </c>
      <c r="E11" s="233">
        <f>'BPC LOAS '!M54</f>
        <v>72200.721025665582</v>
      </c>
      <c r="F11" s="224">
        <f>'BPC LOAS '!N54</f>
        <v>8283.2789743344165</v>
      </c>
      <c r="G11" s="235">
        <f t="shared" si="1"/>
        <v>80484</v>
      </c>
      <c r="I11" s="143">
        <f>'BPC LOAS '!A96</f>
        <v>23</v>
      </c>
      <c r="J11" s="238">
        <f>'LOAS 90% E.R.S.E.'!J11</f>
        <v>6</v>
      </c>
      <c r="K11" s="106">
        <v>44593</v>
      </c>
      <c r="L11" s="233">
        <f>'BPC LOAS '!M96</f>
        <v>31646.13773707725</v>
      </c>
      <c r="M11" s="224">
        <f>'BPC LOAS '!N96</f>
        <v>8283.2789743344165</v>
      </c>
      <c r="N11" s="142">
        <f t="shared" ref="N11:N45" si="3">SUM(L11:M11)</f>
        <v>39929.416711411664</v>
      </c>
    </row>
    <row r="12" spans="1:14" ht="12.75" customHeight="1">
      <c r="B12" s="223">
        <f>'BPC LOAS '!A55</f>
        <v>64</v>
      </c>
      <c r="C12" s="223">
        <f t="shared" si="0"/>
        <v>6</v>
      </c>
      <c r="D12" s="222">
        <v>43344</v>
      </c>
      <c r="E12" s="225">
        <f>'BPC LOAS '!M55</f>
        <v>72200.721025665582</v>
      </c>
      <c r="F12" s="221">
        <f>'BPC LOAS '!N55</f>
        <v>8283.2789743344165</v>
      </c>
      <c r="G12" s="236">
        <f t="shared" si="1"/>
        <v>80484</v>
      </c>
      <c r="I12" s="237">
        <f>'BPC LOAS '!A97</f>
        <v>22</v>
      </c>
      <c r="J12" s="223">
        <f>'LOAS 90% E.R.S.E.'!J12</f>
        <v>6</v>
      </c>
      <c r="K12" s="222">
        <v>44621</v>
      </c>
      <c r="L12" s="225">
        <f>'BPC LOAS '!M97</f>
        <v>30171.8852065623</v>
      </c>
      <c r="M12" s="221">
        <f>'BPC LOAS '!N97</f>
        <v>8283.2789743344165</v>
      </c>
      <c r="N12" s="221">
        <f t="shared" si="3"/>
        <v>38455.164180896718</v>
      </c>
    </row>
    <row r="13" spans="1:14" ht="12.75" customHeight="1">
      <c r="B13" s="238">
        <f>'BPC LOAS '!A56</f>
        <v>63</v>
      </c>
      <c r="C13" s="238">
        <f t="shared" si="0"/>
        <v>6</v>
      </c>
      <c r="D13" s="106">
        <v>43374</v>
      </c>
      <c r="E13" s="233">
        <f>'BPC LOAS '!M56</f>
        <v>72200.721025665582</v>
      </c>
      <c r="F13" s="224">
        <f>'BPC LOAS '!N56</f>
        <v>8283.2789743344165</v>
      </c>
      <c r="G13" s="235">
        <f t="shared" si="1"/>
        <v>80484</v>
      </c>
      <c r="I13" s="143">
        <f>'BPC LOAS '!A98</f>
        <v>21</v>
      </c>
      <c r="J13" s="238">
        <f>'LOAS 90% E.R.S.E.'!J13</f>
        <v>6</v>
      </c>
      <c r="K13" s="106">
        <v>44652</v>
      </c>
      <c r="L13" s="233">
        <f>'BPC LOAS '!M98</f>
        <v>28707.362005852763</v>
      </c>
      <c r="M13" s="224">
        <f>'BPC LOAS '!N98</f>
        <v>8283.2789743344165</v>
      </c>
      <c r="N13" s="142">
        <f t="shared" si="3"/>
        <v>36990.640980187178</v>
      </c>
    </row>
    <row r="14" spans="1:14" ht="12.75" customHeight="1">
      <c r="B14" s="223">
        <f>'BPC LOAS '!A57</f>
        <v>62</v>
      </c>
      <c r="C14" s="223">
        <f t="shared" si="0"/>
        <v>6</v>
      </c>
      <c r="D14" s="222">
        <v>43405</v>
      </c>
      <c r="E14" s="225">
        <f>'BPC LOAS '!M57</f>
        <v>72200.721025665582</v>
      </c>
      <c r="F14" s="221">
        <f>'BPC LOAS '!N57</f>
        <v>8283.2789743344165</v>
      </c>
      <c r="G14" s="236">
        <f t="shared" si="1"/>
        <v>80484</v>
      </c>
      <c r="I14" s="237">
        <f>'BPC LOAS '!A99</f>
        <v>20</v>
      </c>
      <c r="J14" s="223">
        <f>'LOAS 90% E.R.S.E.'!J14</f>
        <v>6</v>
      </c>
      <c r="K14" s="222">
        <v>44682</v>
      </c>
      <c r="L14" s="225">
        <f>'BPC LOAS '!M99</f>
        <v>27252.971124940581</v>
      </c>
      <c r="M14" s="221">
        <f>'BPC LOAS '!N99</f>
        <v>8283.2789743344165</v>
      </c>
      <c r="N14" s="221">
        <f t="shared" si="3"/>
        <v>35536.250099274999</v>
      </c>
    </row>
    <row r="15" spans="1:14" ht="12.75" customHeight="1">
      <c r="B15" s="238">
        <f>'BPC LOAS '!A58</f>
        <v>61</v>
      </c>
      <c r="C15" s="238">
        <f t="shared" si="0"/>
        <v>6</v>
      </c>
      <c r="D15" s="106">
        <v>43435</v>
      </c>
      <c r="E15" s="233">
        <f>'BPC LOAS '!M58</f>
        <v>72200.721025665582</v>
      </c>
      <c r="F15" s="224">
        <f>'BPC LOAS '!N58</f>
        <v>8283.2789743344165</v>
      </c>
      <c r="G15" s="235">
        <f t="shared" si="1"/>
        <v>80484</v>
      </c>
      <c r="I15" s="143">
        <f>'BPC LOAS '!A100</f>
        <v>19</v>
      </c>
      <c r="J15" s="238">
        <f>'LOAS 90% E.R.S.E.'!J15</f>
        <v>6</v>
      </c>
      <c r="K15" s="106">
        <v>44713</v>
      </c>
      <c r="L15" s="233">
        <f>'BPC LOAS '!M100</f>
        <v>25809.28826381424</v>
      </c>
      <c r="M15" s="224">
        <f>'BPC LOAS '!N100</f>
        <v>8283.2789743344165</v>
      </c>
      <c r="N15" s="142">
        <f t="shared" si="3"/>
        <v>34092.567238148658</v>
      </c>
    </row>
    <row r="16" spans="1:14" ht="12.75" customHeight="1">
      <c r="B16" s="223">
        <f>'BPC LOAS '!A59</f>
        <v>60</v>
      </c>
      <c r="C16" s="223">
        <f t="shared" si="0"/>
        <v>6</v>
      </c>
      <c r="D16" s="222">
        <v>43466</v>
      </c>
      <c r="E16" s="225">
        <f>'BPC LOAS '!M59</f>
        <v>72200.721025665582</v>
      </c>
      <c r="F16" s="221">
        <f>'BPC LOAS '!N59</f>
        <v>8283.2789743344165</v>
      </c>
      <c r="G16" s="236">
        <f t="shared" si="1"/>
        <v>80484</v>
      </c>
      <c r="I16" s="237">
        <f>'BPC LOAS '!A101</f>
        <v>18</v>
      </c>
      <c r="J16" s="223">
        <f>'LOAS 90% E.R.S.E.'!J16</f>
        <v>6</v>
      </c>
      <c r="K16" s="222">
        <v>44743</v>
      </c>
      <c r="L16" s="225">
        <f>'BPC LOAS '!M101</f>
        <v>24377.407252451863</v>
      </c>
      <c r="M16" s="221">
        <f>'BPC LOAS '!N101</f>
        <v>8283.2789743344165</v>
      </c>
      <c r="N16" s="221">
        <f t="shared" si="3"/>
        <v>32660.686226786282</v>
      </c>
    </row>
    <row r="17" spans="2:14" ht="12.75" customHeight="1">
      <c r="B17" s="238">
        <f>'BPC LOAS '!A60</f>
        <v>59</v>
      </c>
      <c r="C17" s="238">
        <f t="shared" si="0"/>
        <v>6</v>
      </c>
      <c r="D17" s="106">
        <v>43497</v>
      </c>
      <c r="E17" s="233">
        <f>'BPC LOAS '!M60</f>
        <v>72200.721025665582</v>
      </c>
      <c r="F17" s="224">
        <f>'BPC LOAS '!N60</f>
        <v>8283.2789743344165</v>
      </c>
      <c r="G17" s="235">
        <f t="shared" si="1"/>
        <v>80484</v>
      </c>
      <c r="I17" s="143">
        <f>'BPC LOAS '!A102</f>
        <v>17</v>
      </c>
      <c r="J17" s="238">
        <f>'LOAS 90% E.R.S.E.'!J17</f>
        <v>6</v>
      </c>
      <c r="K17" s="106">
        <v>44774</v>
      </c>
      <c r="L17" s="233">
        <f>'BPC LOAS '!M102</f>
        <v>22957.328090853447</v>
      </c>
      <c r="M17" s="224">
        <f>'BPC LOAS '!N102</f>
        <v>8283.2789743344165</v>
      </c>
      <c r="N17" s="142">
        <f t="shared" si="3"/>
        <v>31240.607065187862</v>
      </c>
    </row>
    <row r="18" spans="2:14" ht="12.75" customHeight="1">
      <c r="B18" s="223">
        <f>'BPC LOAS '!A61</f>
        <v>58</v>
      </c>
      <c r="C18" s="223">
        <f t="shared" si="0"/>
        <v>6</v>
      </c>
      <c r="D18" s="222">
        <v>43525</v>
      </c>
      <c r="E18" s="225">
        <f>'BPC LOAS '!M61</f>
        <v>72200.721025665582</v>
      </c>
      <c r="F18" s="221">
        <f>'BPC LOAS '!N61</f>
        <v>8283.2789743344165</v>
      </c>
      <c r="G18" s="236">
        <f t="shared" si="1"/>
        <v>80484</v>
      </c>
      <c r="I18" s="237">
        <f>'BPC LOAS '!A103</f>
        <v>16</v>
      </c>
      <c r="J18" s="223">
        <f>'LOAS 90% E.R.S.E.'!J18</f>
        <v>6</v>
      </c>
      <c r="K18" s="222">
        <v>44805</v>
      </c>
      <c r="L18" s="225">
        <f>'BPC LOAS '!M103</f>
        <v>21549.914329001724</v>
      </c>
      <c r="M18" s="221">
        <f>'BPC LOAS '!N103</f>
        <v>8283.2789743344165</v>
      </c>
      <c r="N18" s="221">
        <f t="shared" si="3"/>
        <v>29833.193303336142</v>
      </c>
    </row>
    <row r="19" spans="2:14" ht="12.75" customHeight="1">
      <c r="B19" s="238">
        <f>'BPC LOAS '!A62</f>
        <v>57</v>
      </c>
      <c r="C19" s="238">
        <f t="shared" si="0"/>
        <v>6</v>
      </c>
      <c r="D19" s="106">
        <v>43556</v>
      </c>
      <c r="E19" s="233">
        <f>'BPC LOAS '!M62</f>
        <v>72200.721025665582</v>
      </c>
      <c r="F19" s="224">
        <f>'BPC LOAS '!N62</f>
        <v>8283.2789743344165</v>
      </c>
      <c r="G19" s="235">
        <f t="shared" si="1"/>
        <v>80484</v>
      </c>
      <c r="I19" s="143">
        <f>'BPC LOAS '!A104</f>
        <v>15</v>
      </c>
      <c r="J19" s="238">
        <f>'LOAS 90% E.R.S.E.'!J19</f>
        <v>6</v>
      </c>
      <c r="K19" s="106">
        <v>44835</v>
      </c>
      <c r="L19" s="233">
        <f>'BPC LOAS '!M104</f>
        <v>20155.396246892087</v>
      </c>
      <c r="M19" s="224">
        <f>'BPC LOAS '!N104</f>
        <v>8283.2789743344165</v>
      </c>
      <c r="N19" s="142">
        <f t="shared" si="3"/>
        <v>28438.675221226506</v>
      </c>
    </row>
    <row r="20" spans="2:14" ht="12.75" customHeight="1">
      <c r="B20" s="223">
        <f>'BPC LOAS '!A63</f>
        <v>56</v>
      </c>
      <c r="C20" s="223">
        <f t="shared" si="0"/>
        <v>6</v>
      </c>
      <c r="D20" s="222">
        <v>43586</v>
      </c>
      <c r="E20" s="225">
        <f>'BPC LOAS '!M63</f>
        <v>72200.721025665582</v>
      </c>
      <c r="F20" s="221">
        <f>'BPC LOAS '!N63</f>
        <v>8283.2789743344165</v>
      </c>
      <c r="G20" s="236">
        <f t="shared" si="1"/>
        <v>80484</v>
      </c>
      <c r="I20" s="237">
        <f>'BPC LOAS '!A105</f>
        <v>14</v>
      </c>
      <c r="J20" s="223">
        <f>'LOAS 90% E.R.S.E.'!J20</f>
        <v>6</v>
      </c>
      <c r="K20" s="222">
        <v>44866</v>
      </c>
      <c r="L20" s="225">
        <f>'BPC LOAS '!M105</f>
        <v>18772.910294541805</v>
      </c>
      <c r="M20" s="221">
        <f>'BPC LOAS '!N105</f>
        <v>8283.2789743344165</v>
      </c>
      <c r="N20" s="221">
        <f t="shared" si="3"/>
        <v>27056.189268876224</v>
      </c>
    </row>
    <row r="21" spans="2:14" ht="12.75" customHeight="1">
      <c r="B21" s="238">
        <f>'BPC LOAS '!A64</f>
        <v>55</v>
      </c>
      <c r="C21" s="238">
        <f t="shared" si="0"/>
        <v>6</v>
      </c>
      <c r="D21" s="106">
        <v>43617</v>
      </c>
      <c r="E21" s="233">
        <f>'BPC LOAS '!M64</f>
        <v>72200.721025665582</v>
      </c>
      <c r="F21" s="224">
        <f>'BPC LOAS '!N64</f>
        <v>8283.2789743344165</v>
      </c>
      <c r="G21" s="235">
        <f t="shared" si="1"/>
        <v>80484</v>
      </c>
      <c r="I21" s="143">
        <f>'BPC LOAS '!A106</f>
        <v>13</v>
      </c>
      <c r="J21" s="238">
        <f>'LOAS 90% E.R.S.E.'!J21</f>
        <v>6</v>
      </c>
      <c r="K21" s="106">
        <v>44896</v>
      </c>
      <c r="L21" s="239">
        <f>'BPC LOAS '!M106</f>
        <v>17402.16862195664</v>
      </c>
      <c r="M21" s="224">
        <f>'BPC LOAS '!N106</f>
        <v>8283.2789743344165</v>
      </c>
      <c r="N21" s="61">
        <f t="shared" si="3"/>
        <v>25685.447596291058</v>
      </c>
    </row>
    <row r="22" spans="2:14" ht="12.75" customHeight="1">
      <c r="B22" s="223">
        <f>'BPC LOAS '!A65</f>
        <v>54</v>
      </c>
      <c r="C22" s="223">
        <f t="shared" si="0"/>
        <v>6</v>
      </c>
      <c r="D22" s="222">
        <v>43647</v>
      </c>
      <c r="E22" s="225">
        <f>'BPC LOAS '!M65</f>
        <v>72200.721025665582</v>
      </c>
      <c r="F22" s="221">
        <f>'BPC LOAS '!N65</f>
        <v>8283.2789743344165</v>
      </c>
      <c r="G22" s="236">
        <f t="shared" si="1"/>
        <v>80484</v>
      </c>
      <c r="I22" s="237">
        <f>'BPC LOAS '!A107</f>
        <v>12</v>
      </c>
      <c r="J22" s="223">
        <f>'LOAS 90% E.R.S.E.'!J22</f>
        <v>6</v>
      </c>
      <c r="K22" s="222">
        <v>44927</v>
      </c>
      <c r="L22" s="225">
        <f>'BPC LOAS '!M107</f>
        <v>15993.549880129016</v>
      </c>
      <c r="M22" s="221">
        <f>'BPC LOAS '!N107</f>
        <v>8283.2789743344165</v>
      </c>
      <c r="N22" s="221">
        <f t="shared" si="3"/>
        <v>24276.828854463434</v>
      </c>
    </row>
    <row r="23" spans="2:14" ht="12.75" customHeight="1">
      <c r="B23" s="238">
        <f>'BPC LOAS '!A66</f>
        <v>53</v>
      </c>
      <c r="C23" s="238">
        <f t="shared" si="0"/>
        <v>6</v>
      </c>
      <c r="D23" s="106">
        <v>43678</v>
      </c>
      <c r="E23" s="233">
        <f>'BPC LOAS '!M66</f>
        <v>72200.721025665582</v>
      </c>
      <c r="F23" s="224">
        <f>'BPC LOAS '!N66</f>
        <v>8283.2789743344165</v>
      </c>
      <c r="G23" s="235">
        <f t="shared" si="1"/>
        <v>80484</v>
      </c>
      <c r="I23" s="143">
        <f>'BPC LOAS '!A108</f>
        <v>11</v>
      </c>
      <c r="J23" s="238">
        <f>'LOAS 90% E.R.S.E.'!J23</f>
        <v>6</v>
      </c>
      <c r="K23" s="106">
        <v>44958</v>
      </c>
      <c r="L23" s="239">
        <f>'BPC LOAS '!M108</f>
        <v>14548.108569037842</v>
      </c>
      <c r="M23" s="224">
        <f>'BPC LOAS '!N108</f>
        <v>8283.2789743344165</v>
      </c>
      <c r="N23" s="61">
        <f t="shared" si="3"/>
        <v>22831.387543372257</v>
      </c>
    </row>
    <row r="24" spans="2:14" ht="12.75" customHeight="1">
      <c r="B24" s="223">
        <f>'BPC LOAS '!A67</f>
        <v>52</v>
      </c>
      <c r="C24" s="223">
        <f t="shared" si="0"/>
        <v>6</v>
      </c>
      <c r="D24" s="222">
        <v>43709</v>
      </c>
      <c r="E24" s="225">
        <f>'BPC LOAS '!M67</f>
        <v>72200.721025665582</v>
      </c>
      <c r="F24" s="221">
        <f>'BPC LOAS '!N67</f>
        <v>8283.2789743344165</v>
      </c>
      <c r="G24" s="236">
        <f t="shared" si="1"/>
        <v>80484</v>
      </c>
      <c r="I24" s="237">
        <f>'BPC LOAS '!A109</f>
        <v>10</v>
      </c>
      <c r="J24" s="223">
        <f>'LOAS 90% E.R.S.E.'!J24</f>
        <v>6</v>
      </c>
      <c r="K24" s="222">
        <v>44986</v>
      </c>
      <c r="L24" s="225">
        <f>'BPC LOAS '!M109</f>
        <v>13115.283637694341</v>
      </c>
      <c r="M24" s="221">
        <f>'BPC LOAS '!N109</f>
        <v>8283.2789743344165</v>
      </c>
      <c r="N24" s="221">
        <f t="shared" si="3"/>
        <v>21398.562612028756</v>
      </c>
    </row>
    <row r="25" spans="2:14" ht="12.75" customHeight="1">
      <c r="B25" s="238">
        <f>'BPC LOAS '!A68</f>
        <v>51</v>
      </c>
      <c r="C25" s="238">
        <f t="shared" si="0"/>
        <v>6</v>
      </c>
      <c r="D25" s="106">
        <v>43739</v>
      </c>
      <c r="E25" s="233">
        <f>'BPC LOAS '!M68</f>
        <v>72063.574904749592</v>
      </c>
      <c r="F25" s="224">
        <f>'BPC LOAS '!N68</f>
        <v>8283.2789743344165</v>
      </c>
      <c r="G25" s="235">
        <f t="shared" si="1"/>
        <v>80346.85387908401</v>
      </c>
      <c r="I25" s="143">
        <f>'BPC LOAS '!A110</f>
        <v>9</v>
      </c>
      <c r="J25" s="238">
        <f>'LOAS 90% E.R.S.E.'!J25</f>
        <v>6</v>
      </c>
      <c r="K25" s="106">
        <v>45017</v>
      </c>
      <c r="L25" s="239">
        <f>'BPC LOAS '!M110</f>
        <v>11695.384311092328</v>
      </c>
      <c r="M25" s="224">
        <f>'BPC LOAS '!N110</f>
        <v>8283.2789743344165</v>
      </c>
      <c r="N25" s="61">
        <f t="shared" si="3"/>
        <v>19978.663285426745</v>
      </c>
    </row>
    <row r="26" spans="2:14" ht="12.75" customHeight="1">
      <c r="B26" s="223">
        <f>'BPC LOAS '!A69</f>
        <v>50</v>
      </c>
      <c r="C26" s="223">
        <f t="shared" si="0"/>
        <v>6</v>
      </c>
      <c r="D26" s="222">
        <v>43770</v>
      </c>
      <c r="E26" s="225">
        <f>'BPC LOAS '!M69</f>
        <v>70639.478638303961</v>
      </c>
      <c r="F26" s="221">
        <f>'BPC LOAS '!N69</f>
        <v>8283.2789743344165</v>
      </c>
      <c r="G26" s="236">
        <f t="shared" si="1"/>
        <v>78922.757612638379</v>
      </c>
      <c r="I26" s="237">
        <f>'BPC LOAS '!A111</f>
        <v>8</v>
      </c>
      <c r="J26" s="223">
        <f>'LOAS 90% E.R.S.E.'!J26</f>
        <v>6</v>
      </c>
      <c r="K26" s="222">
        <v>45047</v>
      </c>
      <c r="L26" s="225">
        <f>'BPC LOAS '!M111</f>
        <v>10278.724294425529</v>
      </c>
      <c r="M26" s="221">
        <f>'BPC LOAS '!N111</f>
        <v>8283.2789743344165</v>
      </c>
      <c r="N26" s="221">
        <f t="shared" si="3"/>
        <v>18562.003268759945</v>
      </c>
    </row>
    <row r="27" spans="2:14" ht="12.75" customHeight="1">
      <c r="B27" s="238">
        <f>'BPC LOAS '!A70</f>
        <v>49</v>
      </c>
      <c r="C27" s="238">
        <f t="shared" si="0"/>
        <v>6</v>
      </c>
      <c r="D27" s="106">
        <v>43800</v>
      </c>
      <c r="E27" s="233">
        <f>'BPC LOAS '!M70</f>
        <v>69217.017948876863</v>
      </c>
      <c r="F27" s="224">
        <f>'BPC LOAS '!N70</f>
        <v>8283.2789743344165</v>
      </c>
      <c r="G27" s="235">
        <f t="shared" si="1"/>
        <v>77500.296923211281</v>
      </c>
      <c r="I27" s="143">
        <f>'BPC LOAS '!A112</f>
        <v>7</v>
      </c>
      <c r="J27" s="238">
        <f>'LOAS 90% E.R.S.E.'!J27</f>
        <v>6</v>
      </c>
      <c r="K27" s="106">
        <v>45078</v>
      </c>
      <c r="L27" s="239">
        <f>'BPC LOAS '!M112</f>
        <v>8865.0901226982151</v>
      </c>
      <c r="M27" s="224">
        <f>'BPC LOAS '!N112</f>
        <v>8283.2789743344165</v>
      </c>
      <c r="N27" s="61">
        <f t="shared" si="3"/>
        <v>17148.369097032632</v>
      </c>
    </row>
    <row r="28" spans="2:14" ht="12.75" customHeight="1">
      <c r="B28" s="223">
        <f>'BPC LOAS '!A71</f>
        <v>48</v>
      </c>
      <c r="C28" s="223">
        <f t="shared" si="0"/>
        <v>6</v>
      </c>
      <c r="D28" s="222">
        <v>43831</v>
      </c>
      <c r="E28" s="225">
        <f>'BPC LOAS '!M71</f>
        <v>67774.04239347906</v>
      </c>
      <c r="F28" s="221">
        <f>'BPC LOAS '!N71</f>
        <v>8283.2789743344165</v>
      </c>
      <c r="G28" s="236">
        <f t="shared" si="1"/>
        <v>76057.321367813478</v>
      </c>
      <c r="I28" s="237">
        <f>'BPC LOAS '!A113</f>
        <v>6</v>
      </c>
      <c r="J28" s="223">
        <f>'LOAS 90% E.R.S.E.'!J28</f>
        <v>6</v>
      </c>
      <c r="K28" s="222">
        <v>45108</v>
      </c>
      <c r="L28" s="225">
        <f>'BPC LOAS '!M113</f>
        <v>7465.1872506962718</v>
      </c>
      <c r="M28" s="221">
        <f>'BPC LOAS '!N113</f>
        <v>8283.2789743344165</v>
      </c>
      <c r="N28" s="221">
        <f t="shared" si="3"/>
        <v>15748.466225030688</v>
      </c>
    </row>
    <row r="29" spans="2:14" ht="12.75" customHeight="1">
      <c r="B29" s="238">
        <f>'BPC LOAS '!A72</f>
        <v>47</v>
      </c>
      <c r="C29" s="238">
        <f t="shared" si="0"/>
        <v>6</v>
      </c>
      <c r="D29" s="106">
        <v>43862</v>
      </c>
      <c r="E29" s="233">
        <f>'BPC LOAS '!M72</f>
        <v>66310.520487468952</v>
      </c>
      <c r="F29" s="224">
        <f>'BPC LOAS '!N72</f>
        <v>8283.2789743344165</v>
      </c>
      <c r="G29" s="235">
        <f t="shared" si="1"/>
        <v>74593.79946180337</v>
      </c>
      <c r="I29" s="143">
        <f>'BPC LOAS '!A114</f>
        <v>5</v>
      </c>
      <c r="J29" s="238">
        <f>'LOAS 90% E.R.S.E.'!J29</f>
        <v>6</v>
      </c>
      <c r="K29" s="106">
        <v>45139</v>
      </c>
      <c r="L29" s="239">
        <f>'BPC LOAS '!M114</f>
        <v>6078.7021784259732</v>
      </c>
      <c r="M29" s="224">
        <f>'BPC LOAS '!N114</f>
        <v>8283.2789743344165</v>
      </c>
      <c r="N29" s="61">
        <f t="shared" si="3"/>
        <v>14361.981152760389</v>
      </c>
    </row>
    <row r="30" spans="2:14" ht="12.75" customHeight="1">
      <c r="B30" s="223">
        <f>'BPC LOAS '!A73</f>
        <v>46</v>
      </c>
      <c r="C30" s="223">
        <f t="shared" si="0"/>
        <v>6</v>
      </c>
      <c r="D30" s="222">
        <v>43891</v>
      </c>
      <c r="E30" s="225">
        <f>'BPC LOAS '!M73</f>
        <v>64849.56740238145</v>
      </c>
      <c r="F30" s="221">
        <f>'BPC LOAS '!N73</f>
        <v>8283.2789743344165</v>
      </c>
      <c r="G30" s="236">
        <f t="shared" si="1"/>
        <v>73132.846376715868</v>
      </c>
      <c r="I30" s="237">
        <f>'BPC LOAS '!A115</f>
        <v>4</v>
      </c>
      <c r="J30" s="223">
        <f>'LOAS 90% E.R.S.E.'!J30</f>
        <v>6</v>
      </c>
      <c r="K30" s="222">
        <v>45170</v>
      </c>
      <c r="L30" s="225">
        <f>'BPC LOAS '!M115</f>
        <v>4706.073805878541</v>
      </c>
      <c r="M30" s="221">
        <f>'BPC LOAS '!N115</f>
        <v>8283.2789743344165</v>
      </c>
      <c r="N30" s="221">
        <f t="shared" si="3"/>
        <v>12989.352780212957</v>
      </c>
    </row>
    <row r="31" spans="2:14" ht="12.75" customHeight="1">
      <c r="B31" s="238">
        <f>'BPC LOAS '!A74</f>
        <v>45</v>
      </c>
      <c r="C31" s="238">
        <f t="shared" si="0"/>
        <v>6</v>
      </c>
      <c r="D31" s="106">
        <v>43922</v>
      </c>
      <c r="E31" s="233">
        <f>'BPC LOAS '!M74</f>
        <v>63390.365504277353</v>
      </c>
      <c r="F31" s="224">
        <f>'BPC LOAS '!N74</f>
        <v>8283.2789743344165</v>
      </c>
      <c r="G31" s="235">
        <f t="shared" si="1"/>
        <v>71673.644478611764</v>
      </c>
      <c r="I31" s="143">
        <f>'BPC LOAS '!A116</f>
        <v>3</v>
      </c>
      <c r="J31" s="238">
        <f>'LOAS 90% E.R.S.E.'!J31</f>
        <v>6</v>
      </c>
      <c r="K31" s="106">
        <v>45200</v>
      </c>
      <c r="L31" s="239">
        <f>'BPC LOAS '!M116</f>
        <v>3346.6751330665156</v>
      </c>
      <c r="M31" s="224">
        <f>'BPC LOAS '!N116</f>
        <v>8283.2789743344165</v>
      </c>
      <c r="N31" s="61">
        <f t="shared" si="3"/>
        <v>11629.954107400932</v>
      </c>
    </row>
    <row r="32" spans="2:14" ht="12.75" customHeight="1">
      <c r="B32" s="223">
        <f>'BPC LOAS '!A75</f>
        <v>44</v>
      </c>
      <c r="C32" s="223">
        <f t="shared" si="0"/>
        <v>6</v>
      </c>
      <c r="D32" s="222">
        <v>43952</v>
      </c>
      <c r="E32" s="225">
        <f>'BPC LOAS '!M75</f>
        <v>61931.236549726396</v>
      </c>
      <c r="F32" s="221">
        <f>'BPC LOAS '!N75</f>
        <v>8283.2789743344165</v>
      </c>
      <c r="G32" s="236">
        <f t="shared" si="1"/>
        <v>70214.515524060815</v>
      </c>
      <c r="I32" s="237">
        <f>'BPC LOAS '!A117</f>
        <v>2</v>
      </c>
      <c r="J32" s="223">
        <f>'LOAS 90% E.R.S.E.'!J32</f>
        <v>6</v>
      </c>
      <c r="K32" s="222">
        <v>45231</v>
      </c>
      <c r="L32" s="225">
        <f>'BPC LOAS '!M117</f>
        <v>1999.6283600074519</v>
      </c>
      <c r="M32" s="221">
        <f>'BPC LOAS '!N117</f>
        <v>8283.2789743344165</v>
      </c>
      <c r="N32" s="221">
        <f t="shared" si="3"/>
        <v>10282.907334341868</v>
      </c>
    </row>
    <row r="33" spans="2:14" ht="12.75" customHeight="1">
      <c r="B33" s="238">
        <f>'BPC LOAS '!A76</f>
        <v>43</v>
      </c>
      <c r="C33" s="238">
        <f t="shared" si="0"/>
        <v>6</v>
      </c>
      <c r="D33" s="106">
        <v>43983</v>
      </c>
      <c r="E33" s="233">
        <f>'BPC LOAS '!M76</f>
        <v>60467.704438297929</v>
      </c>
      <c r="F33" s="224">
        <f>'BPC LOAS '!N76</f>
        <v>8283.2789743344165</v>
      </c>
      <c r="G33" s="235">
        <f t="shared" si="1"/>
        <v>68750.98341263234</v>
      </c>
      <c r="I33" s="143">
        <f>'BPC LOAS '!A118</f>
        <v>1</v>
      </c>
      <c r="J33" s="238">
        <f>'LOAS 90% E.R.S.E.'!J33</f>
        <v>6</v>
      </c>
      <c r="K33" s="106">
        <v>45261</v>
      </c>
      <c r="L33" s="239">
        <f>'BPC LOAS '!M118</f>
        <v>664.61998670761977</v>
      </c>
      <c r="M33" s="224">
        <f>'BPC LOAS '!N118</f>
        <v>8283.2789743344165</v>
      </c>
      <c r="N33" s="61">
        <f t="shared" si="3"/>
        <v>8947.8989610420358</v>
      </c>
    </row>
    <row r="34" spans="2:14" ht="12.75" customHeight="1">
      <c r="B34" s="223">
        <f>'BPC LOAS '!A77</f>
        <v>42</v>
      </c>
      <c r="C34" s="223">
        <f t="shared" si="0"/>
        <v>6</v>
      </c>
      <c r="D34" s="222">
        <v>44013</v>
      </c>
      <c r="E34" s="225">
        <f>'BPC LOAS '!M77</f>
        <v>58999.988890600143</v>
      </c>
      <c r="F34" s="221">
        <f>'BPC LOAS '!N77</f>
        <v>8283.2789743344165</v>
      </c>
      <c r="G34" s="236">
        <f t="shared" si="1"/>
        <v>67283.267864934562</v>
      </c>
      <c r="I34" s="237">
        <v>0</v>
      </c>
      <c r="J34" s="223">
        <f>'LOAS 90% E.R.S.E.'!J34</f>
        <v>6</v>
      </c>
      <c r="K34" s="222">
        <v>45292</v>
      </c>
      <c r="L34" s="225">
        <f>'BPC LOAS '!M122</f>
        <v>0</v>
      </c>
      <c r="M34" s="221">
        <f>'BPC LOAS '!N122</f>
        <v>7578.3062184338723</v>
      </c>
      <c r="N34" s="221">
        <f t="shared" si="3"/>
        <v>7578.3062184338723</v>
      </c>
    </row>
    <row r="35" spans="2:14" ht="12.75" customHeight="1">
      <c r="B35" s="238">
        <f>'BPC LOAS '!A78</f>
        <v>41</v>
      </c>
      <c r="C35" s="238">
        <f t="shared" ref="C35:C44" si="4">C36</f>
        <v>6</v>
      </c>
      <c r="D35" s="106">
        <v>44044</v>
      </c>
      <c r="E35" s="233">
        <f>'BPC LOAS '!M78</f>
        <v>57534.614869006822</v>
      </c>
      <c r="F35" s="224">
        <f>'BPC LOAS '!N78</f>
        <v>8283.2789743344165</v>
      </c>
      <c r="G35" s="155">
        <f t="shared" ref="G35:G45" si="5">SUM(E35:F35)</f>
        <v>65817.89384334124</v>
      </c>
      <c r="I35" s="143">
        <v>0</v>
      </c>
      <c r="J35" s="238">
        <f>'LOAS 90% E.R.S.E.'!J35</f>
        <v>5</v>
      </c>
      <c r="K35" s="106">
        <v>45323</v>
      </c>
      <c r="L35" s="155">
        <f>'BPC LOAS '!M123</f>
        <v>0</v>
      </c>
      <c r="M35" s="224">
        <f>'BPC LOAS '!N123</f>
        <v>6174.8664965026665</v>
      </c>
      <c r="N35" s="61">
        <f t="shared" si="3"/>
        <v>6174.8664965026665</v>
      </c>
    </row>
    <row r="36" spans="2:14" ht="12.75" customHeight="1">
      <c r="B36" s="223">
        <f>'BPC LOAS '!A79</f>
        <v>40</v>
      </c>
      <c r="C36" s="223">
        <f t="shared" si="4"/>
        <v>6</v>
      </c>
      <c r="D36" s="222">
        <v>44075</v>
      </c>
      <c r="E36" s="225">
        <f>'BPC LOAS '!M79</f>
        <v>56073.114413845615</v>
      </c>
      <c r="F36" s="221">
        <f>'BPC LOAS '!N79</f>
        <v>8283.2789743344165</v>
      </c>
      <c r="G36" s="221">
        <f t="shared" si="5"/>
        <v>64356.393388180033</v>
      </c>
      <c r="I36" s="237">
        <v>0</v>
      </c>
      <c r="J36" s="223">
        <f>'LOAS 90% E.R.S.E.'!J36</f>
        <v>4</v>
      </c>
      <c r="K36" s="222">
        <v>45352</v>
      </c>
      <c r="L36" s="225">
        <f>'BPC LOAS '!M124</f>
        <v>0</v>
      </c>
      <c r="M36" s="221">
        <f>'BPC LOAS '!N124</f>
        <v>4783.2981643340336</v>
      </c>
      <c r="N36" s="221">
        <f t="shared" si="3"/>
        <v>4783.2981643340336</v>
      </c>
    </row>
    <row r="37" spans="2:14" ht="12.75" customHeight="1">
      <c r="B37" s="238">
        <f>'BPC LOAS '!A80</f>
        <v>39</v>
      </c>
      <c r="C37" s="238">
        <f t="shared" si="4"/>
        <v>6</v>
      </c>
      <c r="D37" s="106">
        <v>44105</v>
      </c>
      <c r="E37" s="233">
        <f>'BPC LOAS '!M80</f>
        <v>54616.562641249075</v>
      </c>
      <c r="F37" s="224">
        <f>'BPC LOAS '!N80</f>
        <v>8283.2789743344165</v>
      </c>
      <c r="G37" s="61">
        <f t="shared" si="5"/>
        <v>62899.841615583493</v>
      </c>
      <c r="I37" s="412">
        <v>0</v>
      </c>
      <c r="J37" s="238">
        <f>'LOAS 90% E.R.S.E.'!J37</f>
        <v>3</v>
      </c>
      <c r="K37" s="106">
        <v>45383</v>
      </c>
      <c r="L37" s="155">
        <f>'BPC LOAS '!M125</f>
        <v>0</v>
      </c>
      <c r="M37" s="224">
        <f>'BPC LOAS '!N125</f>
        <v>3402.6622419467535</v>
      </c>
      <c r="N37" s="61">
        <f t="shared" si="3"/>
        <v>3402.6622419467535</v>
      </c>
    </row>
    <row r="38" spans="2:14" ht="12.75" customHeight="1">
      <c r="B38" s="223">
        <f>'BPC LOAS '!A81</f>
        <v>38</v>
      </c>
      <c r="C38" s="223">
        <f t="shared" si="4"/>
        <v>6</v>
      </c>
      <c r="D38" s="222">
        <v>44136</v>
      </c>
      <c r="E38" s="225">
        <f>'BPC LOAS '!M81</f>
        <v>53170.04756880171</v>
      </c>
      <c r="F38" s="221">
        <f>'BPC LOAS '!N81</f>
        <v>8283.2789743344165</v>
      </c>
      <c r="G38" s="221">
        <f t="shared" si="5"/>
        <v>61453.326543136129</v>
      </c>
      <c r="I38" s="237">
        <v>0</v>
      </c>
      <c r="J38" s="223">
        <f>'LOAS 90% E.R.S.E.'!J38</f>
        <v>2</v>
      </c>
      <c r="K38" s="222">
        <v>45413</v>
      </c>
      <c r="L38" s="225">
        <f>'BPC LOAS '!M126</f>
        <v>0</v>
      </c>
      <c r="M38" s="221">
        <f>'BPC LOAS '!N126</f>
        <v>2033.5623593287514</v>
      </c>
      <c r="N38" s="221">
        <f t="shared" si="3"/>
        <v>2033.5623593287514</v>
      </c>
    </row>
    <row r="39" spans="2:14" ht="12.75" customHeight="1">
      <c r="B39" s="238">
        <f>'BPC LOAS '!A82</f>
        <v>37</v>
      </c>
      <c r="C39" s="238">
        <f t="shared" si="4"/>
        <v>6</v>
      </c>
      <c r="D39" s="106">
        <v>44166</v>
      </c>
      <c r="E39" s="233">
        <f>'BPC LOAS '!M82</f>
        <v>51736.083437154899</v>
      </c>
      <c r="F39" s="224">
        <f>'BPC LOAS '!N82</f>
        <v>8283.2789743344165</v>
      </c>
      <c r="G39" s="61">
        <f t="shared" si="5"/>
        <v>60019.362411489317</v>
      </c>
      <c r="I39" s="412">
        <v>0</v>
      </c>
      <c r="J39" s="238">
        <f>'LOAS 90% E.R.S.E.'!J39</f>
        <v>1</v>
      </c>
      <c r="K39" s="106">
        <v>45444</v>
      </c>
      <c r="L39" s="155">
        <f>'BPC LOAS '!M127</f>
        <v>0</v>
      </c>
      <c r="M39" s="224">
        <f>'BPC LOAS '!N127</f>
        <v>675.99851648002891</v>
      </c>
      <c r="N39" s="61">
        <f t="shared" si="3"/>
        <v>675.99851648002891</v>
      </c>
    </row>
    <row r="40" spans="2:14" ht="12.75" customHeight="1">
      <c r="B40" s="223">
        <f>'BPC LOAS '!A83</f>
        <v>36</v>
      </c>
      <c r="C40" s="223">
        <f t="shared" si="4"/>
        <v>6</v>
      </c>
      <c r="D40" s="222">
        <v>44197</v>
      </c>
      <c r="E40" s="225">
        <f>'BPC LOAS '!M83</f>
        <v>50278.203918381681</v>
      </c>
      <c r="F40" s="221">
        <f>'BPC LOAS '!N83</f>
        <v>8283.2789743344165</v>
      </c>
      <c r="G40" s="221">
        <f t="shared" si="5"/>
        <v>58561.4828927161</v>
      </c>
      <c r="I40" s="237">
        <v>0</v>
      </c>
      <c r="J40" s="223">
        <f>'LOAS 90% E.R.S.E.'!J40</f>
        <v>0</v>
      </c>
      <c r="K40" s="222">
        <v>45474</v>
      </c>
      <c r="L40" s="225">
        <f>'BPC LOAS '!M128</f>
        <v>0</v>
      </c>
      <c r="M40" s="221">
        <f>'BPC LOAS '!N128</f>
        <v>0</v>
      </c>
      <c r="N40" s="221">
        <f t="shared" si="3"/>
        <v>0</v>
      </c>
    </row>
    <row r="41" spans="2:14" ht="12.75" customHeight="1">
      <c r="B41" s="238">
        <f>'BPC LOAS '!A84</f>
        <v>35</v>
      </c>
      <c r="C41" s="238">
        <f t="shared" si="4"/>
        <v>6</v>
      </c>
      <c r="D41" s="106">
        <v>44228</v>
      </c>
      <c r="E41" s="233">
        <f>'BPC LOAS '!M84</f>
        <v>48796.38154558168</v>
      </c>
      <c r="F41" s="224">
        <f>'BPC LOAS '!N84</f>
        <v>8283.2789743344165</v>
      </c>
      <c r="G41" s="61">
        <f t="shared" si="5"/>
        <v>57079.660519916099</v>
      </c>
      <c r="I41" s="143">
        <v>0</v>
      </c>
      <c r="J41" s="238">
        <f>'LOAS 90% E.R.S.E.'!J41</f>
        <v>0</v>
      </c>
      <c r="K41" s="106">
        <v>45505</v>
      </c>
      <c r="L41" s="155">
        <f>'BPC LOAS '!M129</f>
        <v>0</v>
      </c>
      <c r="M41" s="224">
        <f>'BPC LOAS '!N129</f>
        <v>0</v>
      </c>
      <c r="N41" s="61">
        <f t="shared" si="3"/>
        <v>0</v>
      </c>
    </row>
    <row r="42" spans="2:14" ht="12.75" customHeight="1">
      <c r="B42" s="223">
        <f>'BPC LOAS '!A85</f>
        <v>34</v>
      </c>
      <c r="C42" s="223">
        <f t="shared" si="4"/>
        <v>6</v>
      </c>
      <c r="D42" s="222">
        <v>44256</v>
      </c>
      <c r="E42" s="225">
        <f>'BPC LOAS '!M85</f>
        <v>47323.841460454802</v>
      </c>
      <c r="F42" s="221">
        <f>'BPC LOAS '!N85</f>
        <v>8283.2789743344165</v>
      </c>
      <c r="G42" s="221">
        <f t="shared" si="5"/>
        <v>55607.12043478922</v>
      </c>
      <c r="I42" s="237">
        <v>0</v>
      </c>
      <c r="J42" s="223">
        <f>'LOAS 90% E.R.S.E.'!J42</f>
        <v>0</v>
      </c>
      <c r="K42" s="222">
        <v>45536</v>
      </c>
      <c r="L42" s="225">
        <f>'BPC LOAS '!M130</f>
        <v>0</v>
      </c>
      <c r="M42" s="221">
        <f>'BPC LOAS '!N130</f>
        <v>0</v>
      </c>
      <c r="N42" s="221">
        <f t="shared" si="3"/>
        <v>0</v>
      </c>
    </row>
    <row r="43" spans="2:14" ht="12.75" customHeight="1">
      <c r="B43" s="238">
        <f>'BPC LOAS '!A86</f>
        <v>33</v>
      </c>
      <c r="C43" s="238">
        <f t="shared" si="4"/>
        <v>6</v>
      </c>
      <c r="D43" s="106">
        <v>44287</v>
      </c>
      <c r="E43" s="233">
        <f>'BPC LOAS '!M86</f>
        <v>45861.59498012632</v>
      </c>
      <c r="F43" s="224">
        <f>'BPC LOAS '!N86</f>
        <v>8283.2789743344165</v>
      </c>
      <c r="G43" s="61">
        <f t="shared" si="5"/>
        <v>54144.873954460738</v>
      </c>
      <c r="I43" s="143">
        <v>0</v>
      </c>
      <c r="J43" s="238">
        <f>'LOAS 90% E.R.S.E.'!J43</f>
        <v>0</v>
      </c>
      <c r="K43" s="106">
        <v>45566</v>
      </c>
      <c r="L43" s="155">
        <f>'BPC LOAS '!M131</f>
        <v>0</v>
      </c>
      <c r="M43" s="224">
        <f>'BPC LOAS '!N131</f>
        <v>0</v>
      </c>
      <c r="N43" s="61">
        <f t="shared" si="3"/>
        <v>0</v>
      </c>
    </row>
    <row r="44" spans="2:14" ht="12.75" customHeight="1">
      <c r="B44" s="223">
        <f>'BPC LOAS '!A87</f>
        <v>32</v>
      </c>
      <c r="C44" s="223">
        <f t="shared" si="4"/>
        <v>6</v>
      </c>
      <c r="D44" s="222">
        <v>44317</v>
      </c>
      <c r="E44" s="225">
        <f>'BPC LOAS '!M87</f>
        <v>44410.456872704235</v>
      </c>
      <c r="F44" s="221">
        <f>'BPC LOAS '!N87</f>
        <v>8283.2789743344165</v>
      </c>
      <c r="G44" s="221">
        <f t="shared" si="5"/>
        <v>52693.735847038653</v>
      </c>
      <c r="I44" s="237">
        <v>0</v>
      </c>
      <c r="J44" s="223">
        <f>'LOAS 90% E.R.S.E.'!J44</f>
        <v>0</v>
      </c>
      <c r="K44" s="222">
        <v>45597</v>
      </c>
      <c r="L44" s="225">
        <f>'BPC LOAS '!M132</f>
        <v>0</v>
      </c>
      <c r="M44" s="221">
        <f>'BPC LOAS '!N132</f>
        <v>0</v>
      </c>
      <c r="N44" s="221">
        <f t="shared" si="3"/>
        <v>0</v>
      </c>
    </row>
    <row r="45" spans="2:14" ht="12.75" customHeight="1">
      <c r="B45" s="238">
        <f>'BPC LOAS '!A88</f>
        <v>31</v>
      </c>
      <c r="C45" s="238">
        <f>J4</f>
        <v>6</v>
      </c>
      <c r="D45" s="106">
        <v>44348</v>
      </c>
      <c r="E45" s="233">
        <f>'BPC LOAS '!M88</f>
        <v>42966.828174574155</v>
      </c>
      <c r="F45" s="224">
        <f>'BPC LOAS '!N88</f>
        <v>8283.2789743344165</v>
      </c>
      <c r="G45" s="61">
        <f t="shared" si="5"/>
        <v>51250.107148908573</v>
      </c>
      <c r="I45" s="143">
        <v>0</v>
      </c>
      <c r="J45" s="238">
        <f>'LOAS 90% E.R.S.E.'!J45</f>
        <v>0</v>
      </c>
      <c r="K45" s="106">
        <v>45627</v>
      </c>
      <c r="L45" s="155">
        <f>'BPC LOAS '!M133</f>
        <v>0</v>
      </c>
      <c r="M45" s="224">
        <f>'BPC LOAS '!N133</f>
        <v>0</v>
      </c>
      <c r="N45" s="61">
        <f t="shared" si="3"/>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387" priority="41" stopIfTrue="1" operator="notEqual">
      <formula>""</formula>
    </cfRule>
  </conditionalFormatting>
  <conditionalFormatting sqref="F5 E35:E45 L4:L34 L36 L38 L40 L42 L44 F7 F9 F11 F13 F15 F17 F19 F21 F23 F25 F27 F29 F31 F33 F35 F37 F39 F41 F43 F45">
    <cfRule type="cellIs" dxfId="386" priority="40" stopIfTrue="1" operator="equal">
      <formula>"Total"</formula>
    </cfRule>
  </conditionalFormatting>
  <conditionalFormatting sqref="G4 G6 G8 G10 G12 G14 G16 G18 G20 G22 G24 G26 G28 G30 G32 G34 G36 G38 G40 G42 G44 N4 N6 N8">
    <cfRule type="cellIs" dxfId="385" priority="37" stopIfTrue="1" operator="equal">
      <formula>"Total"</formula>
    </cfRule>
  </conditionalFormatting>
  <conditionalFormatting sqref="F4 F6 F8 F10 F12 F14 F16 F18 F20 F22 F24 F26 F28 F30 F32 F34 F36 F38 F40 F42 F44">
    <cfRule type="cellIs" dxfId="384" priority="39" stopIfTrue="1" operator="equal">
      <formula>"Total"</formula>
    </cfRule>
  </conditionalFormatting>
  <conditionalFormatting sqref="E4:E34">
    <cfRule type="cellIs" dxfId="383" priority="38" stopIfTrue="1" operator="equal">
      <formula>"Total"</formula>
    </cfRule>
  </conditionalFormatting>
  <conditionalFormatting sqref="N10 N12 N14 N16 N18 N20">
    <cfRule type="cellIs" dxfId="382" priority="36" stopIfTrue="1" operator="equal">
      <formula>"Total"</formula>
    </cfRule>
  </conditionalFormatting>
  <conditionalFormatting sqref="M5 M7 M9 M11 M13 M15 M17 M19 M21 M23 M25 M27 M29 M31 M33 M35 M37 M39 M41 M43 M45">
    <cfRule type="cellIs" dxfId="381" priority="35" stopIfTrue="1" operator="equal">
      <formula>"Total"</formula>
    </cfRule>
  </conditionalFormatting>
  <conditionalFormatting sqref="M4 M6 M8 M10 M12 M14 M16 M18 M20 M22 M24 M26 M28 M30 M32 M34 M36 M38 M40 M42 M44">
    <cfRule type="cellIs" dxfId="380" priority="34" stopIfTrue="1" operator="equal">
      <formula>"Total"</formula>
    </cfRule>
  </conditionalFormatting>
  <conditionalFormatting sqref="N22">
    <cfRule type="cellIs" dxfId="379" priority="33" stopIfTrue="1" operator="equal">
      <formula>"Total"</formula>
    </cfRule>
  </conditionalFormatting>
  <conditionalFormatting sqref="N23">
    <cfRule type="cellIs" dxfId="378" priority="32" stopIfTrue="1" operator="notEqual">
      <formula>""</formula>
    </cfRule>
  </conditionalFormatting>
  <conditionalFormatting sqref="N24 N26 N28">
    <cfRule type="cellIs" dxfId="377" priority="31" stopIfTrue="1" operator="equal">
      <formula>"Total"</formula>
    </cfRule>
  </conditionalFormatting>
  <conditionalFormatting sqref="N25 N27 N29">
    <cfRule type="cellIs" dxfId="376" priority="30" stopIfTrue="1" operator="notEqual">
      <formula>""</formula>
    </cfRule>
  </conditionalFormatting>
  <conditionalFormatting sqref="N30 N32">
    <cfRule type="cellIs" dxfId="375" priority="29" stopIfTrue="1" operator="equal">
      <formula>"Total"</formula>
    </cfRule>
  </conditionalFormatting>
  <conditionalFormatting sqref="N31 N33">
    <cfRule type="cellIs" dxfId="374" priority="28" stopIfTrue="1" operator="notEqual">
      <formula>""</formula>
    </cfRule>
  </conditionalFormatting>
  <conditionalFormatting sqref="D5 D7 D9 D11 D13 D15 D17 D19 D21 D23 D25 D27 D29 D31 D33 D35 D37 D39">
    <cfRule type="cellIs" dxfId="373" priority="27" stopIfTrue="1" operator="notEqual">
      <formula>""</formula>
    </cfRule>
  </conditionalFormatting>
  <conditionalFormatting sqref="D41 D43 D45 K5 K7 K9 K11 K13 K15 K17 K19 K21 K23 K25 K27 K29 K31 K33">
    <cfRule type="cellIs" dxfId="372" priority="26" stopIfTrue="1" operator="notEqual">
      <formula>""</formula>
    </cfRule>
  </conditionalFormatting>
  <conditionalFormatting sqref="K35 K37 K39 K41 K43 K45">
    <cfRule type="cellIs" dxfId="371" priority="25" stopIfTrue="1" operator="notEqual">
      <formula>""</formula>
    </cfRule>
  </conditionalFormatting>
  <conditionalFormatting sqref="N35">
    <cfRule type="cellIs" dxfId="370" priority="24" stopIfTrue="1" operator="notEqual">
      <formula>""</formula>
    </cfRule>
  </conditionalFormatting>
  <conditionalFormatting sqref="N35">
    <cfRule type="cellIs" dxfId="369" priority="23" stopIfTrue="1" operator="notEqual">
      <formula>""</formula>
    </cfRule>
  </conditionalFormatting>
  <conditionalFormatting sqref="N35">
    <cfRule type="cellIs" dxfId="368" priority="22" stopIfTrue="1" operator="notEqual">
      <formula>""</formula>
    </cfRule>
  </conditionalFormatting>
  <conditionalFormatting sqref="N34">
    <cfRule type="cellIs" dxfId="367" priority="21" stopIfTrue="1" operator="equal">
      <formula>"Total"</formula>
    </cfRule>
  </conditionalFormatting>
  <conditionalFormatting sqref="N37">
    <cfRule type="cellIs" dxfId="366" priority="20" stopIfTrue="1" operator="notEqual">
      <formula>""</formula>
    </cfRule>
  </conditionalFormatting>
  <conditionalFormatting sqref="N37">
    <cfRule type="cellIs" dxfId="365" priority="19" stopIfTrue="1" operator="notEqual">
      <formula>""</formula>
    </cfRule>
  </conditionalFormatting>
  <conditionalFormatting sqref="N37">
    <cfRule type="cellIs" dxfId="364" priority="18" stopIfTrue="1" operator="notEqual">
      <formula>""</formula>
    </cfRule>
  </conditionalFormatting>
  <conditionalFormatting sqref="N36 N38">
    <cfRule type="cellIs" dxfId="363" priority="17" stopIfTrue="1" operator="equal">
      <formula>"Total"</formula>
    </cfRule>
  </conditionalFormatting>
  <conditionalFormatting sqref="L35 L37 L39 L41 L43 L45">
    <cfRule type="cellIs" dxfId="362" priority="16" stopIfTrue="1" operator="notEqual">
      <formula>""</formula>
    </cfRule>
  </conditionalFormatting>
  <conditionalFormatting sqref="L35 L37 L39 L41 L43 L45">
    <cfRule type="cellIs" dxfId="361" priority="15" stopIfTrue="1" operator="notEqual">
      <formula>""</formula>
    </cfRule>
  </conditionalFormatting>
  <conditionalFormatting sqref="L35 L37 L39 L41 L43 L45">
    <cfRule type="cellIs" dxfId="360" priority="14" stopIfTrue="1" operator="notEqual">
      <formula>""</formula>
    </cfRule>
  </conditionalFormatting>
  <conditionalFormatting sqref="L35 L37 L39 L41 L43 L45">
    <cfRule type="cellIs" dxfId="359" priority="13" stopIfTrue="1" operator="notEqual">
      <formula>""</formula>
    </cfRule>
  </conditionalFormatting>
  <conditionalFormatting sqref="N39">
    <cfRule type="cellIs" dxfId="358" priority="12" stopIfTrue="1" operator="notEqual">
      <formula>""</formula>
    </cfRule>
  </conditionalFormatting>
  <conditionalFormatting sqref="N39">
    <cfRule type="cellIs" dxfId="357" priority="11" stopIfTrue="1" operator="notEqual">
      <formula>""</formula>
    </cfRule>
  </conditionalFormatting>
  <conditionalFormatting sqref="N39">
    <cfRule type="cellIs" dxfId="356" priority="10" stopIfTrue="1" operator="notEqual">
      <formula>""</formula>
    </cfRule>
  </conditionalFormatting>
  <conditionalFormatting sqref="L35 L37 L39 L41 L43 L45">
    <cfRule type="cellIs" dxfId="355" priority="9" stopIfTrue="1" operator="equal">
      <formula>"Total"</formula>
    </cfRule>
  </conditionalFormatting>
  <conditionalFormatting sqref="N40">
    <cfRule type="cellIs" dxfId="354" priority="8" stopIfTrue="1" operator="equal">
      <formula>"Total"</formula>
    </cfRule>
  </conditionalFormatting>
  <conditionalFormatting sqref="N41">
    <cfRule type="cellIs" dxfId="353" priority="7" stopIfTrue="1" operator="notEqual">
      <formula>""</formula>
    </cfRule>
  </conditionalFormatting>
  <conditionalFormatting sqref="N41">
    <cfRule type="cellIs" dxfId="352" priority="6" stopIfTrue="1" operator="notEqual">
      <formula>""</formula>
    </cfRule>
  </conditionalFormatting>
  <conditionalFormatting sqref="N41">
    <cfRule type="cellIs" dxfId="351" priority="5" stopIfTrue="1" operator="notEqual">
      <formula>""</formula>
    </cfRule>
  </conditionalFormatting>
  <conditionalFormatting sqref="N42 N44">
    <cfRule type="cellIs" dxfId="350" priority="4" stopIfTrue="1" operator="equal">
      <formula>"Total"</formula>
    </cfRule>
  </conditionalFormatting>
  <conditionalFormatting sqref="N43 N45">
    <cfRule type="cellIs" dxfId="349" priority="3" stopIfTrue="1" operator="notEqual">
      <formula>""</formula>
    </cfRule>
  </conditionalFormatting>
  <conditionalFormatting sqref="N43 N45">
    <cfRule type="cellIs" dxfId="348" priority="2" stopIfTrue="1" operator="notEqual">
      <formula>""</formula>
    </cfRule>
  </conditionalFormatting>
  <conditionalFormatting sqref="N43 N45">
    <cfRule type="cellIs" dxfId="347"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F4291-F3E7-4CCA-844C-BD7AD759959C}">
  <dimension ref="B1:N46"/>
  <sheetViews>
    <sheetView showGridLines="0" zoomScale="95" zoomScaleNormal="95" zoomScaleSheetLayoutView="110" workbookViewId="0">
      <pane ySplit="2" topLeftCell="A3" activePane="bottomLeft" state="frozen"/>
      <selection activeCell="I135" sqref="I135"/>
      <selection pane="bottomLeft" activeCell="N3" sqref="N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45474</v>
      </c>
      <c r="I2" s="301">
        <v>1</v>
      </c>
      <c r="K2" s="230"/>
    </row>
    <row r="3" spans="2:14" ht="26.25" customHeight="1" thickBot="1">
      <c r="B3" s="229" t="s">
        <v>51</v>
      </c>
      <c r="C3" s="229" t="s">
        <v>52</v>
      </c>
      <c r="D3" s="228" t="s">
        <v>7</v>
      </c>
      <c r="E3" s="227" t="s">
        <v>53</v>
      </c>
      <c r="F3" s="227" t="s">
        <v>54</v>
      </c>
      <c r="G3" s="227" t="s">
        <v>246</v>
      </c>
      <c r="I3" s="229" t="s">
        <v>51</v>
      </c>
      <c r="J3" s="229" t="s">
        <v>52</v>
      </c>
      <c r="K3" s="228" t="s">
        <v>7</v>
      </c>
      <c r="L3" s="227" t="s">
        <v>53</v>
      </c>
      <c r="M3" s="227" t="s">
        <v>54</v>
      </c>
      <c r="N3" s="227" t="s">
        <v>246</v>
      </c>
    </row>
    <row r="4" spans="2:14" ht="12.75" customHeight="1">
      <c r="B4" s="223">
        <f>'Benef com 13º'!A107</f>
        <v>72</v>
      </c>
      <c r="C4" s="223">
        <f t="shared" ref="C4:C44" si="0">C5</f>
        <v>6</v>
      </c>
      <c r="D4" s="226">
        <v>43101</v>
      </c>
      <c r="E4" s="225">
        <f>'Benef com 13º'!J107</f>
        <v>76000.758974384822</v>
      </c>
      <c r="F4" s="225">
        <f>'Benef com 13º'!K107</f>
        <v>8719.2410256151761</v>
      </c>
      <c r="G4" s="225">
        <f t="shared" ref="G4:G45" si="1">SUM(E4:F4)</f>
        <v>84720</v>
      </c>
      <c r="I4" s="237">
        <f>'Benef com 13º'!A149</f>
        <v>30</v>
      </c>
      <c r="J4" s="223">
        <f>'Ben 90% E.R.S.E.'!J4</f>
        <v>6</v>
      </c>
      <c r="K4" s="222">
        <v>44378</v>
      </c>
      <c r="L4" s="225">
        <f>'Benef com 13º'!J149</f>
        <v>47260.311937946426</v>
      </c>
      <c r="M4" s="225">
        <f>'Benef com 13º'!K149</f>
        <v>8719.2410256151761</v>
      </c>
      <c r="N4" s="221">
        <f t="shared" ref="N4:N45" si="2">SUM(L4:M4)</f>
        <v>55979.552963561604</v>
      </c>
    </row>
    <row r="5" spans="2:14" ht="12.75" customHeight="1">
      <c r="B5" s="238">
        <f>'Benef com 13º'!A108</f>
        <v>71</v>
      </c>
      <c r="C5" s="238">
        <f t="shared" si="0"/>
        <v>6</v>
      </c>
      <c r="D5" s="106">
        <v>43132</v>
      </c>
      <c r="E5" s="233">
        <f>'Benef com 13º'!J108</f>
        <v>76000.758974384822</v>
      </c>
      <c r="F5" s="233">
        <f>'Benef com 13º'!K108</f>
        <v>8719.2410256151761</v>
      </c>
      <c r="G5" s="61">
        <f t="shared" si="1"/>
        <v>84720</v>
      </c>
      <c r="I5" s="143">
        <f>'Benef com 13º'!A150</f>
        <v>29</v>
      </c>
      <c r="J5" s="238">
        <f>'Ben 90% E.R.S.E.'!J5</f>
        <v>6</v>
      </c>
      <c r="K5" s="106">
        <v>44409</v>
      </c>
      <c r="L5" s="155">
        <f>'Benef com 13º'!J150</f>
        <v>45641.408279471769</v>
      </c>
      <c r="M5" s="233">
        <f>'Benef com 13º'!K150</f>
        <v>8719.2410256151761</v>
      </c>
      <c r="N5" s="61">
        <f t="shared" si="2"/>
        <v>54360.649305086947</v>
      </c>
    </row>
    <row r="6" spans="2:14" ht="12.75" customHeight="1">
      <c r="B6" s="223">
        <f>'Benef com 13º'!A109</f>
        <v>70</v>
      </c>
      <c r="C6" s="223">
        <f t="shared" si="0"/>
        <v>6</v>
      </c>
      <c r="D6" s="222">
        <v>43160</v>
      </c>
      <c r="E6" s="225">
        <f>'Benef com 13º'!J109</f>
        <v>76000.758974384822</v>
      </c>
      <c r="F6" s="225">
        <f>'Benef com 13º'!K109</f>
        <v>8719.2410256151761</v>
      </c>
      <c r="G6" s="221">
        <f t="shared" si="1"/>
        <v>84720</v>
      </c>
      <c r="I6" s="237">
        <f>'Benef com 13º'!A151</f>
        <v>28</v>
      </c>
      <c r="J6" s="223">
        <f>'Ben 90% E.R.S.E.'!J6</f>
        <v>6</v>
      </c>
      <c r="K6" s="222">
        <v>44440</v>
      </c>
      <c r="L6" s="225">
        <f>'Benef com 13º'!J151</f>
        <v>44034.464997733099</v>
      </c>
      <c r="M6" s="225">
        <f>'Benef com 13º'!K151</f>
        <v>8719.2410256151761</v>
      </c>
      <c r="N6" s="221">
        <f t="shared" si="2"/>
        <v>52753.706023348277</v>
      </c>
    </row>
    <row r="7" spans="2:14" ht="12.75" customHeight="1">
      <c r="B7" s="238">
        <f>'Benef com 13º'!A110</f>
        <v>69</v>
      </c>
      <c r="C7" s="238">
        <f t="shared" si="0"/>
        <v>6</v>
      </c>
      <c r="D7" s="106">
        <v>43191</v>
      </c>
      <c r="E7" s="233">
        <f>'Benef com 13º'!J110</f>
        <v>76000.758974384822</v>
      </c>
      <c r="F7" s="233">
        <f>'Benef com 13º'!K110</f>
        <v>8719.2410256151761</v>
      </c>
      <c r="G7" s="61">
        <f t="shared" si="1"/>
        <v>84720</v>
      </c>
      <c r="I7" s="143">
        <f>'Benef com 13º'!A152</f>
        <v>27</v>
      </c>
      <c r="J7" s="238">
        <f>'Ben 90% E.R.S.E.'!J7</f>
        <v>6</v>
      </c>
      <c r="K7" s="106">
        <v>44470</v>
      </c>
      <c r="L7" s="155">
        <f>'Benef com 13º'!J152</f>
        <v>42442.447323799228</v>
      </c>
      <c r="M7" s="233">
        <f>'Benef com 13º'!K152</f>
        <v>8719.2410256151761</v>
      </c>
      <c r="N7" s="61">
        <f t="shared" si="2"/>
        <v>51161.688349414406</v>
      </c>
    </row>
    <row r="8" spans="2:14" ht="12.75" customHeight="1">
      <c r="B8" s="223">
        <f>'Benef com 13º'!A111</f>
        <v>68</v>
      </c>
      <c r="C8" s="223">
        <f t="shared" si="0"/>
        <v>6</v>
      </c>
      <c r="D8" s="222">
        <v>43221</v>
      </c>
      <c r="E8" s="225">
        <f>'Benef com 13º'!J111</f>
        <v>76000.758974384822</v>
      </c>
      <c r="F8" s="225">
        <f>'Benef com 13º'!K111</f>
        <v>8719.2410256151761</v>
      </c>
      <c r="G8" s="221">
        <f t="shared" si="1"/>
        <v>84720</v>
      </c>
      <c r="I8" s="237">
        <f>'Benef com 13º'!A153</f>
        <v>26</v>
      </c>
      <c r="J8" s="223">
        <f>'Ben 90% E.R.S.E.'!J8</f>
        <v>6</v>
      </c>
      <c r="K8" s="222">
        <v>44501</v>
      </c>
      <c r="L8" s="225">
        <f>'Benef com 13º'!J153</f>
        <v>40867.444881206167</v>
      </c>
      <c r="M8" s="225">
        <f>'Benef com 13º'!K153</f>
        <v>8719.2410256151761</v>
      </c>
      <c r="N8" s="221">
        <f t="shared" si="2"/>
        <v>49586.685906821345</v>
      </c>
    </row>
    <row r="9" spans="2:14" ht="12.75" customHeight="1">
      <c r="B9" s="238">
        <f>'Benef com 13º'!A112</f>
        <v>67</v>
      </c>
      <c r="C9" s="238">
        <f t="shared" si="0"/>
        <v>6</v>
      </c>
      <c r="D9" s="106">
        <v>43252</v>
      </c>
      <c r="E9" s="233">
        <f>'Benef com 13º'!J112</f>
        <v>76000.758974384822</v>
      </c>
      <c r="F9" s="233">
        <f>'Benef com 13º'!K112</f>
        <v>8719.2410256151761</v>
      </c>
      <c r="G9" s="61">
        <f t="shared" si="1"/>
        <v>84720</v>
      </c>
      <c r="I9" s="143">
        <f>'Benef com 13º'!A154</f>
        <v>25</v>
      </c>
      <c r="J9" s="238">
        <f>'Ben 90% E.R.S.E.'!J9</f>
        <v>6</v>
      </c>
      <c r="K9" s="106">
        <v>44531</v>
      </c>
      <c r="L9" s="155">
        <f>'Benef com 13º'!J154</f>
        <v>39309.477834837089</v>
      </c>
      <c r="M9" s="233">
        <f>'Benef com 13º'!K154</f>
        <v>8719.2410256151761</v>
      </c>
      <c r="N9" s="142">
        <f t="shared" si="2"/>
        <v>48028.718860452267</v>
      </c>
    </row>
    <row r="10" spans="2:14" ht="12.75" customHeight="1">
      <c r="B10" s="223">
        <f>'Benef com 13º'!A113</f>
        <v>66</v>
      </c>
      <c r="C10" s="223">
        <f t="shared" si="0"/>
        <v>6</v>
      </c>
      <c r="D10" s="222">
        <v>43282</v>
      </c>
      <c r="E10" s="225">
        <f>'Benef com 13º'!J113</f>
        <v>76000.758974384822</v>
      </c>
      <c r="F10" s="225">
        <f>'Benef com 13º'!K113</f>
        <v>8719.2410256151761</v>
      </c>
      <c r="G10" s="221">
        <f t="shared" si="1"/>
        <v>84720</v>
      </c>
      <c r="I10" s="237">
        <f>'Benef com 13º'!A155</f>
        <v>24</v>
      </c>
      <c r="J10" s="223">
        <f>'Ben 90% E.R.S.E.'!J10</f>
        <v>6</v>
      </c>
      <c r="K10" s="222">
        <v>44562</v>
      </c>
      <c r="L10" s="225">
        <f>'Benef com 13º'!J155</f>
        <v>37708.502845829811</v>
      </c>
      <c r="M10" s="225">
        <f>'Benef com 13º'!K155</f>
        <v>8719.2410256151761</v>
      </c>
      <c r="N10" s="221">
        <f t="shared" si="2"/>
        <v>46427.743871444989</v>
      </c>
    </row>
    <row r="11" spans="2:14" ht="12.75" customHeight="1">
      <c r="B11" s="238">
        <f>'Benef com 13º'!A114</f>
        <v>65</v>
      </c>
      <c r="C11" s="238">
        <f t="shared" si="0"/>
        <v>6</v>
      </c>
      <c r="D11" s="106">
        <v>43313</v>
      </c>
      <c r="E11" s="233">
        <f>'Benef com 13º'!J114</f>
        <v>76000.758974384822</v>
      </c>
      <c r="F11" s="233">
        <f>'Benef com 13º'!K114</f>
        <v>8719.2410256151761</v>
      </c>
      <c r="G11" s="61">
        <f t="shared" si="1"/>
        <v>84720</v>
      </c>
      <c r="I11" s="143">
        <f>'Benef com 13º'!A156</f>
        <v>23</v>
      </c>
      <c r="J11" s="238">
        <f>'Ben 90% E.R.S.E.'!J11</f>
        <v>6</v>
      </c>
      <c r="K11" s="106">
        <v>44593</v>
      </c>
      <c r="L11" s="155">
        <f>'Benef com 13º'!J156</f>
        <v>36026.873079462406</v>
      </c>
      <c r="M11" s="233">
        <f>'Benef com 13º'!K156</f>
        <v>8719.2410256151761</v>
      </c>
      <c r="N11" s="61">
        <f t="shared" si="2"/>
        <v>44746.114105077584</v>
      </c>
    </row>
    <row r="12" spans="2:14" ht="12.75" customHeight="1">
      <c r="B12" s="223">
        <f>'Benef com 13º'!A115</f>
        <v>64</v>
      </c>
      <c r="C12" s="223">
        <f t="shared" si="0"/>
        <v>6</v>
      </c>
      <c r="D12" s="222">
        <v>43344</v>
      </c>
      <c r="E12" s="225">
        <f>'Benef com 13º'!J115</f>
        <v>76000.758974384822</v>
      </c>
      <c r="F12" s="225">
        <f>'Benef com 13º'!K115</f>
        <v>8719.2410256151761</v>
      </c>
      <c r="G12" s="221">
        <f t="shared" si="1"/>
        <v>84720</v>
      </c>
      <c r="I12" s="237">
        <f>'Benef com 13º'!A157</f>
        <v>22</v>
      </c>
      <c r="J12" s="223">
        <f>'Ben 90% E.R.S.E.'!J12</f>
        <v>6</v>
      </c>
      <c r="K12" s="222">
        <v>44621</v>
      </c>
      <c r="L12" s="225">
        <f>'Benef com 13º'!J157</f>
        <v>34354.272712914411</v>
      </c>
      <c r="M12" s="225">
        <f>'Benef com 13º'!K157</f>
        <v>8719.2410256151761</v>
      </c>
      <c r="N12" s="221">
        <f t="shared" si="2"/>
        <v>43073.513738529589</v>
      </c>
    </row>
    <row r="13" spans="2:14" ht="12.75" customHeight="1">
      <c r="B13" s="238">
        <f>'Benef com 13º'!A116</f>
        <v>63</v>
      </c>
      <c r="C13" s="238">
        <f t="shared" si="0"/>
        <v>6</v>
      </c>
      <c r="D13" s="106">
        <v>43374</v>
      </c>
      <c r="E13" s="233">
        <f>'Benef com 13º'!J116</f>
        <v>76000.758974384822</v>
      </c>
      <c r="F13" s="233">
        <f>'Benef com 13º'!K116</f>
        <v>8719.2410256151761</v>
      </c>
      <c r="G13" s="61">
        <f t="shared" si="1"/>
        <v>84720</v>
      </c>
      <c r="I13" s="143">
        <f>'Benef com 13º'!A158</f>
        <v>21</v>
      </c>
      <c r="J13" s="238">
        <f>'Ben 90% E.R.S.E.'!J13</f>
        <v>6</v>
      </c>
      <c r="K13" s="106">
        <v>44652</v>
      </c>
      <c r="L13" s="155">
        <f>'Benef com 13º'!J158</f>
        <v>32691.91374616159</v>
      </c>
      <c r="M13" s="233">
        <f>'Benef com 13º'!K158</f>
        <v>8719.2410256151761</v>
      </c>
      <c r="N13" s="61">
        <f t="shared" si="2"/>
        <v>41411.154771776768</v>
      </c>
    </row>
    <row r="14" spans="2:14" ht="12.75" customHeight="1">
      <c r="B14" s="223">
        <f>'Benef com 13º'!A117</f>
        <v>62</v>
      </c>
      <c r="C14" s="223">
        <f t="shared" si="0"/>
        <v>6</v>
      </c>
      <c r="D14" s="222">
        <v>43405</v>
      </c>
      <c r="E14" s="225">
        <f>'Benef com 13º'!J117</f>
        <v>76000.758974384822</v>
      </c>
      <c r="F14" s="225">
        <f>'Benef com 13º'!K117</f>
        <v>8719.2410256151761</v>
      </c>
      <c r="G14" s="221">
        <f t="shared" si="1"/>
        <v>84720</v>
      </c>
      <c r="I14" s="237">
        <f>'Benef com 13º'!A159</f>
        <v>20</v>
      </c>
      <c r="J14" s="223">
        <f>'Ben 90% E.R.S.E.'!J14</f>
        <v>6</v>
      </c>
      <c r="K14" s="222">
        <v>44682</v>
      </c>
      <c r="L14" s="225">
        <f>'Benef com 13º'!J159</f>
        <v>31040.220379195456</v>
      </c>
      <c r="M14" s="225">
        <f>'Benef com 13º'!K159</f>
        <v>8719.2410256151761</v>
      </c>
      <c r="N14" s="221">
        <f t="shared" si="2"/>
        <v>39759.46140481063</v>
      </c>
    </row>
    <row r="15" spans="2:14" ht="12.75" customHeight="1">
      <c r="B15" s="238">
        <f>'Benef com 13º'!A118</f>
        <v>61</v>
      </c>
      <c r="C15" s="238">
        <f t="shared" si="0"/>
        <v>6</v>
      </c>
      <c r="D15" s="106">
        <v>43435</v>
      </c>
      <c r="E15" s="233">
        <f>'Benef com 13º'!J118</f>
        <v>76000.758974384822</v>
      </c>
      <c r="F15" s="233">
        <f>'Benef com 13º'!K118</f>
        <v>8719.2410256151761</v>
      </c>
      <c r="G15" s="61">
        <f t="shared" si="1"/>
        <v>84720</v>
      </c>
      <c r="I15" s="143">
        <f>'Benef com 13º'!A160</f>
        <v>19</v>
      </c>
      <c r="J15" s="238">
        <f>'Ben 90% E.R.S.E.'!J15</f>
        <v>6</v>
      </c>
      <c r="K15" s="106">
        <v>44713</v>
      </c>
      <c r="L15" s="155">
        <f>'Benef com 13º'!J160</f>
        <v>29399.798612003899</v>
      </c>
      <c r="M15" s="233">
        <f>'Benef com 13º'!K160</f>
        <v>8719.2410256151761</v>
      </c>
      <c r="N15" s="61">
        <f t="shared" si="2"/>
        <v>38119.039637619077</v>
      </c>
    </row>
    <row r="16" spans="2:14" ht="12.75" customHeight="1">
      <c r="B16" s="223">
        <f>'Benef com 13º'!A119</f>
        <v>60</v>
      </c>
      <c r="C16" s="223">
        <f t="shared" si="0"/>
        <v>6</v>
      </c>
      <c r="D16" s="222">
        <v>43466</v>
      </c>
      <c r="E16" s="225">
        <f>'Benef com 13º'!J119</f>
        <v>76000.758974384822</v>
      </c>
      <c r="F16" s="225">
        <f>'Benef com 13º'!K119</f>
        <v>8719.2410256151761</v>
      </c>
      <c r="G16" s="221">
        <f t="shared" si="1"/>
        <v>84720</v>
      </c>
      <c r="I16" s="237">
        <f>'Benef com 13º'!A161</f>
        <v>18</v>
      </c>
      <c r="J16" s="223">
        <f>'Ben 90% E.R.S.E.'!J16</f>
        <v>6</v>
      </c>
      <c r="K16" s="222">
        <v>44743</v>
      </c>
      <c r="L16" s="225">
        <f>'Benef com 13º'!J161</f>
        <v>27771.799844563877</v>
      </c>
      <c r="M16" s="225">
        <f>'Benef com 13º'!K161</f>
        <v>8719.2410256151761</v>
      </c>
      <c r="N16" s="221">
        <f t="shared" si="2"/>
        <v>36491.040870179051</v>
      </c>
    </row>
    <row r="17" spans="2:14" ht="12.75" customHeight="1">
      <c r="B17" s="238">
        <f>'Benef com 13º'!A120</f>
        <v>59</v>
      </c>
      <c r="C17" s="238">
        <f t="shared" si="0"/>
        <v>6</v>
      </c>
      <c r="D17" s="106">
        <v>43497</v>
      </c>
      <c r="E17" s="233">
        <f>'Benef com 13º'!J120</f>
        <v>76000.758974384822</v>
      </c>
      <c r="F17" s="233">
        <f>'Benef com 13º'!K120</f>
        <v>8719.2410256151761</v>
      </c>
      <c r="G17" s="61">
        <f t="shared" si="1"/>
        <v>84720</v>
      </c>
      <c r="I17" s="143">
        <f>'Benef com 13º'!A162</f>
        <v>17</v>
      </c>
      <c r="J17" s="238">
        <f>'Ben 90% E.R.S.E.'!J17</f>
        <v>6</v>
      </c>
      <c r="K17" s="106">
        <v>44774</v>
      </c>
      <c r="L17" s="155">
        <f>'Benef com 13º'!J162</f>
        <v>26156.224076875387</v>
      </c>
      <c r="M17" s="233">
        <f>'Benef com 13º'!K162</f>
        <v>8719.2410256151761</v>
      </c>
      <c r="N17" s="61">
        <f t="shared" si="2"/>
        <v>34875.465102490562</v>
      </c>
    </row>
    <row r="18" spans="2:14" ht="12.75" customHeight="1">
      <c r="B18" s="223">
        <f>'Benef com 13º'!A121</f>
        <v>58</v>
      </c>
      <c r="C18" s="223">
        <f t="shared" si="0"/>
        <v>6</v>
      </c>
      <c r="D18" s="222">
        <v>43525</v>
      </c>
      <c r="E18" s="225">
        <f>'Benef com 13º'!J121</f>
        <v>76000.758974384822</v>
      </c>
      <c r="F18" s="225">
        <f>'Benef com 13º'!K121</f>
        <v>8719.2410256151761</v>
      </c>
      <c r="G18" s="221">
        <f t="shared" si="1"/>
        <v>84720</v>
      </c>
      <c r="I18" s="237">
        <f>'Benef com 13º'!A163</f>
        <v>16</v>
      </c>
      <c r="J18" s="223">
        <f>'Ben 90% E.R.S.E.'!J18</f>
        <v>6</v>
      </c>
      <c r="K18" s="222">
        <v>44805</v>
      </c>
      <c r="L18" s="225">
        <f>'Benef com 13º'!J163</f>
        <v>24553.980308920261</v>
      </c>
      <c r="M18" s="225">
        <f>'Benef com 13º'!K163</f>
        <v>8719.2410256151761</v>
      </c>
      <c r="N18" s="221">
        <f t="shared" si="2"/>
        <v>33273.221334535439</v>
      </c>
    </row>
    <row r="19" spans="2:14" ht="12.75" customHeight="1">
      <c r="B19" s="238">
        <f>'Benef com 13º'!A122</f>
        <v>57</v>
      </c>
      <c r="C19" s="238">
        <f t="shared" si="0"/>
        <v>6</v>
      </c>
      <c r="D19" s="106">
        <v>43556</v>
      </c>
      <c r="E19" s="233">
        <f>'Benef com 13º'!J122</f>
        <v>76000.758974384822</v>
      </c>
      <c r="F19" s="233">
        <f>'Benef com 13º'!K122</f>
        <v>8719.2410256151761</v>
      </c>
      <c r="G19" s="61">
        <f t="shared" si="1"/>
        <v>84720</v>
      </c>
      <c r="I19" s="143">
        <f>'Benef com 13º'!A164</f>
        <v>15</v>
      </c>
      <c r="J19" s="238">
        <f>'Ben 90% E.R.S.E.'!J19</f>
        <v>6</v>
      </c>
      <c r="K19" s="106">
        <v>44835</v>
      </c>
      <c r="L19" s="155">
        <f>'Benef com 13º'!J164</f>
        <v>22965.310940693656</v>
      </c>
      <c r="M19" s="233">
        <f>'Benef com 13º'!K164</f>
        <v>8719.2410256151761</v>
      </c>
      <c r="N19" s="61">
        <f t="shared" si="2"/>
        <v>31684.551966308834</v>
      </c>
    </row>
    <row r="20" spans="2:14" ht="12.75" customHeight="1">
      <c r="B20" s="223">
        <f>'Benef com 13º'!A123</f>
        <v>56</v>
      </c>
      <c r="C20" s="223">
        <f t="shared" si="0"/>
        <v>6</v>
      </c>
      <c r="D20" s="222">
        <v>43586</v>
      </c>
      <c r="E20" s="225">
        <f>'Benef com 13º'!J123</f>
        <v>76000.758974384822</v>
      </c>
      <c r="F20" s="225">
        <f>'Benef com 13º'!K123</f>
        <v>8719.2410256151761</v>
      </c>
      <c r="G20" s="221">
        <f t="shared" si="1"/>
        <v>84720</v>
      </c>
      <c r="I20" s="237">
        <f>'Benef com 13º'!A165</f>
        <v>14</v>
      </c>
      <c r="J20" s="223">
        <f>'Ben 90% E.R.S.E.'!J20</f>
        <v>6</v>
      </c>
      <c r="K20" s="222">
        <v>44866</v>
      </c>
      <c r="L20" s="225">
        <f>'Benef com 13º'!J165</f>
        <v>21389.30697221373</v>
      </c>
      <c r="M20" s="225">
        <f>'Benef com 13º'!K165</f>
        <v>8719.2410256151761</v>
      </c>
      <c r="N20" s="221">
        <f t="shared" si="2"/>
        <v>30108.547997828908</v>
      </c>
    </row>
    <row r="21" spans="2:14" ht="12.75" customHeight="1">
      <c r="B21" s="238">
        <f>'Benef com 13º'!A124</f>
        <v>55</v>
      </c>
      <c r="C21" s="238">
        <f t="shared" si="0"/>
        <v>6</v>
      </c>
      <c r="D21" s="106">
        <v>43617</v>
      </c>
      <c r="E21" s="233">
        <f>'Benef com 13º'!J124</f>
        <v>76000.758974384822</v>
      </c>
      <c r="F21" s="233">
        <f>'Benef com 13º'!K124</f>
        <v>8719.2410256151761</v>
      </c>
      <c r="G21" s="61">
        <f t="shared" si="1"/>
        <v>84720</v>
      </c>
      <c r="I21" s="143">
        <f>'Benef com 13º'!A166</f>
        <v>13</v>
      </c>
      <c r="J21" s="238">
        <f>'Ben 90% E.R.S.E.'!J21</f>
        <v>6</v>
      </c>
      <c r="K21" s="106">
        <v>44896</v>
      </c>
      <c r="L21" s="155">
        <f>'Benef com 13º'!J166</f>
        <v>19825.665403486561</v>
      </c>
      <c r="M21" s="233">
        <f>'Benef com 13º'!K166</f>
        <v>8719.2410256151761</v>
      </c>
      <c r="N21" s="61">
        <f t="shared" si="2"/>
        <v>28544.906429101735</v>
      </c>
    </row>
    <row r="22" spans="2:14" ht="12.75" customHeight="1">
      <c r="B22" s="223">
        <f>'Benef com 13º'!A125</f>
        <v>54</v>
      </c>
      <c r="C22" s="223">
        <f t="shared" si="0"/>
        <v>6</v>
      </c>
      <c r="D22" s="222">
        <v>43647</v>
      </c>
      <c r="E22" s="225">
        <f>'Benef com 13º'!J125</f>
        <v>76000.758974384822</v>
      </c>
      <c r="F22" s="225">
        <f>'Benef com 13º'!K125</f>
        <v>8719.2410256151761</v>
      </c>
      <c r="G22" s="221">
        <f t="shared" si="1"/>
        <v>84720</v>
      </c>
      <c r="I22" s="237">
        <f>'Benef com 13º'!A167</f>
        <v>12</v>
      </c>
      <c r="J22" s="223">
        <f>'Ben 90% E.R.S.E.'!J22</f>
        <v>6</v>
      </c>
      <c r="K22" s="222">
        <v>44927</v>
      </c>
      <c r="L22" s="225">
        <f>'Benef com 13º'!J167</f>
        <v>18234.515635309559</v>
      </c>
      <c r="M22" s="225">
        <f>'Benef com 13º'!K167</f>
        <v>8719.2410256151761</v>
      </c>
      <c r="N22" s="221">
        <f t="shared" si="2"/>
        <v>26953.756660924737</v>
      </c>
    </row>
    <row r="23" spans="2:14" ht="12.75" customHeight="1">
      <c r="B23" s="238">
        <f>'Benef com 13º'!A126</f>
        <v>53</v>
      </c>
      <c r="C23" s="238">
        <f t="shared" si="0"/>
        <v>6</v>
      </c>
      <c r="D23" s="106">
        <v>43678</v>
      </c>
      <c r="E23" s="233">
        <f>'Benef com 13º'!J126</f>
        <v>76000.758974384822</v>
      </c>
      <c r="F23" s="233">
        <f>'Benef com 13º'!K126</f>
        <v>8719.2410256151761</v>
      </c>
      <c r="G23" s="61">
        <f t="shared" si="1"/>
        <v>84720</v>
      </c>
      <c r="I23" s="143">
        <f>'Benef com 13º'!A168</f>
        <v>11</v>
      </c>
      <c r="J23" s="238">
        <f>'Ben 90% E.R.S.E.'!J23</f>
        <v>6</v>
      </c>
      <c r="K23" s="106">
        <v>44958</v>
      </c>
      <c r="L23" s="155">
        <f>'Benef com 13º'!J168</f>
        <v>16595.386468092143</v>
      </c>
      <c r="M23" s="233">
        <f>'Benef com 13º'!K168</f>
        <v>8719.2410256151761</v>
      </c>
      <c r="N23" s="61">
        <f t="shared" si="2"/>
        <v>25314.627493707318</v>
      </c>
    </row>
    <row r="24" spans="2:14" ht="12.75" customHeight="1">
      <c r="B24" s="223">
        <f>'Benef com 13º'!A127</f>
        <v>52</v>
      </c>
      <c r="C24" s="223">
        <f t="shared" si="0"/>
        <v>6</v>
      </c>
      <c r="D24" s="222">
        <v>43709</v>
      </c>
      <c r="E24" s="225">
        <f>'Benef com 13º'!J127</f>
        <v>76000.758974384822</v>
      </c>
      <c r="F24" s="225">
        <f>'Benef com 13º'!K127</f>
        <v>8719.2410256151761</v>
      </c>
      <c r="G24" s="221">
        <f t="shared" si="1"/>
        <v>84720</v>
      </c>
      <c r="I24" s="237">
        <f>'Benef com 13º'!A169</f>
        <v>10</v>
      </c>
      <c r="J24" s="223">
        <f>'Ben 90% E.R.S.E.'!J24</f>
        <v>6</v>
      </c>
      <c r="K24" s="222">
        <v>44986</v>
      </c>
      <c r="L24" s="225">
        <f>'Benef com 13º'!J169</f>
        <v>14969.537700609118</v>
      </c>
      <c r="M24" s="225">
        <f>'Benef com 13º'!K169</f>
        <v>8719.2410256151761</v>
      </c>
      <c r="N24" s="221">
        <f t="shared" si="2"/>
        <v>23688.778726224293</v>
      </c>
    </row>
    <row r="25" spans="2:14" ht="12.75" customHeight="1">
      <c r="B25" s="238">
        <f>'Benef com 13º'!A128</f>
        <v>51</v>
      </c>
      <c r="C25" s="238">
        <f t="shared" si="0"/>
        <v>6</v>
      </c>
      <c r="D25" s="106">
        <v>43739</v>
      </c>
      <c r="E25" s="233">
        <f>'Benef com 13º'!J128</f>
        <v>76000.758974384822</v>
      </c>
      <c r="F25" s="233">
        <f>'Benef com 13º'!K128</f>
        <v>8719.2410256151761</v>
      </c>
      <c r="G25" s="61">
        <f t="shared" si="1"/>
        <v>84720</v>
      </c>
      <c r="I25" s="143">
        <f>'Benef com 13º'!A170</f>
        <v>9</v>
      </c>
      <c r="J25" s="238">
        <f>'Ben 90% E.R.S.E.'!J25</f>
        <v>6</v>
      </c>
      <c r="K25" s="106">
        <v>45017</v>
      </c>
      <c r="L25" s="155">
        <f>'Benef com 13º'!J170</f>
        <v>13357.294832853977</v>
      </c>
      <c r="M25" s="233">
        <f>'Benef com 13º'!K170</f>
        <v>8719.2410256151761</v>
      </c>
      <c r="N25" s="61">
        <f t="shared" si="2"/>
        <v>22076.535858469153</v>
      </c>
    </row>
    <row r="26" spans="2:14" ht="12.75" customHeight="1">
      <c r="B26" s="223">
        <f>'Benef com 13º'!A129</f>
        <v>50</v>
      </c>
      <c r="C26" s="223">
        <f t="shared" si="0"/>
        <v>6</v>
      </c>
      <c r="D26" s="222">
        <v>43770</v>
      </c>
      <c r="E26" s="225">
        <f>'Benef com 13º'!J129</f>
        <v>76000.758974384822</v>
      </c>
      <c r="F26" s="225">
        <f>'Benef com 13º'!K129</f>
        <v>8719.2410256151761</v>
      </c>
      <c r="G26" s="221">
        <f t="shared" si="1"/>
        <v>84720</v>
      </c>
      <c r="I26" s="237">
        <f>'Benef com 13º'!A171</f>
        <v>8</v>
      </c>
      <c r="J26" s="223">
        <f>'Ben 90% E.R.S.E.'!J26</f>
        <v>6</v>
      </c>
      <c r="K26" s="222">
        <v>45047</v>
      </c>
      <c r="L26" s="225">
        <f>'Benef com 13º'!J171</f>
        <v>11748.461765030639</v>
      </c>
      <c r="M26" s="225">
        <f>'Benef com 13º'!K171</f>
        <v>8719.2410256151761</v>
      </c>
      <c r="N26" s="221">
        <f t="shared" si="2"/>
        <v>20467.702790645817</v>
      </c>
    </row>
    <row r="27" spans="2:14" ht="12.75" customHeight="1">
      <c r="B27" s="238">
        <f>'Benef com 13º'!A130</f>
        <v>49</v>
      </c>
      <c r="C27" s="238">
        <f t="shared" si="0"/>
        <v>6</v>
      </c>
      <c r="D27" s="106">
        <v>43800</v>
      </c>
      <c r="E27" s="233">
        <f>'Benef com 13º'!J130</f>
        <v>76000.758974384822</v>
      </c>
      <c r="F27" s="233">
        <f>'Benef com 13º'!K130</f>
        <v>8719.2410256151761</v>
      </c>
      <c r="G27" s="61">
        <f t="shared" si="1"/>
        <v>84720</v>
      </c>
      <c r="I27" s="143">
        <f>'Benef com 13º'!A172</f>
        <v>7</v>
      </c>
      <c r="J27" s="238">
        <f>'Ben 90% E.R.S.E.'!J27</f>
        <v>6</v>
      </c>
      <c r="K27" s="106">
        <v>45078</v>
      </c>
      <c r="L27" s="155">
        <f>'Benef com 13º'!J172</f>
        <v>10142.813797143601</v>
      </c>
      <c r="M27" s="233">
        <f>'Benef com 13º'!K172</f>
        <v>8719.2410256151761</v>
      </c>
      <c r="N27" s="61">
        <f t="shared" si="2"/>
        <v>18862.054822758779</v>
      </c>
    </row>
    <row r="28" spans="2:14" ht="12.75" customHeight="1">
      <c r="B28" s="223">
        <f>'Benef com 13º'!A131</f>
        <v>48</v>
      </c>
      <c r="C28" s="223">
        <f t="shared" si="0"/>
        <v>6</v>
      </c>
      <c r="D28" s="222">
        <v>43831</v>
      </c>
      <c r="E28" s="225">
        <f>'Benef com 13º'!J131</f>
        <v>76000.758974384822</v>
      </c>
      <c r="F28" s="225">
        <f>'Benef com 13º'!K131</f>
        <v>8719.2410256151761</v>
      </c>
      <c r="G28" s="221">
        <f t="shared" si="1"/>
        <v>84720</v>
      </c>
      <c r="I28" s="237">
        <f>'Benef com 13º'!A173</f>
        <v>6</v>
      </c>
      <c r="J28" s="223">
        <f>'Ben 90% E.R.S.E.'!J28</f>
        <v>6</v>
      </c>
      <c r="K28" s="222">
        <v>45108</v>
      </c>
      <c r="L28" s="225">
        <f>'Benef com 13º'!J173</f>
        <v>8551.6198289674794</v>
      </c>
      <c r="M28" s="225">
        <f>'Benef com 13º'!K173</f>
        <v>8719.2410256151761</v>
      </c>
      <c r="N28" s="221">
        <f t="shared" si="2"/>
        <v>17270.860854582657</v>
      </c>
    </row>
    <row r="29" spans="2:14" ht="12.75" customHeight="1">
      <c r="B29" s="238">
        <f>'Benef com 13º'!A132</f>
        <v>47</v>
      </c>
      <c r="C29" s="238">
        <f t="shared" si="0"/>
        <v>6</v>
      </c>
      <c r="D29" s="106">
        <v>43862</v>
      </c>
      <c r="E29" s="233">
        <f>'Benef com 13º'!J132</f>
        <v>75442.626264734601</v>
      </c>
      <c r="F29" s="233">
        <f>'Benef com 13º'!K132</f>
        <v>8719.2410256151761</v>
      </c>
      <c r="G29" s="61">
        <f t="shared" si="1"/>
        <v>84161.867290349779</v>
      </c>
      <c r="I29" s="143">
        <f>'Benef com 13º'!A174</f>
        <v>5</v>
      </c>
      <c r="J29" s="238">
        <f>'Ben 90% E.R.S.E.'!J29</f>
        <v>6</v>
      </c>
      <c r="K29" s="106">
        <v>45139</v>
      </c>
      <c r="L29" s="155">
        <f>'Benef com 13º'!J174</f>
        <v>6974.5498605088787</v>
      </c>
      <c r="M29" s="233">
        <f>'Benef com 13º'!K174</f>
        <v>8719.2410256151761</v>
      </c>
      <c r="N29" s="61">
        <f t="shared" si="2"/>
        <v>15693.790886124054</v>
      </c>
    </row>
    <row r="30" spans="2:14" ht="12.75" customHeight="1">
      <c r="B30" s="223">
        <f>'Benef com 13º'!A133</f>
        <v>46</v>
      </c>
      <c r="C30" s="223">
        <f t="shared" si="0"/>
        <v>6</v>
      </c>
      <c r="D30" s="222">
        <v>43891</v>
      </c>
      <c r="E30" s="225">
        <f>'Benef com 13º'!J133</f>
        <v>73778.487205271726</v>
      </c>
      <c r="F30" s="225">
        <f>'Benef com 13º'!K133</f>
        <v>8719.2410256151761</v>
      </c>
      <c r="G30" s="221">
        <f t="shared" si="1"/>
        <v>82497.728230886903</v>
      </c>
      <c r="I30" s="237">
        <f>'Benef com 13º'!A175</f>
        <v>4</v>
      </c>
      <c r="J30" s="223">
        <f>'Ben 90% E.R.S.E.'!J30</f>
        <v>6</v>
      </c>
      <c r="K30" s="222">
        <v>45170</v>
      </c>
      <c r="L30" s="225">
        <f>'Benef com 13º'!J175</f>
        <v>5412.0658917585588</v>
      </c>
      <c r="M30" s="225">
        <f>'Benef com 13º'!K175</f>
        <v>8719.2410256151761</v>
      </c>
      <c r="N30" s="221">
        <f t="shared" si="2"/>
        <v>14131.306917373735</v>
      </c>
    </row>
    <row r="31" spans="2:14" ht="12.75" customHeight="1">
      <c r="B31" s="238">
        <f>'Benef com 13º'!A134</f>
        <v>45</v>
      </c>
      <c r="C31" s="238">
        <f t="shared" si="0"/>
        <v>6</v>
      </c>
      <c r="D31" s="106">
        <v>43922</v>
      </c>
      <c r="E31" s="233">
        <f>'Benef com 13º'!J134</f>
        <v>72116.191500528206</v>
      </c>
      <c r="F31" s="233">
        <f>'Benef com 13º'!K134</f>
        <v>8719.2410256151761</v>
      </c>
      <c r="G31" s="61">
        <f t="shared" si="1"/>
        <v>80835.432526143384</v>
      </c>
      <c r="I31" s="143">
        <f>'Benef com 13º'!A176</f>
        <v>3</v>
      </c>
      <c r="J31" s="238">
        <f>'Ben 90% E.R.S.E.'!J31</f>
        <v>6</v>
      </c>
      <c r="K31" s="106">
        <v>45200</v>
      </c>
      <c r="L31" s="155">
        <f>'Benef com 13º'!J176</f>
        <v>3863.5079227297192</v>
      </c>
      <c r="M31" s="233">
        <f>'Benef com 13º'!K176</f>
        <v>8719.2410256151761</v>
      </c>
      <c r="N31" s="61">
        <f t="shared" si="2"/>
        <v>12582.748948344895</v>
      </c>
    </row>
    <row r="32" spans="2:14" ht="12.75" customHeight="1">
      <c r="B32" s="223">
        <f>'Benef com 13º'!A135</f>
        <v>44</v>
      </c>
      <c r="C32" s="223">
        <f t="shared" si="0"/>
        <v>6</v>
      </c>
      <c r="D32" s="222">
        <v>43952</v>
      </c>
      <c r="E32" s="225">
        <f>'Benef com 13º'!J135</f>
        <v>70453.97257847221</v>
      </c>
      <c r="F32" s="225">
        <f>'Benef com 13º'!K135</f>
        <v>8719.2410256151761</v>
      </c>
      <c r="G32" s="221">
        <f t="shared" si="1"/>
        <v>79173.213604087388</v>
      </c>
      <c r="I32" s="237">
        <f>'Benef com 13º'!A177</f>
        <v>2</v>
      </c>
      <c r="J32" s="223">
        <f>'Ben 90% E.R.S.E.'!J32</f>
        <v>6</v>
      </c>
      <c r="K32" s="222">
        <v>45231</v>
      </c>
      <c r="L32" s="225">
        <f>'Benef com 13º'!J177</f>
        <v>2327.9519534408396</v>
      </c>
      <c r="M32" s="225">
        <f>'Benef com 13º'!K177</f>
        <v>8719.2410256151761</v>
      </c>
      <c r="N32" s="221">
        <f t="shared" si="2"/>
        <v>11047.192979056015</v>
      </c>
    </row>
    <row r="33" spans="2:14" ht="12.75" customHeight="1">
      <c r="B33" s="238">
        <f>'Benef com 13º'!A136</f>
        <v>43</v>
      </c>
      <c r="C33" s="238">
        <f t="shared" si="0"/>
        <v>6</v>
      </c>
      <c r="D33" s="106">
        <v>43983</v>
      </c>
      <c r="E33" s="233">
        <f>'Benef com 13º'!J136</f>
        <v>68787.118754439885</v>
      </c>
      <c r="F33" s="233">
        <f>'Benef com 13º'!K136</f>
        <v>8719.2410256151761</v>
      </c>
      <c r="G33" s="61">
        <f t="shared" si="1"/>
        <v>77506.359780055063</v>
      </c>
      <c r="I33" s="143">
        <f>'Benef com 13º'!A178</f>
        <v>1</v>
      </c>
      <c r="J33" s="238">
        <f>'Ben 90% E.R.S.E.'!J33</f>
        <v>6</v>
      </c>
      <c r="K33" s="106">
        <v>45261</v>
      </c>
      <c r="L33" s="155">
        <f>'Benef com 13º'!J178</f>
        <v>817.21198365569967</v>
      </c>
      <c r="M33" s="233">
        <f>'Benef com 13º'!K178</f>
        <v>8719.2410256151761</v>
      </c>
      <c r="N33" s="61">
        <f t="shared" si="2"/>
        <v>9536.4530092708756</v>
      </c>
    </row>
    <row r="34" spans="2:14" ht="12.75" customHeight="1">
      <c r="B34" s="223">
        <f>'Benef com 13º'!A137</f>
        <v>42</v>
      </c>
      <c r="C34" s="223">
        <f t="shared" si="0"/>
        <v>6</v>
      </c>
      <c r="D34" s="222">
        <v>44013</v>
      </c>
      <c r="E34" s="225">
        <f>'Benef com 13º'!J137</f>
        <v>67115.861313281974</v>
      </c>
      <c r="F34" s="225">
        <f>'Benef com 13º'!K137</f>
        <v>8719.2410256151761</v>
      </c>
      <c r="G34" s="221">
        <f t="shared" si="1"/>
        <v>75835.102338897152</v>
      </c>
      <c r="I34" s="237">
        <f>'Benef com 13º'!A179</f>
        <v>0</v>
      </c>
      <c r="J34" s="223">
        <f>'Ben 90% E.R.S.E.'!J34</f>
        <v>6</v>
      </c>
      <c r="K34" s="222">
        <v>45292</v>
      </c>
      <c r="L34" s="225">
        <f>'Benef com 13º'!J182</f>
        <v>0</v>
      </c>
      <c r="M34" s="225">
        <f>'Benef com 13º'!K182</f>
        <v>7977.1644404567078</v>
      </c>
      <c r="N34" s="221">
        <f t="shared" si="2"/>
        <v>7977.1644404567078</v>
      </c>
    </row>
    <row r="35" spans="2:14" ht="12.75" customHeight="1">
      <c r="B35" s="143">
        <f>'Benef com 13º'!A138</f>
        <v>41</v>
      </c>
      <c r="C35" s="238">
        <f t="shared" si="0"/>
        <v>6</v>
      </c>
      <c r="D35" s="106">
        <v>44044</v>
      </c>
      <c r="E35" s="233">
        <f>'Benef com 13º'!J138</f>
        <v>65447.068636444521</v>
      </c>
      <c r="F35" s="233">
        <f>'Benef com 13º'!K138</f>
        <v>8719.2410256151761</v>
      </c>
      <c r="G35" s="155">
        <f t="shared" si="1"/>
        <v>74166.309662059692</v>
      </c>
      <c r="I35" s="143">
        <f>'Benef com 13º'!A180</f>
        <v>0</v>
      </c>
      <c r="J35" s="238">
        <f>'Ben 90% E.R.S.E.'!J35</f>
        <v>5</v>
      </c>
      <c r="K35" s="106">
        <v>45323</v>
      </c>
      <c r="L35" s="155">
        <f>'Benef com 13º'!J183</f>
        <v>0</v>
      </c>
      <c r="M35" s="233">
        <f>'Benef com 13º'!K183</f>
        <v>6499.859470002807</v>
      </c>
      <c r="N35" s="61">
        <f t="shared" si="2"/>
        <v>6499.859470002807</v>
      </c>
    </row>
    <row r="36" spans="2:14" ht="12.75" customHeight="1">
      <c r="B36" s="237">
        <f>'Benef com 13º'!A139</f>
        <v>40</v>
      </c>
      <c r="C36" s="223">
        <f t="shared" si="0"/>
        <v>6</v>
      </c>
      <c r="D36" s="222">
        <v>44075</v>
      </c>
      <c r="E36" s="225">
        <f>'Benef com 13º'!J139</f>
        <v>63782.353397956686</v>
      </c>
      <c r="F36" s="225">
        <f>'Benef com 13º'!K139</f>
        <v>8719.2410256151761</v>
      </c>
      <c r="G36" s="221">
        <f t="shared" si="1"/>
        <v>72501.594423571863</v>
      </c>
      <c r="I36" s="237">
        <f>'Benef com 13º'!A181</f>
        <v>0</v>
      </c>
      <c r="J36" s="223">
        <f>'Ben 90% E.R.S.E.'!J36</f>
        <v>4</v>
      </c>
      <c r="K36" s="222">
        <v>45352</v>
      </c>
      <c r="L36" s="225">
        <f>'Benef com 13º'!J184</f>
        <v>0</v>
      </c>
      <c r="M36" s="225">
        <f>'Benef com 13º'!K184</f>
        <v>5035.0506992989831</v>
      </c>
      <c r="N36" s="221">
        <f t="shared" si="2"/>
        <v>5035.0506992989831</v>
      </c>
    </row>
    <row r="37" spans="2:14" ht="12.75" customHeight="1">
      <c r="B37" s="143">
        <f>'Benef com 13º'!A140</f>
        <v>39</v>
      </c>
      <c r="C37" s="238">
        <f t="shared" si="0"/>
        <v>6</v>
      </c>
      <c r="D37" s="106">
        <v>44105</v>
      </c>
      <c r="E37" s="233">
        <f>'Benef com 13º'!J140</f>
        <v>62122.847299010609</v>
      </c>
      <c r="F37" s="233">
        <f>'Benef com 13º'!K140</f>
        <v>8719.2410256151761</v>
      </c>
      <c r="G37" s="61">
        <f t="shared" si="1"/>
        <v>70842.088324625787</v>
      </c>
      <c r="I37" s="143">
        <v>0</v>
      </c>
      <c r="J37" s="238">
        <f>'Ben 90% E.R.S.E.'!J37</f>
        <v>3</v>
      </c>
      <c r="K37" s="106">
        <v>45383</v>
      </c>
      <c r="L37" s="155">
        <f>'Benef com 13º'!J185</f>
        <v>0</v>
      </c>
      <c r="M37" s="233">
        <f>'Benef com 13º'!K185</f>
        <v>3581.7497283650036</v>
      </c>
      <c r="N37" s="61">
        <f t="shared" si="2"/>
        <v>3581.7497283650036</v>
      </c>
    </row>
    <row r="38" spans="2:14" ht="12.75" customHeight="1">
      <c r="B38" s="237">
        <f>'Benef com 13º'!A141</f>
        <v>38</v>
      </c>
      <c r="C38" s="223">
        <f t="shared" si="0"/>
        <v>6</v>
      </c>
      <c r="D38" s="222">
        <v>44136</v>
      </c>
      <c r="E38" s="225">
        <f>'Benef com 13º'!J141</f>
        <v>60473.906147589973</v>
      </c>
      <c r="F38" s="225">
        <f>'Benef com 13º'!K141</f>
        <v>8719.2410256151761</v>
      </c>
      <c r="G38" s="221">
        <f t="shared" si="1"/>
        <v>69193.147173205143</v>
      </c>
      <c r="I38" s="237">
        <v>0</v>
      </c>
      <c r="J38" s="223">
        <f>'Ben 90% E.R.S.E.'!J38</f>
        <v>2</v>
      </c>
      <c r="K38" s="222">
        <v>45413</v>
      </c>
      <c r="L38" s="225">
        <f>'Benef com 13º'!J186</f>
        <v>0</v>
      </c>
      <c r="M38" s="225">
        <f>'Benef com 13º'!K186</f>
        <v>2140.5919571881595</v>
      </c>
      <c r="N38" s="221">
        <f t="shared" si="2"/>
        <v>2140.5919571881595</v>
      </c>
    </row>
    <row r="39" spans="2:14" ht="12.75" customHeight="1">
      <c r="B39" s="143">
        <f>'Benef com 13º'!A142</f>
        <v>37</v>
      </c>
      <c r="C39" s="238">
        <f t="shared" si="0"/>
        <v>6</v>
      </c>
      <c r="D39" s="106">
        <v>44166</v>
      </c>
      <c r="E39" s="233">
        <f>'Benef com 13º'!J142</f>
        <v>58838.176512801489</v>
      </c>
      <c r="F39" s="233">
        <f>'Benef com 13º'!K142</f>
        <v>8719.2410256151761</v>
      </c>
      <c r="G39" s="61">
        <f t="shared" si="1"/>
        <v>67557.417538416659</v>
      </c>
      <c r="I39" s="143">
        <v>0</v>
      </c>
      <c r="J39" s="238">
        <f>'Ben 90% E.R.S.E.'!J39</f>
        <v>1</v>
      </c>
      <c r="K39" s="106">
        <v>45444</v>
      </c>
      <c r="L39" s="155">
        <f>'Benef com 13º'!J187</f>
        <v>0</v>
      </c>
      <c r="M39" s="233">
        <f>'Benef com 13º'!K187</f>
        <v>711.57738576845156</v>
      </c>
      <c r="N39" s="61">
        <f t="shared" si="2"/>
        <v>711.57738576845156</v>
      </c>
    </row>
    <row r="40" spans="2:14" ht="12.75" customHeight="1">
      <c r="B40" s="237">
        <f>'Benef com 13º'!A143</f>
        <v>36</v>
      </c>
      <c r="C40" s="223">
        <f t="shared" si="0"/>
        <v>6</v>
      </c>
      <c r="D40" s="222">
        <v>44197</v>
      </c>
      <c r="E40" s="225">
        <f>'Benef com 13º'!J143</f>
        <v>57189.449891943252</v>
      </c>
      <c r="F40" s="225">
        <f>'Benef com 13º'!K143</f>
        <v>8719.2410256151761</v>
      </c>
      <c r="G40" s="221">
        <f t="shared" si="1"/>
        <v>65908.69091755843</v>
      </c>
      <c r="I40" s="237">
        <v>0</v>
      </c>
      <c r="J40" s="223">
        <f>'Ben 90% E.R.S.E.'!J40</f>
        <v>0</v>
      </c>
      <c r="K40" s="222">
        <v>45474</v>
      </c>
      <c r="L40" s="225">
        <f>'Benef com 13º'!J188</f>
        <v>0</v>
      </c>
      <c r="M40" s="225">
        <f>'Benef com 13º'!K188</f>
        <v>0</v>
      </c>
      <c r="N40" s="221">
        <f t="shared" si="2"/>
        <v>0</v>
      </c>
    </row>
    <row r="41" spans="2:14" ht="12.75" customHeight="1">
      <c r="B41" s="143">
        <f>'Benef com 13º'!A144</f>
        <v>35</v>
      </c>
      <c r="C41" s="238">
        <f t="shared" si="0"/>
        <v>6</v>
      </c>
      <c r="D41" s="106">
        <v>44228</v>
      </c>
      <c r="E41" s="233">
        <f>'Benef com 13º'!J144</f>
        <v>55509.150144991778</v>
      </c>
      <c r="F41" s="233">
        <f>'Benef com 13º'!K144</f>
        <v>8719.2410256151761</v>
      </c>
      <c r="G41" s="61">
        <f t="shared" si="1"/>
        <v>64228.391170606956</v>
      </c>
      <c r="I41" s="143">
        <v>0</v>
      </c>
      <c r="J41" s="238">
        <f>'Ben 90% E.R.S.E.'!J41</f>
        <v>0</v>
      </c>
      <c r="K41" s="106">
        <v>45505</v>
      </c>
      <c r="L41" s="155">
        <f>'Benef com 13º'!J189</f>
        <v>0</v>
      </c>
      <c r="M41" s="233">
        <f>'Benef com 13º'!K189</f>
        <v>0</v>
      </c>
      <c r="N41" s="61">
        <f t="shared" si="2"/>
        <v>0</v>
      </c>
    </row>
    <row r="42" spans="2:14" ht="12.75" customHeight="1">
      <c r="B42" s="237">
        <f>'Benef com 13º'!A145</f>
        <v>34</v>
      </c>
      <c r="C42" s="223">
        <f t="shared" si="0"/>
        <v>6</v>
      </c>
      <c r="D42" s="222">
        <v>44256</v>
      </c>
      <c r="E42" s="225">
        <f>'Benef com 13º'!J145</f>
        <v>53838.621227169911</v>
      </c>
      <c r="F42" s="225">
        <f>'Benef com 13º'!K145</f>
        <v>8719.2410256151761</v>
      </c>
      <c r="G42" s="221">
        <f t="shared" si="1"/>
        <v>62557.862252785089</v>
      </c>
      <c r="I42" s="237">
        <v>0</v>
      </c>
      <c r="J42" s="223">
        <f>'Ben 90% E.R.S.E.'!J42</f>
        <v>0</v>
      </c>
      <c r="K42" s="222">
        <v>45536</v>
      </c>
      <c r="L42" s="225">
        <f>'Benef com 13º'!J190</f>
        <v>0</v>
      </c>
      <c r="M42" s="225">
        <f>'Benef com 13º'!K190</f>
        <v>0</v>
      </c>
      <c r="N42" s="221">
        <f t="shared" si="2"/>
        <v>0</v>
      </c>
    </row>
    <row r="43" spans="2:14" ht="12.75" customHeight="1">
      <c r="B43" s="143">
        <f>'Benef com 13º'!A146</f>
        <v>33</v>
      </c>
      <c r="C43" s="238">
        <f t="shared" si="0"/>
        <v>6</v>
      </c>
      <c r="D43" s="106">
        <v>44287</v>
      </c>
      <c r="E43" s="233">
        <f>'Benef com 13º'!J146</f>
        <v>52178.927682820038</v>
      </c>
      <c r="F43" s="233">
        <f>'Benef com 13º'!K146</f>
        <v>8719.2410256151761</v>
      </c>
      <c r="G43" s="61">
        <f t="shared" si="1"/>
        <v>60898.168708435216</v>
      </c>
      <c r="I43" s="143">
        <v>0</v>
      </c>
      <c r="J43" s="238">
        <f>'Ben 90% E.R.S.E.'!J43</f>
        <v>0</v>
      </c>
      <c r="K43" s="106">
        <v>45566</v>
      </c>
      <c r="L43" s="155">
        <f>'Benef com 13º'!J191</f>
        <v>0</v>
      </c>
      <c r="M43" s="233">
        <f>'Benef com 13º'!K191</f>
        <v>0</v>
      </c>
      <c r="N43" s="61">
        <f t="shared" si="2"/>
        <v>0</v>
      </c>
    </row>
    <row r="44" spans="2:14" ht="12.75" customHeight="1">
      <c r="B44" s="237">
        <f>'Benef com 13º'!A147</f>
        <v>32</v>
      </c>
      <c r="C44" s="223">
        <f t="shared" si="0"/>
        <v>6</v>
      </c>
      <c r="D44" s="222">
        <v>44317</v>
      </c>
      <c r="E44" s="225">
        <f>'Benef com 13º'!J147</f>
        <v>50530.927162582171</v>
      </c>
      <c r="F44" s="225">
        <f>'Benef com 13º'!K147</f>
        <v>8719.2410256151761</v>
      </c>
      <c r="G44" s="221">
        <f t="shared" si="1"/>
        <v>59250.168188197349</v>
      </c>
      <c r="I44" s="237">
        <v>0</v>
      </c>
      <c r="J44" s="223">
        <f>'Ben 90% E.R.S.E.'!J44</f>
        <v>0</v>
      </c>
      <c r="K44" s="222">
        <v>45597</v>
      </c>
      <c r="L44" s="225">
        <f>'Benef com 13º'!J192</f>
        <v>0</v>
      </c>
      <c r="M44" s="225">
        <f>'Benef com 13º'!K192</f>
        <v>0</v>
      </c>
      <c r="N44" s="221">
        <f t="shared" si="2"/>
        <v>0</v>
      </c>
    </row>
    <row r="45" spans="2:14" ht="12.75" customHeight="1">
      <c r="B45" s="143">
        <f>'Benef com 13º'!A148</f>
        <v>31</v>
      </c>
      <c r="C45" s="238">
        <f>J4</f>
        <v>6</v>
      </c>
      <c r="D45" s="106">
        <v>44348</v>
      </c>
      <c r="E45" s="233">
        <f>'Benef com 13º'!J148</f>
        <v>48890.831283704305</v>
      </c>
      <c r="F45" s="233">
        <f>'Benef com 13º'!K148</f>
        <v>8719.2410256151761</v>
      </c>
      <c r="G45" s="61">
        <f t="shared" si="1"/>
        <v>57610.072309319483</v>
      </c>
      <c r="I45" s="143">
        <v>0</v>
      </c>
      <c r="J45" s="238">
        <f>'Ben 90% E.R.S.E.'!J45</f>
        <v>0</v>
      </c>
      <c r="K45" s="106">
        <v>45627</v>
      </c>
      <c r="L45" s="155">
        <f>'Benef com 13º'!J193</f>
        <v>0</v>
      </c>
      <c r="M45" s="233">
        <f>'Benef com 13º'!K193</f>
        <v>0</v>
      </c>
      <c r="N45" s="61">
        <f t="shared" si="2"/>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346" priority="76" stopIfTrue="1" operator="notEqual">
      <formula>""</formula>
    </cfRule>
  </conditionalFormatting>
  <conditionalFormatting sqref="L5 L7 L9 L11 L13 L15 L17 L19 L21 L23 L25 L27 L29 L31 L33">
    <cfRule type="cellIs" dxfId="345" priority="75" stopIfTrue="1" operator="notEqual">
      <formula>""</formula>
    </cfRule>
  </conditionalFormatting>
  <conditionalFormatting sqref="L5 L7 L9 L11 L13 L15 L17 L19 L21 L23 L25 L27 L29 L31 L33">
    <cfRule type="cellIs" dxfId="344" priority="74" stopIfTrue="1" operator="notEqual">
      <formula>""</formula>
    </cfRule>
  </conditionalFormatting>
  <conditionalFormatting sqref="L5 L7 L9 L11 L13 L15 L17 L19 L21 L23 L25 L27 L29 L31 L33">
    <cfRule type="cellIs" dxfId="343" priority="72" stopIfTrue="1" operator="notEqual">
      <formula>""</formula>
    </cfRule>
  </conditionalFormatting>
  <conditionalFormatting sqref="D5 D41 D7 D9 D11 D13 D15 D17 D19 D21 D23 D25 D27 D29 D31 D33 D35 D37 D39 D43 D45 K5 K7 K9 K11 K13 K15 K17 K19 K21 K23 K25 K27 K29 K31 K33">
    <cfRule type="cellIs" dxfId="342" priority="73" stopIfTrue="1" operator="notEqual">
      <formula>""</formula>
    </cfRule>
  </conditionalFormatting>
  <conditionalFormatting sqref="N11 N13 N15 N17 N19 N21 N23">
    <cfRule type="cellIs" dxfId="341" priority="71" stopIfTrue="1" operator="notEqual">
      <formula>""</formula>
    </cfRule>
  </conditionalFormatting>
  <conditionalFormatting sqref="N11 N13 N15 N17 N19 N21 N23">
    <cfRule type="cellIs" dxfId="340" priority="70" stopIfTrue="1" operator="notEqual">
      <formula>""</formula>
    </cfRule>
  </conditionalFormatting>
  <conditionalFormatting sqref="N11 N13 N15 N17 N19 N21 N23">
    <cfRule type="cellIs" dxfId="339" priority="69" stopIfTrue="1" operator="notEqual">
      <formula>""</formula>
    </cfRule>
  </conditionalFormatting>
  <conditionalFormatting sqref="G4 G6 G8 G10 G12 G14 G16 G18 G20 G22 G24 G26 G28 G30 G32 G34 G36 G38 G40 G42 G44 N4 N6 N8 F35:F45 L4:M33">
    <cfRule type="cellIs" dxfId="338" priority="66" stopIfTrue="1" operator="equal">
      <formula>"Total"</formula>
    </cfRule>
  </conditionalFormatting>
  <conditionalFormatting sqref="F4:F34">
    <cfRule type="cellIs" dxfId="337" priority="68" stopIfTrue="1" operator="equal">
      <formula>"Total"</formula>
    </cfRule>
  </conditionalFormatting>
  <conditionalFormatting sqref="E4:E45">
    <cfRule type="cellIs" dxfId="336" priority="67" stopIfTrue="1" operator="equal">
      <formula>"Total"</formula>
    </cfRule>
  </conditionalFormatting>
  <conditionalFormatting sqref="N10">
    <cfRule type="cellIs" dxfId="335" priority="65" stopIfTrue="1" operator="equal">
      <formula>"Total"</formula>
    </cfRule>
  </conditionalFormatting>
  <conditionalFormatting sqref="N12 N14 N16 N18 N20">
    <cfRule type="cellIs" dxfId="334" priority="64" stopIfTrue="1" operator="equal">
      <formula>"Total"</formula>
    </cfRule>
  </conditionalFormatting>
  <conditionalFormatting sqref="N22">
    <cfRule type="cellIs" dxfId="333" priority="63" stopIfTrue="1" operator="equal">
      <formula>"Total"</formula>
    </cfRule>
  </conditionalFormatting>
  <conditionalFormatting sqref="N25">
    <cfRule type="cellIs" dxfId="332" priority="62" stopIfTrue="1" operator="notEqual">
      <formula>""</formula>
    </cfRule>
  </conditionalFormatting>
  <conditionalFormatting sqref="N25">
    <cfRule type="cellIs" dxfId="331" priority="61" stopIfTrue="1" operator="notEqual">
      <formula>""</formula>
    </cfRule>
  </conditionalFormatting>
  <conditionalFormatting sqref="N25">
    <cfRule type="cellIs" dxfId="330" priority="60" stopIfTrue="1" operator="notEqual">
      <formula>""</formula>
    </cfRule>
  </conditionalFormatting>
  <conditionalFormatting sqref="N24 N26">
    <cfRule type="cellIs" dxfId="329" priority="59" stopIfTrue="1" operator="equal">
      <formula>"Total"</formula>
    </cfRule>
  </conditionalFormatting>
  <conditionalFormatting sqref="N27">
    <cfRule type="cellIs" dxfId="328" priority="58" stopIfTrue="1" operator="notEqual">
      <formula>""</formula>
    </cfRule>
  </conditionalFormatting>
  <conditionalFormatting sqref="N27">
    <cfRule type="cellIs" dxfId="327" priority="57" stopIfTrue="1" operator="notEqual">
      <formula>""</formula>
    </cfRule>
  </conditionalFormatting>
  <conditionalFormatting sqref="N27">
    <cfRule type="cellIs" dxfId="326" priority="56" stopIfTrue="1" operator="notEqual">
      <formula>""</formula>
    </cfRule>
  </conditionalFormatting>
  <conditionalFormatting sqref="N28">
    <cfRule type="cellIs" dxfId="325" priority="55" stopIfTrue="1" operator="equal">
      <formula>"Total"</formula>
    </cfRule>
  </conditionalFormatting>
  <conditionalFormatting sqref="N29">
    <cfRule type="cellIs" dxfId="324" priority="54" stopIfTrue="1" operator="notEqual">
      <formula>""</formula>
    </cfRule>
  </conditionalFormatting>
  <conditionalFormatting sqref="N29">
    <cfRule type="cellIs" dxfId="323" priority="53" stopIfTrue="1" operator="notEqual">
      <formula>""</formula>
    </cfRule>
  </conditionalFormatting>
  <conditionalFormatting sqref="N29">
    <cfRule type="cellIs" dxfId="322" priority="52" stopIfTrue="1" operator="notEqual">
      <formula>""</formula>
    </cfRule>
  </conditionalFormatting>
  <conditionalFormatting sqref="N30 N32">
    <cfRule type="cellIs" dxfId="321" priority="51" stopIfTrue="1" operator="equal">
      <formula>"Total"</formula>
    </cfRule>
  </conditionalFormatting>
  <conditionalFormatting sqref="N31 N33">
    <cfRule type="cellIs" dxfId="320" priority="50" stopIfTrue="1" operator="notEqual">
      <formula>""</formula>
    </cfRule>
  </conditionalFormatting>
  <conditionalFormatting sqref="N31 N33">
    <cfRule type="cellIs" dxfId="319" priority="49" stopIfTrue="1" operator="notEqual">
      <formula>""</formula>
    </cfRule>
  </conditionalFormatting>
  <conditionalFormatting sqref="N31 N33">
    <cfRule type="cellIs" dxfId="318" priority="48" stopIfTrue="1" operator="notEqual">
      <formula>""</formula>
    </cfRule>
  </conditionalFormatting>
  <conditionalFormatting sqref="K35 K37 K39 K41 K43 K45">
    <cfRule type="cellIs" dxfId="317" priority="47" stopIfTrue="1" operator="notEqual">
      <formula>""</formula>
    </cfRule>
  </conditionalFormatting>
  <conditionalFormatting sqref="N35">
    <cfRule type="cellIs" dxfId="316" priority="46" stopIfTrue="1" operator="notEqual">
      <formula>""</formula>
    </cfRule>
  </conditionalFormatting>
  <conditionalFormatting sqref="N35">
    <cfRule type="cellIs" dxfId="315" priority="45" stopIfTrue="1" operator="notEqual">
      <formula>""</formula>
    </cfRule>
  </conditionalFormatting>
  <conditionalFormatting sqref="N35">
    <cfRule type="cellIs" dxfId="314" priority="44" stopIfTrue="1" operator="notEqual">
      <formula>""</formula>
    </cfRule>
  </conditionalFormatting>
  <conditionalFormatting sqref="M35">
    <cfRule type="cellIs" dxfId="313" priority="43" stopIfTrue="1" operator="equal">
      <formula>"Total"</formula>
    </cfRule>
  </conditionalFormatting>
  <conditionalFormatting sqref="N34">
    <cfRule type="cellIs" dxfId="312" priority="42" stopIfTrue="1" operator="equal">
      <formula>"Total"</formula>
    </cfRule>
  </conditionalFormatting>
  <conditionalFormatting sqref="M34">
    <cfRule type="cellIs" dxfId="311" priority="41" stopIfTrue="1" operator="equal">
      <formula>"Total"</formula>
    </cfRule>
  </conditionalFormatting>
  <conditionalFormatting sqref="N37">
    <cfRule type="cellIs" dxfId="310" priority="40" stopIfTrue="1" operator="notEqual">
      <formula>""</formula>
    </cfRule>
  </conditionalFormatting>
  <conditionalFormatting sqref="N37">
    <cfRule type="cellIs" dxfId="309" priority="39" stopIfTrue="1" operator="notEqual">
      <formula>""</formula>
    </cfRule>
  </conditionalFormatting>
  <conditionalFormatting sqref="N37">
    <cfRule type="cellIs" dxfId="308" priority="38" stopIfTrue="1" operator="notEqual">
      <formula>""</formula>
    </cfRule>
  </conditionalFormatting>
  <conditionalFormatting sqref="M37">
    <cfRule type="cellIs" dxfId="307" priority="37" stopIfTrue="1" operator="equal">
      <formula>"Total"</formula>
    </cfRule>
  </conditionalFormatting>
  <conditionalFormatting sqref="N36 N38">
    <cfRule type="cellIs" dxfId="306" priority="36" stopIfTrue="1" operator="equal">
      <formula>"Total"</formula>
    </cfRule>
  </conditionalFormatting>
  <conditionalFormatting sqref="M36 M38">
    <cfRule type="cellIs" dxfId="305" priority="35" stopIfTrue="1" operator="equal">
      <formula>"Total"</formula>
    </cfRule>
  </conditionalFormatting>
  <conditionalFormatting sqref="L38 L34 L36">
    <cfRule type="cellIs" dxfId="304" priority="34" stopIfTrue="1" operator="equal">
      <formula>"Total"</formula>
    </cfRule>
  </conditionalFormatting>
  <conditionalFormatting sqref="L39 L35 L37">
    <cfRule type="cellIs" dxfId="303" priority="33" stopIfTrue="1" operator="notEqual">
      <formula>""</formula>
    </cfRule>
  </conditionalFormatting>
  <conditionalFormatting sqref="L39 L35 L37">
    <cfRule type="cellIs" dxfId="302" priority="32" stopIfTrue="1" operator="notEqual">
      <formula>""</formula>
    </cfRule>
  </conditionalFormatting>
  <conditionalFormatting sqref="L39 L35 L37">
    <cfRule type="cellIs" dxfId="301" priority="31" stopIfTrue="1" operator="notEqual">
      <formula>""</formula>
    </cfRule>
  </conditionalFormatting>
  <conditionalFormatting sqref="L39 L35 L37">
    <cfRule type="cellIs" dxfId="300" priority="30" stopIfTrue="1" operator="notEqual">
      <formula>""</formula>
    </cfRule>
  </conditionalFormatting>
  <conditionalFormatting sqref="N39">
    <cfRule type="cellIs" dxfId="299" priority="29" stopIfTrue="1" operator="notEqual">
      <formula>""</formula>
    </cfRule>
  </conditionalFormatting>
  <conditionalFormatting sqref="N39">
    <cfRule type="cellIs" dxfId="298" priority="28" stopIfTrue="1" operator="notEqual">
      <formula>""</formula>
    </cfRule>
  </conditionalFormatting>
  <conditionalFormatting sqref="N39">
    <cfRule type="cellIs" dxfId="297" priority="27" stopIfTrue="1" operator="notEqual">
      <formula>""</formula>
    </cfRule>
  </conditionalFormatting>
  <conditionalFormatting sqref="M39">
    <cfRule type="cellIs" dxfId="296" priority="26" stopIfTrue="1" operator="equal">
      <formula>"Total"</formula>
    </cfRule>
  </conditionalFormatting>
  <conditionalFormatting sqref="L39 L35 L37">
    <cfRule type="cellIs" dxfId="295" priority="25" stopIfTrue="1" operator="equal">
      <formula>"Total"</formula>
    </cfRule>
  </conditionalFormatting>
  <conditionalFormatting sqref="N40">
    <cfRule type="cellIs" dxfId="294" priority="24" stopIfTrue="1" operator="equal">
      <formula>"Total"</formula>
    </cfRule>
  </conditionalFormatting>
  <conditionalFormatting sqref="M40">
    <cfRule type="cellIs" dxfId="293" priority="23" stopIfTrue="1" operator="equal">
      <formula>"Total"</formula>
    </cfRule>
  </conditionalFormatting>
  <conditionalFormatting sqref="L40">
    <cfRule type="cellIs" dxfId="292" priority="22" stopIfTrue="1" operator="equal">
      <formula>"Total"</formula>
    </cfRule>
  </conditionalFormatting>
  <conditionalFormatting sqref="L41">
    <cfRule type="cellIs" dxfId="291" priority="21" stopIfTrue="1" operator="notEqual">
      <formula>""</formula>
    </cfRule>
  </conditionalFormatting>
  <conditionalFormatting sqref="L41">
    <cfRule type="cellIs" dxfId="290" priority="20" stopIfTrue="1" operator="notEqual">
      <formula>""</formula>
    </cfRule>
  </conditionalFormatting>
  <conditionalFormatting sqref="L41">
    <cfRule type="cellIs" dxfId="289" priority="19" stopIfTrue="1" operator="notEqual">
      <formula>""</formula>
    </cfRule>
  </conditionalFormatting>
  <conditionalFormatting sqref="L41">
    <cfRule type="cellIs" dxfId="288" priority="18" stopIfTrue="1" operator="notEqual">
      <formula>""</formula>
    </cfRule>
  </conditionalFormatting>
  <conditionalFormatting sqref="N41">
    <cfRule type="cellIs" dxfId="287" priority="17" stopIfTrue="1" operator="notEqual">
      <formula>""</formula>
    </cfRule>
  </conditionalFormatting>
  <conditionalFormatting sqref="N41">
    <cfRule type="cellIs" dxfId="286" priority="16" stopIfTrue="1" operator="notEqual">
      <formula>""</formula>
    </cfRule>
  </conditionalFormatting>
  <conditionalFormatting sqref="N41">
    <cfRule type="cellIs" dxfId="285" priority="15" stopIfTrue="1" operator="notEqual">
      <formula>""</formula>
    </cfRule>
  </conditionalFormatting>
  <conditionalFormatting sqref="M41">
    <cfRule type="cellIs" dxfId="284" priority="14" stopIfTrue="1" operator="equal">
      <formula>"Total"</formula>
    </cfRule>
  </conditionalFormatting>
  <conditionalFormatting sqref="L41">
    <cfRule type="cellIs" dxfId="283" priority="13" stopIfTrue="1" operator="equal">
      <formula>"Total"</formula>
    </cfRule>
  </conditionalFormatting>
  <conditionalFormatting sqref="N42 N44">
    <cfRule type="cellIs" dxfId="282" priority="12" stopIfTrue="1" operator="equal">
      <formula>"Total"</formula>
    </cfRule>
  </conditionalFormatting>
  <conditionalFormatting sqref="M42 M44">
    <cfRule type="cellIs" dxfId="281" priority="11" stopIfTrue="1" operator="equal">
      <formula>"Total"</formula>
    </cfRule>
  </conditionalFormatting>
  <conditionalFormatting sqref="L42 L44">
    <cfRule type="cellIs" dxfId="280" priority="10" stopIfTrue="1" operator="equal">
      <formula>"Total"</formula>
    </cfRule>
  </conditionalFormatting>
  <conditionalFormatting sqref="L43 L45">
    <cfRule type="cellIs" dxfId="279" priority="9" stopIfTrue="1" operator="notEqual">
      <formula>""</formula>
    </cfRule>
  </conditionalFormatting>
  <conditionalFormatting sqref="L43 L45">
    <cfRule type="cellIs" dxfId="278" priority="8" stopIfTrue="1" operator="notEqual">
      <formula>""</formula>
    </cfRule>
  </conditionalFormatting>
  <conditionalFormatting sqref="L43 L45">
    <cfRule type="cellIs" dxfId="277" priority="7" stopIfTrue="1" operator="notEqual">
      <formula>""</formula>
    </cfRule>
  </conditionalFormatting>
  <conditionalFormatting sqref="L43 L45">
    <cfRule type="cellIs" dxfId="276" priority="6" stopIfTrue="1" operator="notEqual">
      <formula>""</formula>
    </cfRule>
  </conditionalFormatting>
  <conditionalFormatting sqref="N43 N45">
    <cfRule type="cellIs" dxfId="275" priority="5" stopIfTrue="1" operator="notEqual">
      <formula>""</formula>
    </cfRule>
  </conditionalFormatting>
  <conditionalFormatting sqref="N43 N45">
    <cfRule type="cellIs" dxfId="274" priority="4" stopIfTrue="1" operator="notEqual">
      <formula>""</formula>
    </cfRule>
  </conditionalFormatting>
  <conditionalFormatting sqref="N43 N45">
    <cfRule type="cellIs" dxfId="273" priority="3" stopIfTrue="1" operator="notEqual">
      <formula>""</formula>
    </cfRule>
  </conditionalFormatting>
  <conditionalFormatting sqref="M43 M45">
    <cfRule type="cellIs" dxfId="272" priority="2" stopIfTrue="1" operator="equal">
      <formula>"Total"</formula>
    </cfRule>
  </conditionalFormatting>
  <conditionalFormatting sqref="L43 L45">
    <cfRule type="cellIs" dxfId="271"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D7A4-9ACB-4C61-B294-FE16F9C4719D}">
  <dimension ref="A1:N46"/>
  <sheetViews>
    <sheetView showGridLines="0" zoomScale="95" zoomScaleNormal="95" zoomScaleSheetLayoutView="110" workbookViewId="0">
      <pane ySplit="2" topLeftCell="A3" activePane="bottomLeft" state="frozen"/>
      <selection activeCell="P35" sqref="P35"/>
      <selection pane="bottomLeft" activeCell="N3" sqref="N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55</v>
      </c>
      <c r="D2" s="6"/>
      <c r="G2" s="231">
        <f>'base(indices)'!I2</f>
        <v>45474</v>
      </c>
      <c r="I2" s="301">
        <v>1</v>
      </c>
      <c r="K2" s="230"/>
    </row>
    <row r="3" spans="1:14" ht="26.25" customHeight="1" thickBot="1">
      <c r="A3" s="1"/>
      <c r="B3" s="229" t="s">
        <v>51</v>
      </c>
      <c r="C3" s="229" t="s">
        <v>52</v>
      </c>
      <c r="D3" s="228" t="s">
        <v>7</v>
      </c>
      <c r="E3" s="227" t="s">
        <v>53</v>
      </c>
      <c r="F3" s="227" t="s">
        <v>54</v>
      </c>
      <c r="G3" s="227" t="s">
        <v>246</v>
      </c>
      <c r="I3" s="229" t="s">
        <v>51</v>
      </c>
      <c r="J3" s="229" t="s">
        <v>52</v>
      </c>
      <c r="K3" s="228" t="s">
        <v>7</v>
      </c>
      <c r="L3" s="227" t="s">
        <v>53</v>
      </c>
      <c r="M3" s="227" t="s">
        <v>54</v>
      </c>
      <c r="N3" s="227" t="s">
        <v>246</v>
      </c>
    </row>
    <row r="4" spans="1:14" ht="12.75" customHeight="1">
      <c r="B4" s="223">
        <f>'BPC LOAS '!A47</f>
        <v>72</v>
      </c>
      <c r="C4" s="223">
        <f t="shared" ref="C4:C44" si="0">C5</f>
        <v>6</v>
      </c>
      <c r="D4" s="226">
        <v>43101</v>
      </c>
      <c r="E4" s="225">
        <f>'BPC LOAS '!J47</f>
        <v>76000.758974384822</v>
      </c>
      <c r="F4" s="221">
        <f>'BPC LOAS '!K47</f>
        <v>8719.2410256151761</v>
      </c>
      <c r="G4" s="234">
        <f t="shared" ref="G4:G45" si="1">SUM(E4:F4)</f>
        <v>84720</v>
      </c>
      <c r="I4" s="237">
        <f>'BPC LOAS '!A89</f>
        <v>30</v>
      </c>
      <c r="J4" s="223">
        <f>'LOAS 90% E.R.S.E.'!J4</f>
        <v>6</v>
      </c>
      <c r="K4" s="222">
        <v>44378</v>
      </c>
      <c r="L4" s="225">
        <f>'BPC LOAS '!J89</f>
        <v>43718.20756095586</v>
      </c>
      <c r="M4" s="221">
        <f>'BPC LOAS '!K89</f>
        <v>8719.2410256151761</v>
      </c>
      <c r="N4" s="221">
        <f t="shared" ref="N4:N45" si="2">SUM(L4:M4)</f>
        <v>52437.448586571038</v>
      </c>
    </row>
    <row r="5" spans="1:14" ht="12.75" customHeight="1">
      <c r="B5" s="238">
        <f>'BPC LOAS '!A48</f>
        <v>71</v>
      </c>
      <c r="C5" s="238">
        <f t="shared" si="0"/>
        <v>6</v>
      </c>
      <c r="D5" s="106">
        <v>43132</v>
      </c>
      <c r="E5" s="233">
        <f>'BPC LOAS '!J48</f>
        <v>76000.758974384822</v>
      </c>
      <c r="F5" s="224">
        <f>'BPC LOAS '!K48</f>
        <v>8719.2410256151761</v>
      </c>
      <c r="G5" s="235">
        <f t="shared" si="1"/>
        <v>84720</v>
      </c>
      <c r="I5" s="143">
        <f>'BPC LOAS '!A90</f>
        <v>29</v>
      </c>
      <c r="J5" s="238">
        <f>'LOAS 90% E.R.S.E.'!J5</f>
        <v>6</v>
      </c>
      <c r="K5" s="106">
        <v>44409</v>
      </c>
      <c r="L5" s="233">
        <f>'BPC LOAS '!J90</f>
        <v>42219.790625432666</v>
      </c>
      <c r="M5" s="224">
        <f>'BPC LOAS '!K90</f>
        <v>8719.2410256151761</v>
      </c>
      <c r="N5" s="61">
        <f t="shared" si="2"/>
        <v>50939.031651047844</v>
      </c>
    </row>
    <row r="6" spans="1:14" ht="12.75" customHeight="1">
      <c r="B6" s="223">
        <f>'BPC LOAS '!A49</f>
        <v>70</v>
      </c>
      <c r="C6" s="223">
        <f t="shared" si="0"/>
        <v>6</v>
      </c>
      <c r="D6" s="222">
        <v>43160</v>
      </c>
      <c r="E6" s="225">
        <f>'BPC LOAS '!J49</f>
        <v>76000.758974384822</v>
      </c>
      <c r="F6" s="221">
        <f>'BPC LOAS '!K49</f>
        <v>8719.2410256151761</v>
      </c>
      <c r="G6" s="236">
        <f t="shared" si="1"/>
        <v>84720</v>
      </c>
      <c r="I6" s="237">
        <f>'BPC LOAS '!A91</f>
        <v>28</v>
      </c>
      <c r="J6" s="223">
        <f>'LOAS 90% E.R.S.E.'!J6</f>
        <v>6</v>
      </c>
      <c r="K6" s="222">
        <v>44440</v>
      </c>
      <c r="L6" s="225">
        <f>'BPC LOAS '!J91</f>
        <v>40733.334066645461</v>
      </c>
      <c r="M6" s="221">
        <f>'BPC LOAS '!K91</f>
        <v>8719.2410256151761</v>
      </c>
      <c r="N6" s="221">
        <f t="shared" si="2"/>
        <v>49452.575092260638</v>
      </c>
    </row>
    <row r="7" spans="1:14" ht="12.75" customHeight="1">
      <c r="B7" s="238">
        <f>'BPC LOAS '!A50</f>
        <v>69</v>
      </c>
      <c r="C7" s="238">
        <f t="shared" si="0"/>
        <v>6</v>
      </c>
      <c r="D7" s="106">
        <v>43191</v>
      </c>
      <c r="E7" s="233">
        <f>'BPC LOAS '!J50</f>
        <v>76000.758974384822</v>
      </c>
      <c r="F7" s="224">
        <f>'BPC LOAS '!K50</f>
        <v>8719.2410256151761</v>
      </c>
      <c r="G7" s="235">
        <f t="shared" si="1"/>
        <v>84720</v>
      </c>
      <c r="I7" s="143">
        <f>'BPC LOAS '!A92</f>
        <v>27</v>
      </c>
      <c r="J7" s="238">
        <f>'LOAS 90% E.R.S.E.'!J7</f>
        <v>6</v>
      </c>
      <c r="K7" s="106">
        <v>44470</v>
      </c>
      <c r="L7" s="233">
        <f>'BPC LOAS '!J92</f>
        <v>39261.80311566306</v>
      </c>
      <c r="M7" s="224">
        <f>'BPC LOAS '!K92</f>
        <v>8719.2410256151761</v>
      </c>
      <c r="N7" s="61">
        <f t="shared" si="2"/>
        <v>47981.044141278238</v>
      </c>
    </row>
    <row r="8" spans="1:14" ht="12.75" customHeight="1">
      <c r="B8" s="223">
        <f>'BPC LOAS '!A51</f>
        <v>68</v>
      </c>
      <c r="C8" s="223">
        <f t="shared" si="0"/>
        <v>6</v>
      </c>
      <c r="D8" s="222">
        <v>43221</v>
      </c>
      <c r="E8" s="225">
        <f>'BPC LOAS '!J51</f>
        <v>76000.758974384822</v>
      </c>
      <c r="F8" s="221">
        <f>'BPC LOAS '!K51</f>
        <v>8719.2410256151761</v>
      </c>
      <c r="G8" s="236">
        <f t="shared" si="1"/>
        <v>84720</v>
      </c>
      <c r="I8" s="237">
        <f>'BPC LOAS '!A93</f>
        <v>26</v>
      </c>
      <c r="J8" s="223">
        <f>'LOAS 90% E.R.S.E.'!J8</f>
        <v>6</v>
      </c>
      <c r="K8" s="222">
        <v>44501</v>
      </c>
      <c r="L8" s="225">
        <f>'BPC LOAS '!J93</f>
        <v>37807.287396021464</v>
      </c>
      <c r="M8" s="221">
        <f>'BPC LOAS '!K93</f>
        <v>8719.2410256151761</v>
      </c>
      <c r="N8" s="221">
        <f t="shared" si="2"/>
        <v>46526.528421636642</v>
      </c>
    </row>
    <row r="9" spans="1:14" ht="12.75" customHeight="1">
      <c r="B9" s="238">
        <f>'BPC LOAS '!A52</f>
        <v>67</v>
      </c>
      <c r="C9" s="238">
        <f t="shared" si="0"/>
        <v>6</v>
      </c>
      <c r="D9" s="106">
        <v>43252</v>
      </c>
      <c r="E9" s="233">
        <f>'BPC LOAS '!J52</f>
        <v>76000.758974384822</v>
      </c>
      <c r="F9" s="224">
        <f>'BPC LOAS '!K52</f>
        <v>8719.2410256151761</v>
      </c>
      <c r="G9" s="235">
        <f t="shared" si="1"/>
        <v>84720</v>
      </c>
      <c r="I9" s="143">
        <f>'BPC LOAS '!A94</f>
        <v>25</v>
      </c>
      <c r="J9" s="238">
        <f>'LOAS 90% E.R.S.E.'!J9</f>
        <v>6</v>
      </c>
      <c r="K9" s="106">
        <v>44531</v>
      </c>
      <c r="L9" s="233">
        <f>'BPC LOAS '!J94</f>
        <v>36369.807072603857</v>
      </c>
      <c r="M9" s="224">
        <f>'BPC LOAS '!K94</f>
        <v>8719.2410256151761</v>
      </c>
      <c r="N9" s="142">
        <f t="shared" si="2"/>
        <v>45089.048098219035</v>
      </c>
    </row>
    <row r="10" spans="1:14" ht="12.75" customHeight="1">
      <c r="B10" s="223">
        <f>'BPC LOAS '!A53</f>
        <v>66</v>
      </c>
      <c r="C10" s="223">
        <f t="shared" si="0"/>
        <v>6</v>
      </c>
      <c r="D10" s="222">
        <v>43282</v>
      </c>
      <c r="E10" s="225">
        <f>'BPC LOAS '!J53</f>
        <v>76000.758974384822</v>
      </c>
      <c r="F10" s="221">
        <f>'BPC LOAS '!K53</f>
        <v>8719.2410256151761</v>
      </c>
      <c r="G10" s="236">
        <f t="shared" si="1"/>
        <v>84720</v>
      </c>
      <c r="I10" s="237">
        <f>'BPC LOAS '!A95</f>
        <v>24</v>
      </c>
      <c r="J10" s="223">
        <f>'LOAS 90% E.R.S.E.'!J10</f>
        <v>6</v>
      </c>
      <c r="K10" s="222">
        <v>44562</v>
      </c>
      <c r="L10" s="225">
        <f>'BPC LOAS '!J95</f>
        <v>34872.598102548043</v>
      </c>
      <c r="M10" s="221">
        <f>'BPC LOAS '!K95</f>
        <v>8719.2410256151761</v>
      </c>
      <c r="N10" s="221">
        <f t="shared" si="2"/>
        <v>43591.839128163221</v>
      </c>
    </row>
    <row r="11" spans="1:14" ht="12.75" customHeight="1">
      <c r="B11" s="238">
        <f>'BPC LOAS '!A54</f>
        <v>65</v>
      </c>
      <c r="C11" s="238">
        <f t="shared" si="0"/>
        <v>6</v>
      </c>
      <c r="D11" s="106">
        <v>43313</v>
      </c>
      <c r="E11" s="233">
        <f>'BPC LOAS '!J54</f>
        <v>76000.758974384822</v>
      </c>
      <c r="F11" s="224">
        <f>'BPC LOAS '!K54</f>
        <v>8719.2410256151761</v>
      </c>
      <c r="G11" s="235">
        <f t="shared" si="1"/>
        <v>84720</v>
      </c>
      <c r="I11" s="143">
        <f>'BPC LOAS '!A96</f>
        <v>23</v>
      </c>
      <c r="J11" s="238">
        <f>'LOAS 90% E.R.S.E.'!J11</f>
        <v>6</v>
      </c>
      <c r="K11" s="106">
        <v>44593</v>
      </c>
      <c r="L11" s="233">
        <f>'BPC LOAS '!J96</f>
        <v>33311.723933765526</v>
      </c>
      <c r="M11" s="224">
        <f>'BPC LOAS '!K96</f>
        <v>8719.2410256151761</v>
      </c>
      <c r="N11" s="142">
        <f t="shared" si="2"/>
        <v>42030.964959380704</v>
      </c>
    </row>
    <row r="12" spans="1:14" ht="12.75" customHeight="1">
      <c r="B12" s="223">
        <f>'BPC LOAS '!A55</f>
        <v>64</v>
      </c>
      <c r="C12" s="223">
        <f t="shared" si="0"/>
        <v>6</v>
      </c>
      <c r="D12" s="222">
        <v>43344</v>
      </c>
      <c r="E12" s="225">
        <f>'BPC LOAS '!J55</f>
        <v>76000.758974384822</v>
      </c>
      <c r="F12" s="221">
        <f>'BPC LOAS '!K55</f>
        <v>8719.2410256151761</v>
      </c>
      <c r="G12" s="236">
        <f t="shared" si="1"/>
        <v>84720</v>
      </c>
      <c r="I12" s="237">
        <f>'BPC LOAS '!A97</f>
        <v>22</v>
      </c>
      <c r="J12" s="223">
        <f>'LOAS 90% E.R.S.E.'!J12</f>
        <v>6</v>
      </c>
      <c r="K12" s="222">
        <v>44621</v>
      </c>
      <c r="L12" s="225">
        <f>'BPC LOAS '!J97</f>
        <v>31759.879164802423</v>
      </c>
      <c r="M12" s="221">
        <f>'BPC LOAS '!K97</f>
        <v>8719.2410256151761</v>
      </c>
      <c r="N12" s="221">
        <f t="shared" si="2"/>
        <v>40479.120190417598</v>
      </c>
    </row>
    <row r="13" spans="1:14" ht="12.75" customHeight="1">
      <c r="B13" s="238">
        <f>'BPC LOAS '!A56</f>
        <v>63</v>
      </c>
      <c r="C13" s="238">
        <f t="shared" si="0"/>
        <v>6</v>
      </c>
      <c r="D13" s="106">
        <v>43374</v>
      </c>
      <c r="E13" s="233">
        <f>'BPC LOAS '!J56</f>
        <v>76000.758974384822</v>
      </c>
      <c r="F13" s="224">
        <f>'BPC LOAS '!K56</f>
        <v>8719.2410256151761</v>
      </c>
      <c r="G13" s="235">
        <f t="shared" si="1"/>
        <v>84720</v>
      </c>
      <c r="I13" s="143">
        <f>'BPC LOAS '!A98</f>
        <v>21</v>
      </c>
      <c r="J13" s="238">
        <f>'LOAS 90% E.R.S.E.'!J13</f>
        <v>6</v>
      </c>
      <c r="K13" s="106">
        <v>44652</v>
      </c>
      <c r="L13" s="233">
        <f>'BPC LOAS '!J98</f>
        <v>30218.27579563449</v>
      </c>
      <c r="M13" s="224">
        <f>'BPC LOAS '!K98</f>
        <v>8719.2410256151761</v>
      </c>
      <c r="N13" s="142">
        <f t="shared" si="2"/>
        <v>38937.516821249665</v>
      </c>
    </row>
    <row r="14" spans="1:14" ht="12.75" customHeight="1">
      <c r="B14" s="223">
        <f>'BPC LOAS '!A57</f>
        <v>62</v>
      </c>
      <c r="C14" s="223">
        <f t="shared" si="0"/>
        <v>6</v>
      </c>
      <c r="D14" s="222">
        <v>43405</v>
      </c>
      <c r="E14" s="225">
        <f>'BPC LOAS '!J57</f>
        <v>76000.758974384822</v>
      </c>
      <c r="F14" s="221">
        <f>'BPC LOAS '!K57</f>
        <v>8719.2410256151761</v>
      </c>
      <c r="G14" s="236">
        <f t="shared" si="1"/>
        <v>84720</v>
      </c>
      <c r="I14" s="237">
        <f>'BPC LOAS '!A99</f>
        <v>20</v>
      </c>
      <c r="J14" s="223">
        <f>'LOAS 90% E.R.S.E.'!J14</f>
        <v>6</v>
      </c>
      <c r="K14" s="222">
        <v>44682</v>
      </c>
      <c r="L14" s="225">
        <f>'BPC LOAS '!J99</f>
        <v>28687.338026253245</v>
      </c>
      <c r="M14" s="221">
        <f>'BPC LOAS '!K99</f>
        <v>8719.2410256151761</v>
      </c>
      <c r="N14" s="221">
        <f t="shared" si="2"/>
        <v>37406.579051868423</v>
      </c>
    </row>
    <row r="15" spans="1:14" ht="12.75" customHeight="1">
      <c r="B15" s="238">
        <f>'BPC LOAS '!A58</f>
        <v>61</v>
      </c>
      <c r="C15" s="238">
        <f t="shared" si="0"/>
        <v>6</v>
      </c>
      <c r="D15" s="106">
        <v>43435</v>
      </c>
      <c r="E15" s="233">
        <f>'BPC LOAS '!J58</f>
        <v>76000.758974384822</v>
      </c>
      <c r="F15" s="224">
        <f>'BPC LOAS '!K58</f>
        <v>8719.2410256151761</v>
      </c>
      <c r="G15" s="235">
        <f t="shared" si="1"/>
        <v>84720</v>
      </c>
      <c r="I15" s="143">
        <f>'BPC LOAS '!A100</f>
        <v>19</v>
      </c>
      <c r="J15" s="238">
        <f>'LOAS 90% E.R.S.E.'!J15</f>
        <v>6</v>
      </c>
      <c r="K15" s="106">
        <v>44713</v>
      </c>
      <c r="L15" s="233">
        <f>'BPC LOAS '!J100</f>
        <v>27167.671856646572</v>
      </c>
      <c r="M15" s="224">
        <f>'BPC LOAS '!K100</f>
        <v>8719.2410256151761</v>
      </c>
      <c r="N15" s="142">
        <f t="shared" si="2"/>
        <v>35886.912882261749</v>
      </c>
    </row>
    <row r="16" spans="1:14" ht="12.75" customHeight="1">
      <c r="B16" s="223">
        <f>'BPC LOAS '!A59</f>
        <v>60</v>
      </c>
      <c r="C16" s="223">
        <f t="shared" si="0"/>
        <v>6</v>
      </c>
      <c r="D16" s="222">
        <v>43466</v>
      </c>
      <c r="E16" s="225">
        <f>'BPC LOAS '!J59</f>
        <v>76000.758974384822</v>
      </c>
      <c r="F16" s="221">
        <f>'BPC LOAS '!K59</f>
        <v>8719.2410256151761</v>
      </c>
      <c r="G16" s="236">
        <f t="shared" si="1"/>
        <v>84720</v>
      </c>
      <c r="I16" s="237">
        <f>'BPC LOAS '!A101</f>
        <v>18</v>
      </c>
      <c r="J16" s="223">
        <f>'LOAS 90% E.R.S.E.'!J16</f>
        <v>6</v>
      </c>
      <c r="K16" s="222">
        <v>44743</v>
      </c>
      <c r="L16" s="225">
        <f>'BPC LOAS '!J101</f>
        <v>25660.428686791438</v>
      </c>
      <c r="M16" s="221">
        <f>'BPC LOAS '!K101</f>
        <v>8719.2410256151761</v>
      </c>
      <c r="N16" s="221">
        <f t="shared" si="2"/>
        <v>34379.669712406612</v>
      </c>
    </row>
    <row r="17" spans="2:14" ht="12.75" customHeight="1">
      <c r="B17" s="238">
        <f>'BPC LOAS '!A60</f>
        <v>59</v>
      </c>
      <c r="C17" s="238">
        <f t="shared" si="0"/>
        <v>6</v>
      </c>
      <c r="D17" s="106">
        <v>43497</v>
      </c>
      <c r="E17" s="233">
        <f>'BPC LOAS '!J60</f>
        <v>76000.758974384822</v>
      </c>
      <c r="F17" s="224">
        <f>'BPC LOAS '!K60</f>
        <v>8719.2410256151761</v>
      </c>
      <c r="G17" s="235">
        <f t="shared" si="1"/>
        <v>84720</v>
      </c>
      <c r="I17" s="143">
        <f>'BPC LOAS '!A102</f>
        <v>17</v>
      </c>
      <c r="J17" s="238">
        <f>'LOAS 90% E.R.S.E.'!J17</f>
        <v>6</v>
      </c>
      <c r="K17" s="106">
        <v>44774</v>
      </c>
      <c r="L17" s="233">
        <f>'BPC LOAS '!J102</f>
        <v>24165.60851668784</v>
      </c>
      <c r="M17" s="224">
        <f>'BPC LOAS '!K102</f>
        <v>8719.2410256151761</v>
      </c>
      <c r="N17" s="142">
        <f t="shared" si="2"/>
        <v>32884.849542303018</v>
      </c>
    </row>
    <row r="18" spans="2:14" ht="12.75" customHeight="1">
      <c r="B18" s="223">
        <f>'BPC LOAS '!A61</f>
        <v>58</v>
      </c>
      <c r="C18" s="223">
        <f t="shared" si="0"/>
        <v>6</v>
      </c>
      <c r="D18" s="222">
        <v>43525</v>
      </c>
      <c r="E18" s="225">
        <f>'BPC LOAS '!J61</f>
        <v>76000.758974384822</v>
      </c>
      <c r="F18" s="221">
        <f>'BPC LOAS '!K61</f>
        <v>8719.2410256151761</v>
      </c>
      <c r="G18" s="236">
        <f t="shared" si="1"/>
        <v>84720</v>
      </c>
      <c r="I18" s="237">
        <f>'BPC LOAS '!A103</f>
        <v>16</v>
      </c>
      <c r="J18" s="223">
        <f>'LOAS 90% E.R.S.E.'!J18</f>
        <v>6</v>
      </c>
      <c r="K18" s="222">
        <v>44805</v>
      </c>
      <c r="L18" s="225">
        <f>'BPC LOAS '!J103</f>
        <v>22684.120346317606</v>
      </c>
      <c r="M18" s="221">
        <f>'BPC LOAS '!K103</f>
        <v>8719.2410256151761</v>
      </c>
      <c r="N18" s="221">
        <f t="shared" si="2"/>
        <v>31403.361371932784</v>
      </c>
    </row>
    <row r="19" spans="2:14" ht="12.75" customHeight="1">
      <c r="B19" s="238">
        <f>'BPC LOAS '!A62</f>
        <v>57</v>
      </c>
      <c r="C19" s="238">
        <f t="shared" si="0"/>
        <v>6</v>
      </c>
      <c r="D19" s="106">
        <v>43556</v>
      </c>
      <c r="E19" s="233">
        <f>'BPC LOAS '!J62</f>
        <v>76000.758974384822</v>
      </c>
      <c r="F19" s="224">
        <f>'BPC LOAS '!K62</f>
        <v>8719.2410256151761</v>
      </c>
      <c r="G19" s="235">
        <f t="shared" si="1"/>
        <v>84720</v>
      </c>
      <c r="I19" s="143">
        <f>'BPC LOAS '!A104</f>
        <v>15</v>
      </c>
      <c r="J19" s="238">
        <f>'LOAS 90% E.R.S.E.'!J19</f>
        <v>6</v>
      </c>
      <c r="K19" s="106">
        <v>44835</v>
      </c>
      <c r="L19" s="233">
        <f>'BPC LOAS '!J104</f>
        <v>21216.206575675882</v>
      </c>
      <c r="M19" s="224">
        <f>'BPC LOAS '!K104</f>
        <v>8719.2410256151761</v>
      </c>
      <c r="N19" s="142">
        <f t="shared" si="2"/>
        <v>29935.44760129106</v>
      </c>
    </row>
    <row r="20" spans="2:14" ht="12.75" customHeight="1">
      <c r="B20" s="223">
        <f>'BPC LOAS '!A63</f>
        <v>56</v>
      </c>
      <c r="C20" s="223">
        <f t="shared" si="0"/>
        <v>6</v>
      </c>
      <c r="D20" s="222">
        <v>43586</v>
      </c>
      <c r="E20" s="225">
        <f>'BPC LOAS '!J63</f>
        <v>76000.758974384822</v>
      </c>
      <c r="F20" s="221">
        <f>'BPC LOAS '!K63</f>
        <v>8719.2410256151761</v>
      </c>
      <c r="G20" s="236">
        <f t="shared" si="1"/>
        <v>84720</v>
      </c>
      <c r="I20" s="237">
        <f>'BPC LOAS '!A105</f>
        <v>14</v>
      </c>
      <c r="J20" s="223">
        <f>'LOAS 90% E.R.S.E.'!J20</f>
        <v>6</v>
      </c>
      <c r="K20" s="222">
        <v>44866</v>
      </c>
      <c r="L20" s="225">
        <f>'BPC LOAS '!J105</f>
        <v>19760.958204780847</v>
      </c>
      <c r="M20" s="221">
        <f>'BPC LOAS '!K105</f>
        <v>8719.2410256151761</v>
      </c>
      <c r="N20" s="221">
        <f t="shared" si="2"/>
        <v>28480.199230396021</v>
      </c>
    </row>
    <row r="21" spans="2:14" ht="12.75" customHeight="1">
      <c r="B21" s="238">
        <f>'BPC LOAS '!A64</f>
        <v>55</v>
      </c>
      <c r="C21" s="238">
        <f t="shared" si="0"/>
        <v>6</v>
      </c>
      <c r="D21" s="106">
        <v>43617</v>
      </c>
      <c r="E21" s="233">
        <f>'BPC LOAS '!J64</f>
        <v>76000.758974384822</v>
      </c>
      <c r="F21" s="224">
        <f>'BPC LOAS '!K64</f>
        <v>8719.2410256151761</v>
      </c>
      <c r="G21" s="235">
        <f t="shared" si="1"/>
        <v>84720</v>
      </c>
      <c r="I21" s="143">
        <f>'BPC LOAS '!A106</f>
        <v>13</v>
      </c>
      <c r="J21" s="238">
        <f>'LOAS 90% E.R.S.E.'!J21</f>
        <v>6</v>
      </c>
      <c r="K21" s="106">
        <v>44896</v>
      </c>
      <c r="L21" s="239">
        <f>'BPC LOAS '!J106</f>
        <v>18318.07223363857</v>
      </c>
      <c r="M21" s="224">
        <f>'BPC LOAS '!K106</f>
        <v>8719.2410256151761</v>
      </c>
      <c r="N21" s="61">
        <f t="shared" si="2"/>
        <v>27037.313259253744</v>
      </c>
    </row>
    <row r="22" spans="2:14" ht="12.75" customHeight="1">
      <c r="B22" s="223">
        <f>'BPC LOAS '!A65</f>
        <v>54</v>
      </c>
      <c r="C22" s="223">
        <f t="shared" si="0"/>
        <v>6</v>
      </c>
      <c r="D22" s="222">
        <v>43647</v>
      </c>
      <c r="E22" s="225">
        <f>'BPC LOAS '!J65</f>
        <v>76000.758974384822</v>
      </c>
      <c r="F22" s="221">
        <f>'BPC LOAS '!K65</f>
        <v>8719.2410256151761</v>
      </c>
      <c r="G22" s="236">
        <f t="shared" si="1"/>
        <v>84720</v>
      </c>
      <c r="I22" s="237">
        <f>'BPC LOAS '!A107</f>
        <v>12</v>
      </c>
      <c r="J22" s="223">
        <f>'LOAS 90% E.R.S.E.'!J22</f>
        <v>6</v>
      </c>
      <c r="K22" s="222">
        <v>44927</v>
      </c>
      <c r="L22" s="225">
        <f>'BPC LOAS '!J107</f>
        <v>16835.315663293703</v>
      </c>
      <c r="M22" s="221">
        <f>'BPC LOAS '!K107</f>
        <v>8719.2410256151761</v>
      </c>
      <c r="N22" s="221">
        <f t="shared" si="2"/>
        <v>25554.55668890888</v>
      </c>
    </row>
    <row r="23" spans="2:14" ht="12.75" customHeight="1">
      <c r="B23" s="238">
        <f>'BPC LOAS '!A66</f>
        <v>53</v>
      </c>
      <c r="C23" s="238">
        <f t="shared" si="0"/>
        <v>6</v>
      </c>
      <c r="D23" s="106">
        <v>43678</v>
      </c>
      <c r="E23" s="233">
        <f>'BPC LOAS '!J66</f>
        <v>76000.758974384822</v>
      </c>
      <c r="F23" s="224">
        <f>'BPC LOAS '!K66</f>
        <v>8719.2410256151761</v>
      </c>
      <c r="G23" s="235">
        <f t="shared" si="1"/>
        <v>84720</v>
      </c>
      <c r="I23" s="143">
        <f>'BPC LOAS '!A108</f>
        <v>11</v>
      </c>
      <c r="J23" s="238">
        <f>'LOAS 90% E.R.S.E.'!J23</f>
        <v>6</v>
      </c>
      <c r="K23" s="106">
        <v>44958</v>
      </c>
      <c r="L23" s="239">
        <f>'BPC LOAS '!J108</f>
        <v>15313.798493724045</v>
      </c>
      <c r="M23" s="224">
        <f>'BPC LOAS '!K108</f>
        <v>8719.2410256151761</v>
      </c>
      <c r="N23" s="61">
        <f t="shared" si="2"/>
        <v>24033.039519339221</v>
      </c>
    </row>
    <row r="24" spans="2:14" ht="12.75" customHeight="1">
      <c r="B24" s="223">
        <f>'BPC LOAS '!A67</f>
        <v>52</v>
      </c>
      <c r="C24" s="223">
        <f t="shared" si="0"/>
        <v>6</v>
      </c>
      <c r="D24" s="222">
        <v>43709</v>
      </c>
      <c r="E24" s="225">
        <f>'BPC LOAS '!J67</f>
        <v>76000.758974384822</v>
      </c>
      <c r="F24" s="221">
        <f>'BPC LOAS '!K67</f>
        <v>8719.2410256151761</v>
      </c>
      <c r="G24" s="236">
        <f t="shared" si="1"/>
        <v>84720</v>
      </c>
      <c r="I24" s="237">
        <f>'BPC LOAS '!A109</f>
        <v>10</v>
      </c>
      <c r="J24" s="223">
        <f>'LOAS 90% E.R.S.E.'!J24</f>
        <v>6</v>
      </c>
      <c r="K24" s="222">
        <v>44986</v>
      </c>
      <c r="L24" s="225">
        <f>'BPC LOAS '!J109</f>
        <v>13805.561723888781</v>
      </c>
      <c r="M24" s="221">
        <f>'BPC LOAS '!K109</f>
        <v>8719.2410256151761</v>
      </c>
      <c r="N24" s="221">
        <f t="shared" si="2"/>
        <v>22524.802749503957</v>
      </c>
    </row>
    <row r="25" spans="2:14" ht="12.75" customHeight="1">
      <c r="B25" s="238">
        <f>'BPC LOAS '!A68</f>
        <v>51</v>
      </c>
      <c r="C25" s="238">
        <f t="shared" si="0"/>
        <v>6</v>
      </c>
      <c r="D25" s="106">
        <v>43739</v>
      </c>
      <c r="E25" s="233">
        <f>'BPC LOAS '!J68</f>
        <v>75856.394636578523</v>
      </c>
      <c r="F25" s="224">
        <f>'BPC LOAS '!K68</f>
        <v>8719.2410256151761</v>
      </c>
      <c r="G25" s="235">
        <f t="shared" si="1"/>
        <v>84575.635662193701</v>
      </c>
      <c r="I25" s="143">
        <f>'BPC LOAS '!A110</f>
        <v>9</v>
      </c>
      <c r="J25" s="238">
        <f>'LOAS 90% E.R.S.E.'!J25</f>
        <v>6</v>
      </c>
      <c r="K25" s="106">
        <v>45017</v>
      </c>
      <c r="L25" s="239">
        <f>'BPC LOAS '!J110</f>
        <v>12310.930853781398</v>
      </c>
      <c r="M25" s="224">
        <f>'BPC LOAS '!K110</f>
        <v>8719.2410256151761</v>
      </c>
      <c r="N25" s="61">
        <f t="shared" si="2"/>
        <v>21030.171879396574</v>
      </c>
    </row>
    <row r="26" spans="2:14" ht="12.75" customHeight="1">
      <c r="B26" s="223">
        <f>'BPC LOAS '!A69</f>
        <v>50</v>
      </c>
      <c r="C26" s="223">
        <f t="shared" si="0"/>
        <v>6</v>
      </c>
      <c r="D26" s="222">
        <v>43770</v>
      </c>
      <c r="E26" s="225">
        <f>'BPC LOAS '!J69</f>
        <v>74357.345935056801</v>
      </c>
      <c r="F26" s="221">
        <f>'BPC LOAS '!K69</f>
        <v>8719.2410256151761</v>
      </c>
      <c r="G26" s="236">
        <f t="shared" si="1"/>
        <v>83076.586960671979</v>
      </c>
      <c r="I26" s="237">
        <f>'BPC LOAS '!A111</f>
        <v>8</v>
      </c>
      <c r="J26" s="223">
        <f>'LOAS 90% E.R.S.E.'!J26</f>
        <v>6</v>
      </c>
      <c r="K26" s="222">
        <v>45047</v>
      </c>
      <c r="L26" s="225">
        <f>'BPC LOAS '!J111</f>
        <v>10819.70978360582</v>
      </c>
      <c r="M26" s="221">
        <f>'BPC LOAS '!K111</f>
        <v>8719.2410256151761</v>
      </c>
      <c r="N26" s="221">
        <f t="shared" si="2"/>
        <v>19538.950809220994</v>
      </c>
    </row>
    <row r="27" spans="2:14" ht="12.75" customHeight="1">
      <c r="B27" s="238">
        <f>'BPC LOAS '!A70</f>
        <v>49</v>
      </c>
      <c r="C27" s="238">
        <f t="shared" si="0"/>
        <v>6</v>
      </c>
      <c r="D27" s="106">
        <v>43800</v>
      </c>
      <c r="E27" s="233">
        <f>'BPC LOAS '!J70</f>
        <v>72860.018893554588</v>
      </c>
      <c r="F27" s="224">
        <f>'BPC LOAS '!K70</f>
        <v>8719.2410256151761</v>
      </c>
      <c r="G27" s="235">
        <f t="shared" si="1"/>
        <v>81579.259919169766</v>
      </c>
      <c r="I27" s="143">
        <f>'BPC LOAS '!A112</f>
        <v>7</v>
      </c>
      <c r="J27" s="238">
        <f>'LOAS 90% E.R.S.E.'!J27</f>
        <v>6</v>
      </c>
      <c r="K27" s="106">
        <v>45078</v>
      </c>
      <c r="L27" s="239">
        <f>'BPC LOAS '!J112</f>
        <v>9331.6738133665422</v>
      </c>
      <c r="M27" s="224">
        <f>'BPC LOAS '!K112</f>
        <v>8719.2410256151761</v>
      </c>
      <c r="N27" s="61">
        <f t="shared" si="2"/>
        <v>18050.91483898172</v>
      </c>
    </row>
    <row r="28" spans="2:14" ht="12.75" customHeight="1">
      <c r="B28" s="223">
        <f>'BPC LOAS '!A71</f>
        <v>48</v>
      </c>
      <c r="C28" s="223">
        <f t="shared" si="0"/>
        <v>6</v>
      </c>
      <c r="D28" s="222">
        <v>43831</v>
      </c>
      <c r="E28" s="225">
        <f>'BPC LOAS '!J71</f>
        <v>71341.097256293753</v>
      </c>
      <c r="F28" s="221">
        <f>'BPC LOAS '!K71</f>
        <v>8719.2410256151761</v>
      </c>
      <c r="G28" s="236">
        <f t="shared" si="1"/>
        <v>80060.338281908931</v>
      </c>
      <c r="I28" s="237">
        <f>'BPC LOAS '!A113</f>
        <v>6</v>
      </c>
      <c r="J28" s="223">
        <f>'LOAS 90% E.R.S.E.'!J28</f>
        <v>6</v>
      </c>
      <c r="K28" s="222">
        <v>45108</v>
      </c>
      <c r="L28" s="225">
        <f>'BPC LOAS '!J113</f>
        <v>7858.091842838181</v>
      </c>
      <c r="M28" s="221">
        <f>'BPC LOAS '!K113</f>
        <v>8719.2410256151761</v>
      </c>
      <c r="N28" s="221">
        <f t="shared" si="2"/>
        <v>16577.332868453355</v>
      </c>
    </row>
    <row r="29" spans="2:14" ht="12.75" customHeight="1">
      <c r="B29" s="238">
        <f>'BPC LOAS '!A72</f>
        <v>47</v>
      </c>
      <c r="C29" s="238">
        <f t="shared" si="0"/>
        <v>6</v>
      </c>
      <c r="D29" s="106">
        <v>43862</v>
      </c>
      <c r="E29" s="233">
        <f>'BPC LOAS '!J72</f>
        <v>69800.54788154627</v>
      </c>
      <c r="F29" s="224">
        <f>'BPC LOAS '!K72</f>
        <v>8719.2410256151761</v>
      </c>
      <c r="G29" s="235">
        <f t="shared" si="1"/>
        <v>78519.788907161448</v>
      </c>
      <c r="I29" s="143">
        <f>'BPC LOAS '!A114</f>
        <v>5</v>
      </c>
      <c r="J29" s="238">
        <f>'LOAS 90% E.R.S.E.'!J29</f>
        <v>6</v>
      </c>
      <c r="K29" s="106">
        <v>45139</v>
      </c>
      <c r="L29" s="239">
        <f>'BPC LOAS '!J114</f>
        <v>6398.6338720273407</v>
      </c>
      <c r="M29" s="224">
        <f>'BPC LOAS '!K114</f>
        <v>8719.2410256151761</v>
      </c>
      <c r="N29" s="61">
        <f t="shared" si="2"/>
        <v>15117.874897642516</v>
      </c>
    </row>
    <row r="30" spans="2:14" ht="12.75" customHeight="1">
      <c r="B30" s="223">
        <f>'BPC LOAS '!A73</f>
        <v>46</v>
      </c>
      <c r="C30" s="223">
        <f t="shared" si="0"/>
        <v>6</v>
      </c>
      <c r="D30" s="222">
        <v>43891</v>
      </c>
      <c r="E30" s="225">
        <f>'BPC LOAS '!J73</f>
        <v>68262.702528822585</v>
      </c>
      <c r="F30" s="221">
        <f>'BPC LOAS '!K73</f>
        <v>8719.2410256151761</v>
      </c>
      <c r="G30" s="236">
        <f t="shared" si="1"/>
        <v>76981.943554437763</v>
      </c>
      <c r="I30" s="237">
        <f>'BPC LOAS '!A115</f>
        <v>4</v>
      </c>
      <c r="J30" s="223">
        <f>'LOAS 90% E.R.S.E.'!J30</f>
        <v>6</v>
      </c>
      <c r="K30" s="222">
        <v>45170</v>
      </c>
      <c r="L30" s="225">
        <f>'BPC LOAS '!J115</f>
        <v>4953.7619009247801</v>
      </c>
      <c r="M30" s="221">
        <f>'BPC LOAS '!K115</f>
        <v>8719.2410256151761</v>
      </c>
      <c r="N30" s="221">
        <f t="shared" si="2"/>
        <v>13673.002926539957</v>
      </c>
    </row>
    <row r="31" spans="2:14" ht="12.75" customHeight="1">
      <c r="B31" s="238">
        <f>'BPC LOAS '!A74</f>
        <v>45</v>
      </c>
      <c r="C31" s="238">
        <f t="shared" si="0"/>
        <v>6</v>
      </c>
      <c r="D31" s="106">
        <v>43922</v>
      </c>
      <c r="E31" s="233">
        <f>'BPC LOAS '!J74</f>
        <v>66726.700530818271</v>
      </c>
      <c r="F31" s="224">
        <f>'BPC LOAS '!K74</f>
        <v>8719.2410256151761</v>
      </c>
      <c r="G31" s="235">
        <f t="shared" si="1"/>
        <v>75445.941556433449</v>
      </c>
      <c r="I31" s="143">
        <f>'BPC LOAS '!A116</f>
        <v>3</v>
      </c>
      <c r="J31" s="238">
        <f>'LOAS 90% E.R.S.E.'!J31</f>
        <v>6</v>
      </c>
      <c r="K31" s="106">
        <v>45200</v>
      </c>
      <c r="L31" s="239">
        <f>'BPC LOAS '!J116</f>
        <v>3522.8159295437008</v>
      </c>
      <c r="M31" s="224">
        <f>'BPC LOAS '!K116</f>
        <v>8719.2410256151761</v>
      </c>
      <c r="N31" s="61">
        <f t="shared" si="2"/>
        <v>12242.056955158878</v>
      </c>
    </row>
    <row r="32" spans="2:14" ht="12.75" customHeight="1">
      <c r="B32" s="223">
        <f>'BPC LOAS '!A75</f>
        <v>44</v>
      </c>
      <c r="C32" s="223">
        <f t="shared" si="0"/>
        <v>6</v>
      </c>
      <c r="D32" s="222">
        <v>43952</v>
      </c>
      <c r="E32" s="225">
        <f>'BPC LOAS '!J75</f>
        <v>65190.775315501473</v>
      </c>
      <c r="F32" s="221">
        <f>'BPC LOAS '!K75</f>
        <v>8719.2410256151761</v>
      </c>
      <c r="G32" s="236">
        <f t="shared" si="1"/>
        <v>73910.016341116643</v>
      </c>
      <c r="I32" s="237">
        <f>'BPC LOAS '!A117</f>
        <v>2</v>
      </c>
      <c r="J32" s="223">
        <f>'LOAS 90% E.R.S.E.'!J32</f>
        <v>6</v>
      </c>
      <c r="K32" s="222">
        <v>45231</v>
      </c>
      <c r="L32" s="225">
        <f>'BPC LOAS '!J117</f>
        <v>2104.871957902581</v>
      </c>
      <c r="M32" s="221">
        <f>'BPC LOAS '!K117</f>
        <v>8719.2410256151761</v>
      </c>
      <c r="N32" s="221">
        <f t="shared" si="2"/>
        <v>10824.112983517756</v>
      </c>
    </row>
    <row r="33" spans="2:14" ht="12.75" customHeight="1">
      <c r="B33" s="238">
        <f>'BPC LOAS '!A76</f>
        <v>43</v>
      </c>
      <c r="C33" s="238">
        <f t="shared" si="0"/>
        <v>6</v>
      </c>
      <c r="D33" s="106">
        <v>43983</v>
      </c>
      <c r="E33" s="233">
        <f>'BPC LOAS '!J76</f>
        <v>63650.215198208352</v>
      </c>
      <c r="F33" s="224">
        <f>'BPC LOAS '!K76</f>
        <v>8719.2410256151761</v>
      </c>
      <c r="G33" s="235">
        <f t="shared" si="1"/>
        <v>72369.456223823523</v>
      </c>
      <c r="I33" s="143">
        <f>'BPC LOAS '!A118</f>
        <v>1</v>
      </c>
      <c r="J33" s="238">
        <f>'LOAS 90% E.R.S.E.'!J33</f>
        <v>6</v>
      </c>
      <c r="K33" s="106">
        <v>45261</v>
      </c>
      <c r="L33" s="239">
        <f>'BPC LOAS '!J118</f>
        <v>699.59998600802089</v>
      </c>
      <c r="M33" s="224">
        <f>'BPC LOAS '!K118</f>
        <v>8719.2410256151761</v>
      </c>
      <c r="N33" s="61">
        <f t="shared" si="2"/>
        <v>9418.8410116231971</v>
      </c>
    </row>
    <row r="34" spans="2:14" ht="12.75" customHeight="1">
      <c r="B34" s="223">
        <f>'BPC LOAS '!A77</f>
        <v>42</v>
      </c>
      <c r="C34" s="223">
        <f t="shared" si="0"/>
        <v>6</v>
      </c>
      <c r="D34" s="222">
        <v>44013</v>
      </c>
      <c r="E34" s="225">
        <f>'BPC LOAS '!J77</f>
        <v>62105.251463789631</v>
      </c>
      <c r="F34" s="221">
        <f>'BPC LOAS '!K77</f>
        <v>8719.2410256151761</v>
      </c>
      <c r="G34" s="236">
        <f t="shared" si="1"/>
        <v>70824.492489404802</v>
      </c>
      <c r="I34" s="237">
        <v>0</v>
      </c>
      <c r="J34" s="223">
        <f>'LOAS 90% E.R.S.E.'!J34</f>
        <v>6</v>
      </c>
      <c r="K34" s="222">
        <v>45292</v>
      </c>
      <c r="L34" s="225">
        <f>'BPC LOAS '!J122</f>
        <v>0</v>
      </c>
      <c r="M34" s="221">
        <f>'BPC LOAS '!K122</f>
        <v>7977.1644404567078</v>
      </c>
      <c r="N34" s="221">
        <f t="shared" si="2"/>
        <v>7977.1644404567078</v>
      </c>
    </row>
    <row r="35" spans="2:14" ht="12.75" customHeight="1">
      <c r="B35" s="238">
        <f>'BPC LOAS '!A78</f>
        <v>41</v>
      </c>
      <c r="C35" s="238">
        <f t="shared" si="0"/>
        <v>6</v>
      </c>
      <c r="D35" s="106">
        <v>44044</v>
      </c>
      <c r="E35" s="233">
        <f>'BPC LOAS '!J78</f>
        <v>60562.752493691398</v>
      </c>
      <c r="F35" s="224">
        <f>'BPC LOAS '!K78</f>
        <v>8719.2410256151761</v>
      </c>
      <c r="G35" s="155">
        <f t="shared" si="1"/>
        <v>69281.993519306576</v>
      </c>
      <c r="I35" s="143">
        <v>0</v>
      </c>
      <c r="J35" s="238">
        <f>'LOAS 90% E.R.S.E.'!J35</f>
        <v>5</v>
      </c>
      <c r="K35" s="106">
        <v>45323</v>
      </c>
      <c r="L35" s="155">
        <f>'BPC LOAS '!J123</f>
        <v>0</v>
      </c>
      <c r="M35" s="224">
        <f>'BPC LOAS '!K123</f>
        <v>6499.859470002807</v>
      </c>
      <c r="N35" s="61">
        <f t="shared" si="2"/>
        <v>6499.859470002807</v>
      </c>
    </row>
    <row r="36" spans="2:14" ht="12.75" customHeight="1">
      <c r="B36" s="223">
        <f>'BPC LOAS '!A79</f>
        <v>40</v>
      </c>
      <c r="C36" s="223">
        <f t="shared" si="0"/>
        <v>6</v>
      </c>
      <c r="D36" s="222">
        <v>44075</v>
      </c>
      <c r="E36" s="225">
        <f>'BPC LOAS '!J79</f>
        <v>59024.330961942753</v>
      </c>
      <c r="F36" s="221">
        <f>'BPC LOAS '!K79</f>
        <v>8719.2410256151761</v>
      </c>
      <c r="G36" s="221">
        <f t="shared" si="1"/>
        <v>67743.571987557923</v>
      </c>
      <c r="I36" s="237">
        <v>0</v>
      </c>
      <c r="J36" s="223">
        <f>'LOAS 90% E.R.S.E.'!J36</f>
        <v>4</v>
      </c>
      <c r="K36" s="222">
        <v>45352</v>
      </c>
      <c r="L36" s="225">
        <f>'BPC LOAS '!J124</f>
        <v>0</v>
      </c>
      <c r="M36" s="221">
        <f>'BPC LOAS '!K124</f>
        <v>5035.0506992989831</v>
      </c>
      <c r="N36" s="221">
        <f t="shared" si="2"/>
        <v>5035.0506992989831</v>
      </c>
    </row>
    <row r="37" spans="2:14" ht="12.75" customHeight="1">
      <c r="B37" s="238">
        <f>'BPC LOAS '!A80</f>
        <v>39</v>
      </c>
      <c r="C37" s="238">
        <f t="shared" si="0"/>
        <v>6</v>
      </c>
      <c r="D37" s="106">
        <v>44105</v>
      </c>
      <c r="E37" s="233">
        <f>'BPC LOAS '!J80</f>
        <v>57491.118569735874</v>
      </c>
      <c r="F37" s="224">
        <f>'BPC LOAS '!K80</f>
        <v>8719.2410256151761</v>
      </c>
      <c r="G37" s="61">
        <f t="shared" si="1"/>
        <v>66210.359595351052</v>
      </c>
      <c r="I37" s="412">
        <v>0</v>
      </c>
      <c r="J37" s="238">
        <f>'LOAS 90% E.R.S.E.'!J37</f>
        <v>3</v>
      </c>
      <c r="K37" s="106">
        <v>45383</v>
      </c>
      <c r="L37" s="155">
        <f>'BPC LOAS '!J125</f>
        <v>0</v>
      </c>
      <c r="M37" s="224">
        <f>'BPC LOAS '!K125</f>
        <v>3581.7497283650036</v>
      </c>
      <c r="N37" s="61">
        <f t="shared" si="2"/>
        <v>3581.7497283650036</v>
      </c>
    </row>
    <row r="38" spans="2:14" ht="12.75" customHeight="1">
      <c r="B38" s="223">
        <f>'BPC LOAS '!A81</f>
        <v>38</v>
      </c>
      <c r="C38" s="223">
        <f t="shared" si="0"/>
        <v>6</v>
      </c>
      <c r="D38" s="222">
        <v>44136</v>
      </c>
      <c r="E38" s="225">
        <f>'BPC LOAS '!J81</f>
        <v>55968.471125054435</v>
      </c>
      <c r="F38" s="221">
        <f>'BPC LOAS '!K81</f>
        <v>8719.2410256151761</v>
      </c>
      <c r="G38" s="221">
        <f t="shared" si="1"/>
        <v>64687.712150669613</v>
      </c>
      <c r="I38" s="237">
        <v>0</v>
      </c>
      <c r="J38" s="223">
        <f>'LOAS 90% E.R.S.E.'!J38</f>
        <v>2</v>
      </c>
      <c r="K38" s="222">
        <v>45413</v>
      </c>
      <c r="L38" s="225">
        <f>'BPC LOAS '!J126</f>
        <v>0</v>
      </c>
      <c r="M38" s="221">
        <f>'BPC LOAS '!K126</f>
        <v>2140.5919571881595</v>
      </c>
      <c r="N38" s="221">
        <f t="shared" si="2"/>
        <v>2140.5919571881595</v>
      </c>
    </row>
    <row r="39" spans="2:14" ht="12.75" customHeight="1">
      <c r="B39" s="238">
        <f>'BPC LOAS '!A82</f>
        <v>37</v>
      </c>
      <c r="C39" s="238">
        <f t="shared" si="0"/>
        <v>6</v>
      </c>
      <c r="D39" s="106">
        <v>44166</v>
      </c>
      <c r="E39" s="233">
        <f>'BPC LOAS '!J82</f>
        <v>54459.035197005156</v>
      </c>
      <c r="F39" s="224">
        <f>'BPC LOAS '!K82</f>
        <v>8719.2410256151761</v>
      </c>
      <c r="G39" s="61">
        <f t="shared" si="1"/>
        <v>63178.276222620334</v>
      </c>
      <c r="I39" s="412">
        <v>0</v>
      </c>
      <c r="J39" s="238">
        <f>'LOAS 90% E.R.S.E.'!J39</f>
        <v>1</v>
      </c>
      <c r="K39" s="106">
        <v>45444</v>
      </c>
      <c r="L39" s="155">
        <f>'BPC LOAS '!J127</f>
        <v>0</v>
      </c>
      <c r="M39" s="224">
        <f>'BPC LOAS '!K127</f>
        <v>711.57738576845156</v>
      </c>
      <c r="N39" s="61">
        <f t="shared" si="2"/>
        <v>711.57738576845156</v>
      </c>
    </row>
    <row r="40" spans="2:14" ht="12.75" customHeight="1">
      <c r="B40" s="223">
        <f>'BPC LOAS '!A83</f>
        <v>36</v>
      </c>
      <c r="C40" s="223">
        <f t="shared" si="0"/>
        <v>6</v>
      </c>
      <c r="D40" s="222">
        <v>44197</v>
      </c>
      <c r="E40" s="225">
        <f>'BPC LOAS '!J83</f>
        <v>52924.42517724388</v>
      </c>
      <c r="F40" s="221">
        <f>'BPC LOAS '!K83</f>
        <v>8719.2410256151761</v>
      </c>
      <c r="G40" s="221">
        <f t="shared" si="1"/>
        <v>61643.666202859058</v>
      </c>
      <c r="I40" s="237">
        <v>0</v>
      </c>
      <c r="J40" s="223">
        <f>'LOAS 90% E.R.S.E.'!J40</f>
        <v>0</v>
      </c>
      <c r="K40" s="222">
        <v>45474</v>
      </c>
      <c r="L40" s="225">
        <f>'BPC LOAS '!J128</f>
        <v>0</v>
      </c>
      <c r="M40" s="221">
        <f>'BPC LOAS '!K128</f>
        <v>0</v>
      </c>
      <c r="N40" s="221">
        <f t="shared" si="2"/>
        <v>0</v>
      </c>
    </row>
    <row r="41" spans="2:14" ht="12.75" customHeight="1">
      <c r="B41" s="238">
        <f>'BPC LOAS '!A84</f>
        <v>35</v>
      </c>
      <c r="C41" s="238">
        <f t="shared" si="0"/>
        <v>6</v>
      </c>
      <c r="D41" s="106">
        <v>44228</v>
      </c>
      <c r="E41" s="233">
        <f>'BPC LOAS '!J84</f>
        <v>51364.612153243877</v>
      </c>
      <c r="F41" s="224">
        <f>'BPC LOAS '!K84</f>
        <v>8719.2410256151761</v>
      </c>
      <c r="G41" s="61">
        <f t="shared" si="1"/>
        <v>60083.853178859055</v>
      </c>
      <c r="I41" s="143">
        <v>0</v>
      </c>
      <c r="J41" s="238">
        <f>'LOAS 90% E.R.S.E.'!J41</f>
        <v>0</v>
      </c>
      <c r="K41" s="106">
        <v>45505</v>
      </c>
      <c r="L41" s="155">
        <f>'BPC LOAS '!J129</f>
        <v>0</v>
      </c>
      <c r="M41" s="224">
        <f>'BPC LOAS '!K129</f>
        <v>0</v>
      </c>
      <c r="N41" s="61">
        <f t="shared" si="2"/>
        <v>0</v>
      </c>
    </row>
    <row r="42" spans="2:14" ht="12.75" customHeight="1">
      <c r="B42" s="223">
        <f>'BPC LOAS '!A85</f>
        <v>34</v>
      </c>
      <c r="C42" s="223">
        <f t="shared" si="0"/>
        <v>6</v>
      </c>
      <c r="D42" s="222">
        <v>44256</v>
      </c>
      <c r="E42" s="225">
        <f>'BPC LOAS '!J85</f>
        <v>49814.569958373475</v>
      </c>
      <c r="F42" s="221">
        <f>'BPC LOAS '!K85</f>
        <v>8719.2410256151761</v>
      </c>
      <c r="G42" s="221">
        <f t="shared" si="1"/>
        <v>58533.810983988653</v>
      </c>
      <c r="I42" s="237">
        <v>0</v>
      </c>
      <c r="J42" s="223">
        <f>'LOAS 90% E.R.S.E.'!J42</f>
        <v>0</v>
      </c>
      <c r="K42" s="222">
        <v>45536</v>
      </c>
      <c r="L42" s="225">
        <f>'BPC LOAS '!J130</f>
        <v>0</v>
      </c>
      <c r="M42" s="221">
        <f>'BPC LOAS '!K130</f>
        <v>0</v>
      </c>
      <c r="N42" s="221">
        <f t="shared" si="2"/>
        <v>0</v>
      </c>
    </row>
    <row r="43" spans="2:14" ht="12.75" customHeight="1">
      <c r="B43" s="238">
        <f>'BPC LOAS '!A86</f>
        <v>33</v>
      </c>
      <c r="C43" s="238">
        <f t="shared" si="0"/>
        <v>6</v>
      </c>
      <c r="D43" s="106">
        <v>44287</v>
      </c>
      <c r="E43" s="233">
        <f>'BPC LOAS '!J86</f>
        <v>48275.363136975073</v>
      </c>
      <c r="F43" s="224">
        <f>'BPC LOAS '!K86</f>
        <v>8719.2410256151761</v>
      </c>
      <c r="G43" s="61">
        <f t="shared" si="1"/>
        <v>56994.604162590251</v>
      </c>
      <c r="I43" s="143">
        <v>0</v>
      </c>
      <c r="J43" s="238">
        <f>'LOAS 90% E.R.S.E.'!J43</f>
        <v>0</v>
      </c>
      <c r="K43" s="106">
        <v>45566</v>
      </c>
      <c r="L43" s="155">
        <f>'BPC LOAS '!J131</f>
        <v>0</v>
      </c>
      <c r="M43" s="224">
        <f>'BPC LOAS '!K131</f>
        <v>0</v>
      </c>
      <c r="N43" s="61">
        <f t="shared" si="2"/>
        <v>0</v>
      </c>
    </row>
    <row r="44" spans="2:14" ht="12.75" customHeight="1">
      <c r="B44" s="223">
        <f>'BPC LOAS '!A87</f>
        <v>32</v>
      </c>
      <c r="C44" s="223">
        <f t="shared" si="0"/>
        <v>6</v>
      </c>
      <c r="D44" s="222">
        <v>44317</v>
      </c>
      <c r="E44" s="225">
        <f>'BPC LOAS '!J87</f>
        <v>46747.84933968867</v>
      </c>
      <c r="F44" s="221">
        <f>'BPC LOAS '!K87</f>
        <v>8719.2410256151761</v>
      </c>
      <c r="G44" s="221">
        <f t="shared" si="1"/>
        <v>55467.090365303848</v>
      </c>
      <c r="I44" s="237">
        <v>0</v>
      </c>
      <c r="J44" s="223">
        <f>'LOAS 90% E.R.S.E.'!J44</f>
        <v>0</v>
      </c>
      <c r="K44" s="222">
        <v>45597</v>
      </c>
      <c r="L44" s="225">
        <f>'BPC LOAS '!J132</f>
        <v>0</v>
      </c>
      <c r="M44" s="221">
        <f>'BPC LOAS '!K132</f>
        <v>0</v>
      </c>
      <c r="N44" s="221">
        <f t="shared" si="2"/>
        <v>0</v>
      </c>
    </row>
    <row r="45" spans="2:14" ht="12.75" customHeight="1">
      <c r="B45" s="238">
        <f>'BPC LOAS '!A88</f>
        <v>31</v>
      </c>
      <c r="C45" s="238">
        <f>J4</f>
        <v>6</v>
      </c>
      <c r="D45" s="106">
        <v>44348</v>
      </c>
      <c r="E45" s="233">
        <f>'BPC LOAS '!J88</f>
        <v>45228.240183762267</v>
      </c>
      <c r="F45" s="224">
        <f>'BPC LOAS '!K88</f>
        <v>8719.2410256151761</v>
      </c>
      <c r="G45" s="61">
        <f t="shared" si="1"/>
        <v>53947.481209377445</v>
      </c>
      <c r="I45" s="143">
        <v>0</v>
      </c>
      <c r="J45" s="238">
        <f>'LOAS 90% E.R.S.E.'!J45</f>
        <v>0</v>
      </c>
      <c r="K45" s="106">
        <v>45627</v>
      </c>
      <c r="L45" s="155">
        <f>'BPC LOAS '!J133</f>
        <v>0</v>
      </c>
      <c r="M45" s="224">
        <f>'BPC LOAS '!K133</f>
        <v>0</v>
      </c>
      <c r="N45" s="61">
        <f t="shared" si="2"/>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270" priority="41" stopIfTrue="1" operator="notEqual">
      <formula>""</formula>
    </cfRule>
  </conditionalFormatting>
  <conditionalFormatting sqref="F5 E35:E45 L4:L34 L36 L38 L40 L42 L44 F7 F9 F11 F13 F15 F17 F19 F21 F23 F25 F27 F29 F31 F33 F35 F37 F39 F41 F43 F45">
    <cfRule type="cellIs" dxfId="269" priority="40" stopIfTrue="1" operator="equal">
      <formula>"Total"</formula>
    </cfRule>
  </conditionalFormatting>
  <conditionalFormatting sqref="G4 G6 G8 G10 G12 G14 G16 G18 G20 G22 G24 G26 G28 G30 G32 G34 G36 G38 G40 G42 G44 N4 N6 N8">
    <cfRule type="cellIs" dxfId="268" priority="37" stopIfTrue="1" operator="equal">
      <formula>"Total"</formula>
    </cfRule>
  </conditionalFormatting>
  <conditionalFormatting sqref="F4 F6 F8 F10 F12 F14 F16 F18 F20 F22 F24 F26 F28 F30 F32 F34 F36 F38 F40 F42 F44">
    <cfRule type="cellIs" dxfId="267" priority="39" stopIfTrue="1" operator="equal">
      <formula>"Total"</formula>
    </cfRule>
  </conditionalFormatting>
  <conditionalFormatting sqref="E4:E34">
    <cfRule type="cellIs" dxfId="266" priority="38" stopIfTrue="1" operator="equal">
      <formula>"Total"</formula>
    </cfRule>
  </conditionalFormatting>
  <conditionalFormatting sqref="N10 N12 N14 N16 N18 N20">
    <cfRule type="cellIs" dxfId="265" priority="36" stopIfTrue="1" operator="equal">
      <formula>"Total"</formula>
    </cfRule>
  </conditionalFormatting>
  <conditionalFormatting sqref="M5 M7 M9 M11 M13 M15 M17 M19 M21 M23 M25 M27 M29 M31 M33 M35 M37 M39 M41 M43 M45">
    <cfRule type="cellIs" dxfId="264" priority="35" stopIfTrue="1" operator="equal">
      <formula>"Total"</formula>
    </cfRule>
  </conditionalFormatting>
  <conditionalFormatting sqref="M4 M6 M8 M10 M12 M14 M16 M18 M20 M22 M24 M26 M28 M30 M32 M34 M36 M38 M40 M42 M44">
    <cfRule type="cellIs" dxfId="263" priority="34" stopIfTrue="1" operator="equal">
      <formula>"Total"</formula>
    </cfRule>
  </conditionalFormatting>
  <conditionalFormatting sqref="N22">
    <cfRule type="cellIs" dxfId="262" priority="33" stopIfTrue="1" operator="equal">
      <formula>"Total"</formula>
    </cfRule>
  </conditionalFormatting>
  <conditionalFormatting sqref="N23">
    <cfRule type="cellIs" dxfId="261" priority="32" stopIfTrue="1" operator="notEqual">
      <formula>""</formula>
    </cfRule>
  </conditionalFormatting>
  <conditionalFormatting sqref="N24 N26 N28">
    <cfRule type="cellIs" dxfId="260" priority="31" stopIfTrue="1" operator="equal">
      <formula>"Total"</formula>
    </cfRule>
  </conditionalFormatting>
  <conditionalFormatting sqref="N25 N27 N29">
    <cfRule type="cellIs" dxfId="259" priority="30" stopIfTrue="1" operator="notEqual">
      <formula>""</formula>
    </cfRule>
  </conditionalFormatting>
  <conditionalFormatting sqref="N30 N32">
    <cfRule type="cellIs" dxfId="258" priority="29" stopIfTrue="1" operator="equal">
      <formula>"Total"</formula>
    </cfRule>
  </conditionalFormatting>
  <conditionalFormatting sqref="N31 N33">
    <cfRule type="cellIs" dxfId="257" priority="28" stopIfTrue="1" operator="notEqual">
      <formula>""</formula>
    </cfRule>
  </conditionalFormatting>
  <conditionalFormatting sqref="D5 D7 D9 D11 D13 D15 D17 D19 D21 D23 D25 D27 D29 D31 D33 D35 D37 D39">
    <cfRule type="cellIs" dxfId="256" priority="27" stopIfTrue="1" operator="notEqual">
      <formula>""</formula>
    </cfRule>
  </conditionalFormatting>
  <conditionalFormatting sqref="D41 D43 D45 K5 K7 K9 K11 K13 K15 K17 K19 K21 K23 K25 K27 K29 K31 K33">
    <cfRule type="cellIs" dxfId="255" priority="26" stopIfTrue="1" operator="notEqual">
      <formula>""</formula>
    </cfRule>
  </conditionalFormatting>
  <conditionalFormatting sqref="K35 K37 K39 K41 K43 K45">
    <cfRule type="cellIs" dxfId="254" priority="25" stopIfTrue="1" operator="notEqual">
      <formula>""</formula>
    </cfRule>
  </conditionalFormatting>
  <conditionalFormatting sqref="N35">
    <cfRule type="cellIs" dxfId="253" priority="24" stopIfTrue="1" operator="notEqual">
      <formula>""</formula>
    </cfRule>
  </conditionalFormatting>
  <conditionalFormatting sqref="N35">
    <cfRule type="cellIs" dxfId="252" priority="23" stopIfTrue="1" operator="notEqual">
      <formula>""</formula>
    </cfRule>
  </conditionalFormatting>
  <conditionalFormatting sqref="N35">
    <cfRule type="cellIs" dxfId="251" priority="22" stopIfTrue="1" operator="notEqual">
      <formula>""</formula>
    </cfRule>
  </conditionalFormatting>
  <conditionalFormatting sqref="N34">
    <cfRule type="cellIs" dxfId="250" priority="21" stopIfTrue="1" operator="equal">
      <formula>"Total"</formula>
    </cfRule>
  </conditionalFormatting>
  <conditionalFormatting sqref="N37">
    <cfRule type="cellIs" dxfId="249" priority="20" stopIfTrue="1" operator="notEqual">
      <formula>""</formula>
    </cfRule>
  </conditionalFormatting>
  <conditionalFormatting sqref="N37">
    <cfRule type="cellIs" dxfId="248" priority="19" stopIfTrue="1" operator="notEqual">
      <formula>""</formula>
    </cfRule>
  </conditionalFormatting>
  <conditionalFormatting sqref="N37">
    <cfRule type="cellIs" dxfId="247" priority="18" stopIfTrue="1" operator="notEqual">
      <formula>""</formula>
    </cfRule>
  </conditionalFormatting>
  <conditionalFormatting sqref="N36 N38">
    <cfRule type="cellIs" dxfId="246" priority="17" stopIfTrue="1" operator="equal">
      <formula>"Total"</formula>
    </cfRule>
  </conditionalFormatting>
  <conditionalFormatting sqref="L35 L37 L39 L41 L43 L45">
    <cfRule type="cellIs" dxfId="245" priority="16" stopIfTrue="1" operator="notEqual">
      <formula>""</formula>
    </cfRule>
  </conditionalFormatting>
  <conditionalFormatting sqref="L35 L37 L39 L41 L43 L45">
    <cfRule type="cellIs" dxfId="244" priority="15" stopIfTrue="1" operator="notEqual">
      <formula>""</formula>
    </cfRule>
  </conditionalFormatting>
  <conditionalFormatting sqref="L35 L37 L39 L41 L43 L45">
    <cfRule type="cellIs" dxfId="243" priority="14" stopIfTrue="1" operator="notEqual">
      <formula>""</formula>
    </cfRule>
  </conditionalFormatting>
  <conditionalFormatting sqref="L35 L37 L39 L41 L43 L45">
    <cfRule type="cellIs" dxfId="242" priority="13" stopIfTrue="1" operator="notEqual">
      <formula>""</formula>
    </cfRule>
  </conditionalFormatting>
  <conditionalFormatting sqref="N39">
    <cfRule type="cellIs" dxfId="241" priority="12" stopIfTrue="1" operator="notEqual">
      <formula>""</formula>
    </cfRule>
  </conditionalFormatting>
  <conditionalFormatting sqref="N39">
    <cfRule type="cellIs" dxfId="240" priority="11" stopIfTrue="1" operator="notEqual">
      <formula>""</formula>
    </cfRule>
  </conditionalFormatting>
  <conditionalFormatting sqref="N39">
    <cfRule type="cellIs" dxfId="239" priority="10" stopIfTrue="1" operator="notEqual">
      <formula>""</formula>
    </cfRule>
  </conditionalFormatting>
  <conditionalFormatting sqref="L35 L37 L39 L41 L43 L45">
    <cfRule type="cellIs" dxfId="238" priority="9" stopIfTrue="1" operator="equal">
      <formula>"Total"</formula>
    </cfRule>
  </conditionalFormatting>
  <conditionalFormatting sqref="N40">
    <cfRule type="cellIs" dxfId="237" priority="8" stopIfTrue="1" operator="equal">
      <formula>"Total"</formula>
    </cfRule>
  </conditionalFormatting>
  <conditionalFormatting sqref="N41">
    <cfRule type="cellIs" dxfId="236" priority="7" stopIfTrue="1" operator="notEqual">
      <formula>""</formula>
    </cfRule>
  </conditionalFormatting>
  <conditionalFormatting sqref="N41">
    <cfRule type="cellIs" dxfId="235" priority="6" stopIfTrue="1" operator="notEqual">
      <formula>""</formula>
    </cfRule>
  </conditionalFormatting>
  <conditionalFormatting sqref="N41">
    <cfRule type="cellIs" dxfId="234" priority="5" stopIfTrue="1" operator="notEqual">
      <formula>""</formula>
    </cfRule>
  </conditionalFormatting>
  <conditionalFormatting sqref="N42 N44">
    <cfRule type="cellIs" dxfId="233" priority="4" stopIfTrue="1" operator="equal">
      <formula>"Total"</formula>
    </cfRule>
  </conditionalFormatting>
  <conditionalFormatting sqref="N43 N45">
    <cfRule type="cellIs" dxfId="232" priority="3" stopIfTrue="1" operator="notEqual">
      <formula>""</formula>
    </cfRule>
  </conditionalFormatting>
  <conditionalFormatting sqref="N43 N45">
    <cfRule type="cellIs" dxfId="231" priority="2" stopIfTrue="1" operator="notEqual">
      <formula>""</formula>
    </cfRule>
  </conditionalFormatting>
  <conditionalFormatting sqref="N43 N45">
    <cfRule type="cellIs" dxfId="230"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85546875" style="1" customWidth="1"/>
    <col min="8" max="8" width="5.85546875" style="1" customWidth="1"/>
    <col min="9" max="9" width="7.5703125" style="1" customWidth="1"/>
    <col min="10" max="10" width="6.8554687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1" t="s">
        <v>218</v>
      </c>
      <c r="Q5" s="491"/>
      <c r="R5" s="491"/>
      <c r="S5" s="491"/>
      <c r="T5" s="491"/>
      <c r="U5" s="491"/>
    </row>
    <row r="6" spans="1:27" ht="2.25" customHeight="1"/>
    <row r="7" spans="1:27" ht="12.75" customHeight="1">
      <c r="B7" s="101" t="s">
        <v>3</v>
      </c>
      <c r="C7" s="101"/>
      <c r="D7" s="101"/>
      <c r="E7" s="101"/>
      <c r="F7" s="101"/>
      <c r="G7" s="101"/>
      <c r="H7" s="39"/>
      <c r="I7" s="39"/>
      <c r="J7" s="39"/>
      <c r="K7" s="490" t="s">
        <v>217</v>
      </c>
      <c r="L7" s="490"/>
      <c r="M7" s="490"/>
      <c r="N7" s="490"/>
      <c r="O7" s="490"/>
      <c r="P7" s="490"/>
      <c r="Q7" s="490"/>
      <c r="R7" s="490"/>
      <c r="S7" s="490"/>
      <c r="T7" s="490"/>
      <c r="U7" s="490"/>
      <c r="V7" s="102" t="s">
        <v>4</v>
      </c>
      <c r="W7" s="19"/>
      <c r="X7" s="19"/>
      <c r="Y7" s="420">
        <f>'base(indices)'!I2</f>
        <v>45474</v>
      </c>
      <c r="Z7" s="420"/>
      <c r="AA7" s="420"/>
    </row>
    <row r="8" spans="1:27" ht="13.5" thickBot="1">
      <c r="B8" s="6" t="s">
        <v>5</v>
      </c>
      <c r="C8" s="6"/>
      <c r="F8" s="5"/>
      <c r="G8" s="5"/>
      <c r="I8" s="421">
        <f>Y7</f>
        <v>45474</v>
      </c>
      <c r="J8" s="421"/>
      <c r="K8" s="179"/>
      <c r="L8" s="97"/>
      <c r="M8" s="98"/>
      <c r="N8" s="99"/>
      <c r="O8" s="98"/>
    </row>
    <row r="9" spans="1:27" ht="12.75" customHeight="1" thickBot="1">
      <c r="A9" s="422" t="s">
        <v>6</v>
      </c>
      <c r="B9" s="424" t="s">
        <v>7</v>
      </c>
      <c r="C9" s="426" t="s">
        <v>8</v>
      </c>
      <c r="D9" s="428" t="s">
        <v>9</v>
      </c>
      <c r="E9" s="428" t="s">
        <v>10</v>
      </c>
      <c r="F9" s="430" t="s">
        <v>11</v>
      </c>
      <c r="G9" s="430" t="s">
        <v>12</v>
      </c>
      <c r="H9" s="432" t="s">
        <v>13</v>
      </c>
      <c r="I9" s="442" t="s">
        <v>14</v>
      </c>
      <c r="J9" s="444" t="s">
        <v>15</v>
      </c>
      <c r="K9" s="445"/>
      <c r="L9" s="446"/>
      <c r="M9" s="447">
        <v>0.95</v>
      </c>
      <c r="N9" s="448"/>
      <c r="O9" s="449"/>
      <c r="P9" s="434">
        <v>0.9</v>
      </c>
      <c r="Q9" s="435"/>
      <c r="R9" s="436"/>
      <c r="S9" s="447">
        <v>0.8</v>
      </c>
      <c r="T9" s="448"/>
      <c r="U9" s="449"/>
      <c r="V9" s="434">
        <v>0.7</v>
      </c>
      <c r="W9" s="435"/>
      <c r="X9" s="436"/>
      <c r="Y9" s="434">
        <v>0.6</v>
      </c>
      <c r="Z9" s="435"/>
      <c r="AA9" s="436"/>
    </row>
    <row r="10" spans="1:27" ht="28.5" customHeight="1" thickBot="1">
      <c r="A10" s="423"/>
      <c r="B10" s="425"/>
      <c r="C10" s="427"/>
      <c r="D10" s="429"/>
      <c r="E10" s="429"/>
      <c r="F10" s="431"/>
      <c r="G10" s="431"/>
      <c r="H10" s="433"/>
      <c r="I10" s="443"/>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50">
        <v>168</v>
      </c>
      <c r="B11" s="136">
        <v>40179</v>
      </c>
      <c r="C11" s="120">
        <f>VLOOKUP(B11,'base(indices)'!$A$4:$C$183,3,FALSE)</f>
        <v>510</v>
      </c>
      <c r="D11" s="193">
        <f>'base(indices)'!G4</f>
        <v>2.0114918099999999</v>
      </c>
      <c r="E11" s="78">
        <f>C11*D11</f>
        <v>1025.8608230999998</v>
      </c>
      <c r="F11" s="79">
        <f>'base(indices)'!I4</f>
        <v>0.60997000000000001</v>
      </c>
      <c r="G11" s="78">
        <f t="shared" ref="G11:G22" si="0">E11*F11</f>
        <v>625.74432626630687</v>
      </c>
      <c r="H11" s="266">
        <f t="shared" ref="H11:H22" si="1">E11+G11</f>
        <v>1651.6051493663067</v>
      </c>
      <c r="I11" s="358">
        <f>I179</f>
        <v>298755.41982503497</v>
      </c>
      <c r="J11" s="48">
        <f>IF((I11-H$33+(H$33))+K11&gt;$I$197,$I$197-K11,(I11-H$33+(H$33)))</f>
        <v>76000.758974384822</v>
      </c>
      <c r="K11" s="109">
        <f t="shared" ref="K11:K22" si="2">I$196</f>
        <v>8719.2410256151761</v>
      </c>
      <c r="L11" s="49">
        <f t="shared" ref="L11:L22" si="3">J11+K11</f>
        <v>84720</v>
      </c>
      <c r="M11" s="138">
        <f t="shared" ref="M11:M22" si="4">J11*M$9</f>
        <v>72200.721025665582</v>
      </c>
      <c r="N11" s="109">
        <f t="shared" ref="N11:N22" si="5">K11*M$9</f>
        <v>8283.2789743344165</v>
      </c>
      <c r="O11" s="139">
        <f t="shared" ref="O11:O22" si="6">M11+N11</f>
        <v>80484</v>
      </c>
      <c r="P11" s="291">
        <f t="shared" ref="P11:P22" si="7">J11*$P$9</f>
        <v>68400.683076946341</v>
      </c>
      <c r="Q11" s="109">
        <f t="shared" ref="Q11:Q22" si="8">K11*P$9</f>
        <v>7847.3169230536587</v>
      </c>
      <c r="R11" s="49">
        <f t="shared" ref="R11:R22" si="9">P11+Q11</f>
        <v>76248</v>
      </c>
      <c r="S11" s="138">
        <f t="shared" ref="S11:S22" si="10">J11*S$9</f>
        <v>60800.607179507861</v>
      </c>
      <c r="T11" s="109">
        <f t="shared" ref="T11:T22" si="11">K11*S$9</f>
        <v>6975.3928204921413</v>
      </c>
      <c r="U11" s="139">
        <f t="shared" ref="U11:U22" si="12">S11+T11</f>
        <v>67776</v>
      </c>
      <c r="V11" s="48">
        <f t="shared" ref="V11:V22" si="13">J11*V$9</f>
        <v>53200.531282069373</v>
      </c>
      <c r="W11" s="109">
        <f t="shared" ref="W11:W22" si="14">K11*V$9</f>
        <v>6103.4687179306229</v>
      </c>
      <c r="X11" s="49">
        <f t="shared" ref="X11:X22" si="15">V11+W11</f>
        <v>59303.999999999993</v>
      </c>
      <c r="Y11" s="138">
        <f t="shared" ref="Y11:Y22" si="16">J11*Y$9</f>
        <v>45600.455384630892</v>
      </c>
      <c r="Z11" s="109">
        <f t="shared" ref="Z11:Z22" si="17">K11*Y$9</f>
        <v>5231.5446153691055</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0.60997000000000001</v>
      </c>
      <c r="G12" s="54">
        <f t="shared" si="0"/>
        <v>622.50728775775201</v>
      </c>
      <c r="H12" s="267">
        <f t="shared" si="1"/>
        <v>1643.0612293577519</v>
      </c>
      <c r="I12" s="359">
        <f t="shared" ref="I12:I24" si="20">I11-H11</f>
        <v>297103.81467566866</v>
      </c>
      <c r="J12" s="58">
        <f>IF((I12-H$33+(H$33/12*11))+K12&gt;$I$197,$I$197-K12,(I12-H$33+(H$33/12*11)))</f>
        <v>76000.758974384822</v>
      </c>
      <c r="K12" s="91">
        <f t="shared" si="2"/>
        <v>8719.2410256151761</v>
      </c>
      <c r="L12" s="284">
        <f t="shared" si="3"/>
        <v>84720</v>
      </c>
      <c r="M12" s="57">
        <f t="shared" si="4"/>
        <v>72200.721025665582</v>
      </c>
      <c r="N12" s="91">
        <f t="shared" si="5"/>
        <v>8283.2789743344165</v>
      </c>
      <c r="O12" s="60">
        <f t="shared" si="6"/>
        <v>80484</v>
      </c>
      <c r="P12" s="58">
        <f t="shared" si="7"/>
        <v>68400.683076946341</v>
      </c>
      <c r="Q12" s="91">
        <f t="shared" si="8"/>
        <v>7847.3169230536587</v>
      </c>
      <c r="R12" s="59">
        <f t="shared" si="9"/>
        <v>76248</v>
      </c>
      <c r="S12" s="57">
        <f t="shared" si="10"/>
        <v>60800.607179507861</v>
      </c>
      <c r="T12" s="91">
        <f t="shared" si="11"/>
        <v>6975.3928204921413</v>
      </c>
      <c r="U12" s="60">
        <f t="shared" si="12"/>
        <v>67776</v>
      </c>
      <c r="V12" s="58">
        <f t="shared" si="13"/>
        <v>53200.531282069373</v>
      </c>
      <c r="W12" s="91">
        <f t="shared" si="14"/>
        <v>6103.4687179306229</v>
      </c>
      <c r="X12" s="59">
        <f t="shared" si="15"/>
        <v>59303.999999999993</v>
      </c>
      <c r="Y12" s="57">
        <f t="shared" si="16"/>
        <v>45600.455384630892</v>
      </c>
      <c r="Z12" s="91">
        <f t="shared" si="17"/>
        <v>5231.5446153691055</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0.60997000000000001</v>
      </c>
      <c r="G13" s="63">
        <f t="shared" si="0"/>
        <v>616.71021192986393</v>
      </c>
      <c r="H13" s="268">
        <f t="shared" si="1"/>
        <v>1627.7602831298639</v>
      </c>
      <c r="I13" s="360">
        <f t="shared" si="20"/>
        <v>295460.75344631093</v>
      </c>
      <c r="J13" s="45">
        <f>IF((I13-H$33+(H$33/12*10))+K13&gt;$I$197,$I$197-K13,(I13-H$33+(H$33/12*10)))</f>
        <v>76000.758974384822</v>
      </c>
      <c r="K13" s="108">
        <f t="shared" si="2"/>
        <v>8719.2410256151761</v>
      </c>
      <c r="L13" s="46">
        <f t="shared" si="3"/>
        <v>84720</v>
      </c>
      <c r="M13" s="43">
        <f t="shared" si="4"/>
        <v>72200.721025665582</v>
      </c>
      <c r="N13" s="108">
        <f t="shared" si="5"/>
        <v>8283.2789743344165</v>
      </c>
      <c r="O13" s="47">
        <f t="shared" si="6"/>
        <v>80484</v>
      </c>
      <c r="P13" s="119">
        <f t="shared" si="7"/>
        <v>68400.683076946341</v>
      </c>
      <c r="Q13" s="108">
        <f t="shared" si="8"/>
        <v>7847.3169230536587</v>
      </c>
      <c r="R13" s="46">
        <f t="shared" si="9"/>
        <v>76248</v>
      </c>
      <c r="S13" s="43">
        <f t="shared" si="10"/>
        <v>60800.607179507861</v>
      </c>
      <c r="T13" s="108">
        <f t="shared" si="11"/>
        <v>6975.3928204921413</v>
      </c>
      <c r="U13" s="47">
        <f t="shared" si="12"/>
        <v>67776</v>
      </c>
      <c r="V13" s="45">
        <f t="shared" si="13"/>
        <v>53200.531282069373</v>
      </c>
      <c r="W13" s="108">
        <f t="shared" si="14"/>
        <v>6103.4687179306229</v>
      </c>
      <c r="X13" s="46">
        <f t="shared" si="15"/>
        <v>59303.999999999993</v>
      </c>
      <c r="Y13" s="43">
        <f t="shared" si="16"/>
        <v>45600.455384630892</v>
      </c>
      <c r="Z13" s="108">
        <f t="shared" si="17"/>
        <v>5231.5446153691055</v>
      </c>
      <c r="AA13" s="46">
        <f t="shared" si="18"/>
        <v>50832</v>
      </c>
    </row>
    <row r="14" spans="1:27">
      <c r="A14" s="327">
        <v>165</v>
      </c>
      <c r="B14" s="50">
        <v>40269</v>
      </c>
      <c r="C14" s="61">
        <f>VLOOKUP(B14,'base(indices)'!$A$4:$C$183,3,FALSE)</f>
        <v>510</v>
      </c>
      <c r="D14" s="192">
        <f>'base(indices)'!G7</f>
        <v>1.97160728</v>
      </c>
      <c r="E14" s="54">
        <f t="shared" si="19"/>
        <v>1005.5197128</v>
      </c>
      <c r="F14" s="82">
        <f>'base(indices)'!I7</f>
        <v>0.60997000000000001</v>
      </c>
      <c r="G14" s="54">
        <f t="shared" si="0"/>
        <v>613.33685921661595</v>
      </c>
      <c r="H14" s="267">
        <f t="shared" si="1"/>
        <v>1618.8565720166159</v>
      </c>
      <c r="I14" s="359">
        <f t="shared" si="20"/>
        <v>293832.99316318106</v>
      </c>
      <c r="J14" s="58">
        <f>IF((I14-H$33+(H$33/12*9))+K14&gt;$I$197,$I$197-K14,(I14-H$33+(H$33/12*9)))</f>
        <v>76000.758974384822</v>
      </c>
      <c r="K14" s="91">
        <f t="shared" si="2"/>
        <v>8719.2410256151761</v>
      </c>
      <c r="L14" s="284">
        <f t="shared" si="3"/>
        <v>84720</v>
      </c>
      <c r="M14" s="57">
        <f t="shared" si="4"/>
        <v>72200.721025665582</v>
      </c>
      <c r="N14" s="91">
        <f t="shared" si="5"/>
        <v>8283.2789743344165</v>
      </c>
      <c r="O14" s="60">
        <f t="shared" si="6"/>
        <v>80484</v>
      </c>
      <c r="P14" s="58">
        <f t="shared" si="7"/>
        <v>68400.683076946341</v>
      </c>
      <c r="Q14" s="91">
        <f t="shared" si="8"/>
        <v>7847.3169230536587</v>
      </c>
      <c r="R14" s="59">
        <f t="shared" si="9"/>
        <v>76248</v>
      </c>
      <c r="S14" s="57">
        <f t="shared" si="10"/>
        <v>60800.607179507861</v>
      </c>
      <c r="T14" s="91">
        <f t="shared" si="11"/>
        <v>6975.3928204921413</v>
      </c>
      <c r="U14" s="60">
        <f t="shared" si="12"/>
        <v>67776</v>
      </c>
      <c r="V14" s="58">
        <f t="shared" si="13"/>
        <v>53200.531282069373</v>
      </c>
      <c r="W14" s="91">
        <f t="shared" si="14"/>
        <v>6103.4687179306229</v>
      </c>
      <c r="X14" s="59">
        <f t="shared" si="15"/>
        <v>59303.999999999993</v>
      </c>
      <c r="Y14" s="57">
        <f t="shared" si="16"/>
        <v>45600.455384630892</v>
      </c>
      <c r="Z14" s="91">
        <f t="shared" si="17"/>
        <v>5231.5446153691055</v>
      </c>
      <c r="AA14" s="59">
        <f t="shared" si="18"/>
        <v>50832</v>
      </c>
    </row>
    <row r="15" spans="1:27">
      <c r="A15" s="327">
        <v>164</v>
      </c>
      <c r="B15" s="40">
        <v>40299</v>
      </c>
      <c r="C15" s="61">
        <f>VLOOKUP(B15,'base(indices)'!$A$4:$C$183,3,FALSE)</f>
        <v>510</v>
      </c>
      <c r="D15" s="192">
        <f>'base(indices)'!G8</f>
        <v>1.96218878</v>
      </c>
      <c r="E15" s="63">
        <f t="shared" si="19"/>
        <v>1000.7162777999999</v>
      </c>
      <c r="F15" s="82">
        <f>'base(indices)'!I8</f>
        <v>0.60997000000000001</v>
      </c>
      <c r="G15" s="63">
        <f t="shared" si="0"/>
        <v>610.40690796966601</v>
      </c>
      <c r="H15" s="268">
        <f t="shared" si="1"/>
        <v>1611.123185769666</v>
      </c>
      <c r="I15" s="360">
        <f t="shared" si="20"/>
        <v>292214.13659116445</v>
      </c>
      <c r="J15" s="45">
        <f>IF((I15-H$33+(H$33/12*8))+K15&gt;$I$197,$I$197-K15,(I15-H$33+(H$33/12*8)))</f>
        <v>76000.758974384822</v>
      </c>
      <c r="K15" s="108">
        <f t="shared" si="2"/>
        <v>8719.2410256151761</v>
      </c>
      <c r="L15" s="46">
        <f t="shared" si="3"/>
        <v>84720</v>
      </c>
      <c r="M15" s="43">
        <f t="shared" si="4"/>
        <v>72200.721025665582</v>
      </c>
      <c r="N15" s="108">
        <f t="shared" si="5"/>
        <v>8283.2789743344165</v>
      </c>
      <c r="O15" s="47">
        <f t="shared" si="6"/>
        <v>80484</v>
      </c>
      <c r="P15" s="119">
        <f t="shared" si="7"/>
        <v>68400.683076946341</v>
      </c>
      <c r="Q15" s="108">
        <f t="shared" si="8"/>
        <v>7847.3169230536587</v>
      </c>
      <c r="R15" s="46">
        <f t="shared" si="9"/>
        <v>76248</v>
      </c>
      <c r="S15" s="43">
        <f t="shared" si="10"/>
        <v>60800.607179507861</v>
      </c>
      <c r="T15" s="108">
        <f t="shared" si="11"/>
        <v>6975.3928204921413</v>
      </c>
      <c r="U15" s="47">
        <f t="shared" si="12"/>
        <v>67776</v>
      </c>
      <c r="V15" s="45">
        <f t="shared" si="13"/>
        <v>53200.531282069373</v>
      </c>
      <c r="W15" s="108">
        <f t="shared" si="14"/>
        <v>6103.4687179306229</v>
      </c>
      <c r="X15" s="46">
        <f t="shared" si="15"/>
        <v>59303.999999999993</v>
      </c>
      <c r="Y15" s="43">
        <f t="shared" si="16"/>
        <v>45600.455384630892</v>
      </c>
      <c r="Z15" s="108">
        <f t="shared" si="17"/>
        <v>5231.5446153691055</v>
      </c>
      <c r="AA15" s="46">
        <f t="shared" si="18"/>
        <v>50832</v>
      </c>
    </row>
    <row r="16" spans="1:27">
      <c r="A16" s="327">
        <v>163</v>
      </c>
      <c r="B16" s="50">
        <v>40330</v>
      </c>
      <c r="C16" s="61">
        <f>VLOOKUP(B16,'base(indices)'!$A$4:$C$183,3,FALSE)</f>
        <v>510</v>
      </c>
      <c r="D16" s="192">
        <f>'base(indices)'!G9</f>
        <v>1.94990438</v>
      </c>
      <c r="E16" s="54">
        <f t="shared" si="19"/>
        <v>994.45123379999995</v>
      </c>
      <c r="F16" s="82">
        <f>'base(indices)'!I9</f>
        <v>0.60997000000000001</v>
      </c>
      <c r="G16" s="54">
        <f t="shared" si="0"/>
        <v>606.58541908098596</v>
      </c>
      <c r="H16" s="267">
        <f t="shared" si="1"/>
        <v>1601.0366528809859</v>
      </c>
      <c r="I16" s="359">
        <f t="shared" si="20"/>
        <v>290603.0134053948</v>
      </c>
      <c r="J16" s="58">
        <f>IF((I16-H$33+(H$33/12*7))+K16&gt;$I$197,$I$197-K16,(I16-H$33+(H$33/12*7)))</f>
        <v>76000.758974384822</v>
      </c>
      <c r="K16" s="91">
        <f t="shared" si="2"/>
        <v>8719.2410256151761</v>
      </c>
      <c r="L16" s="284">
        <f t="shared" si="3"/>
        <v>84720</v>
      </c>
      <c r="M16" s="57">
        <f t="shared" si="4"/>
        <v>72200.721025665582</v>
      </c>
      <c r="N16" s="91">
        <f t="shared" si="5"/>
        <v>8283.2789743344165</v>
      </c>
      <c r="O16" s="60">
        <f t="shared" si="6"/>
        <v>80484</v>
      </c>
      <c r="P16" s="58">
        <f t="shared" si="7"/>
        <v>68400.683076946341</v>
      </c>
      <c r="Q16" s="91">
        <f t="shared" si="8"/>
        <v>7847.3169230536587</v>
      </c>
      <c r="R16" s="59">
        <f t="shared" si="9"/>
        <v>76248</v>
      </c>
      <c r="S16" s="57">
        <f t="shared" si="10"/>
        <v>60800.607179507861</v>
      </c>
      <c r="T16" s="91">
        <f t="shared" si="11"/>
        <v>6975.3928204921413</v>
      </c>
      <c r="U16" s="60">
        <f t="shared" si="12"/>
        <v>67776</v>
      </c>
      <c r="V16" s="58">
        <f t="shared" si="13"/>
        <v>53200.531282069373</v>
      </c>
      <c r="W16" s="91">
        <f t="shared" si="14"/>
        <v>6103.4687179306229</v>
      </c>
      <c r="X16" s="59">
        <f t="shared" si="15"/>
        <v>59303.999999999993</v>
      </c>
      <c r="Y16" s="57">
        <f t="shared" si="16"/>
        <v>45600.455384630892</v>
      </c>
      <c r="Z16" s="91">
        <f t="shared" si="17"/>
        <v>5231.5446153691055</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0.60997000000000001</v>
      </c>
      <c r="G17" s="63">
        <f t="shared" si="0"/>
        <v>605.43509318817303</v>
      </c>
      <c r="H17" s="268">
        <f t="shared" si="1"/>
        <v>1598.0004540881732</v>
      </c>
      <c r="I17" s="360">
        <f t="shared" si="20"/>
        <v>289001.97675251379</v>
      </c>
      <c r="J17" s="45">
        <f>IF((I17-H$33+(H$33/12*6))+K17&gt;$I$197,$I$197-K17,(I17-H$33+(H$33/12*6)))</f>
        <v>76000.758974384822</v>
      </c>
      <c r="K17" s="108">
        <f t="shared" si="2"/>
        <v>8719.2410256151761</v>
      </c>
      <c r="L17" s="46">
        <f t="shared" si="3"/>
        <v>84720</v>
      </c>
      <c r="M17" s="43">
        <f t="shared" si="4"/>
        <v>72200.721025665582</v>
      </c>
      <c r="N17" s="108">
        <f t="shared" si="5"/>
        <v>8283.2789743344165</v>
      </c>
      <c r="O17" s="47">
        <f t="shared" si="6"/>
        <v>80484</v>
      </c>
      <c r="P17" s="119">
        <f t="shared" si="7"/>
        <v>68400.683076946341</v>
      </c>
      <c r="Q17" s="108">
        <f t="shared" si="8"/>
        <v>7847.3169230536587</v>
      </c>
      <c r="R17" s="46">
        <f t="shared" si="9"/>
        <v>76248</v>
      </c>
      <c r="S17" s="43">
        <f t="shared" si="10"/>
        <v>60800.607179507861</v>
      </c>
      <c r="T17" s="108">
        <f t="shared" si="11"/>
        <v>6975.3928204921413</v>
      </c>
      <c r="U17" s="47">
        <f t="shared" si="12"/>
        <v>67776</v>
      </c>
      <c r="V17" s="45">
        <f t="shared" si="13"/>
        <v>53200.531282069373</v>
      </c>
      <c r="W17" s="108">
        <f t="shared" si="14"/>
        <v>6103.4687179306229</v>
      </c>
      <c r="X17" s="46">
        <f t="shared" si="15"/>
        <v>59303.999999999993</v>
      </c>
      <c r="Y17" s="43">
        <f t="shared" si="16"/>
        <v>45600.455384630892</v>
      </c>
      <c r="Z17" s="108">
        <f t="shared" si="17"/>
        <v>5231.5446153691055</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0.60997000000000001</v>
      </c>
      <c r="G18" s="54">
        <f t="shared" si="0"/>
        <v>605.98047444082511</v>
      </c>
      <c r="H18" s="267">
        <f t="shared" si="1"/>
        <v>1599.4399469408252</v>
      </c>
      <c r="I18" s="359">
        <f t="shared" si="20"/>
        <v>287403.97629842564</v>
      </c>
      <c r="J18" s="58">
        <f>IF((I18-H$33+(H$33/12*5))+K18&gt;$I$197,$I$197-K18,(I18-H$33+(H$33/12*5)))</f>
        <v>76000.758974384822</v>
      </c>
      <c r="K18" s="91">
        <f t="shared" si="2"/>
        <v>8719.2410256151761</v>
      </c>
      <c r="L18" s="284">
        <f t="shared" si="3"/>
        <v>84720</v>
      </c>
      <c r="M18" s="57">
        <f t="shared" si="4"/>
        <v>72200.721025665582</v>
      </c>
      <c r="N18" s="91">
        <f t="shared" si="5"/>
        <v>8283.2789743344165</v>
      </c>
      <c r="O18" s="60">
        <f t="shared" si="6"/>
        <v>80484</v>
      </c>
      <c r="P18" s="58">
        <f t="shared" si="7"/>
        <v>68400.683076946341</v>
      </c>
      <c r="Q18" s="91">
        <f t="shared" si="8"/>
        <v>7847.3169230536587</v>
      </c>
      <c r="R18" s="59">
        <f t="shared" si="9"/>
        <v>76248</v>
      </c>
      <c r="S18" s="57">
        <f t="shared" si="10"/>
        <v>60800.607179507861</v>
      </c>
      <c r="T18" s="91">
        <f t="shared" si="11"/>
        <v>6975.3928204921413</v>
      </c>
      <c r="U18" s="60">
        <f t="shared" si="12"/>
        <v>67776</v>
      </c>
      <c r="V18" s="58">
        <f t="shared" si="13"/>
        <v>53200.531282069373</v>
      </c>
      <c r="W18" s="91">
        <f t="shared" si="14"/>
        <v>6103.4687179306229</v>
      </c>
      <c r="X18" s="59">
        <f t="shared" si="15"/>
        <v>59303.999999999993</v>
      </c>
      <c r="Y18" s="57">
        <f t="shared" si="16"/>
        <v>45600.455384630892</v>
      </c>
      <c r="Z18" s="91">
        <f t="shared" si="17"/>
        <v>5231.5446153691055</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0.60997000000000001</v>
      </c>
      <c r="G19" s="63">
        <f t="shared" si="0"/>
        <v>606.28361714843402</v>
      </c>
      <c r="H19" s="268">
        <f t="shared" si="1"/>
        <v>1600.240069348434</v>
      </c>
      <c r="I19" s="360">
        <f t="shared" si="20"/>
        <v>285804.53635148483</v>
      </c>
      <c r="J19" s="45">
        <f>IF((I19-H$33+(H$33/12*4))+K19&gt;$I$197,$I$197-K19,(I19-H$33+(H$33/12*4)))</f>
        <v>76000.758974384822</v>
      </c>
      <c r="K19" s="108">
        <f t="shared" si="2"/>
        <v>8719.2410256151761</v>
      </c>
      <c r="L19" s="46">
        <f t="shared" si="3"/>
        <v>84720</v>
      </c>
      <c r="M19" s="43">
        <f t="shared" si="4"/>
        <v>72200.721025665582</v>
      </c>
      <c r="N19" s="108">
        <f t="shared" si="5"/>
        <v>8283.2789743344165</v>
      </c>
      <c r="O19" s="47">
        <f t="shared" si="6"/>
        <v>80484</v>
      </c>
      <c r="P19" s="119">
        <f t="shared" si="7"/>
        <v>68400.683076946341</v>
      </c>
      <c r="Q19" s="108">
        <f t="shared" si="8"/>
        <v>7847.3169230536587</v>
      </c>
      <c r="R19" s="46">
        <f t="shared" si="9"/>
        <v>76248</v>
      </c>
      <c r="S19" s="43">
        <f t="shared" si="10"/>
        <v>60800.607179507861</v>
      </c>
      <c r="T19" s="108">
        <f t="shared" si="11"/>
        <v>6975.3928204921413</v>
      </c>
      <c r="U19" s="47">
        <f t="shared" si="12"/>
        <v>67776</v>
      </c>
      <c r="V19" s="45">
        <f t="shared" si="13"/>
        <v>53200.531282069373</v>
      </c>
      <c r="W19" s="108">
        <f t="shared" si="14"/>
        <v>6103.4687179306229</v>
      </c>
      <c r="X19" s="46">
        <f t="shared" si="15"/>
        <v>59303.999999999993</v>
      </c>
      <c r="Y19" s="43">
        <f t="shared" si="16"/>
        <v>45600.455384630892</v>
      </c>
      <c r="Z19" s="108">
        <f t="shared" si="17"/>
        <v>5231.5446153691055</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0.60997000000000001</v>
      </c>
      <c r="G20" s="54">
        <f t="shared" si="0"/>
        <v>604.40994466779296</v>
      </c>
      <c r="H20" s="267">
        <f t="shared" si="1"/>
        <v>1595.2946515677929</v>
      </c>
      <c r="I20" s="359">
        <f t="shared" si="20"/>
        <v>284204.29628213641</v>
      </c>
      <c r="J20" s="58">
        <f>IF((I20-H$33+(H$33/12*3))+K20&gt;$I$197,$I$197-K20,(I20-H$33+(H$33/12*3)))</f>
        <v>76000.758974384822</v>
      </c>
      <c r="K20" s="91">
        <f t="shared" si="2"/>
        <v>8719.2410256151761</v>
      </c>
      <c r="L20" s="284">
        <f t="shared" si="3"/>
        <v>84720</v>
      </c>
      <c r="M20" s="57">
        <f t="shared" si="4"/>
        <v>72200.721025665582</v>
      </c>
      <c r="N20" s="91">
        <f t="shared" si="5"/>
        <v>8283.2789743344165</v>
      </c>
      <c r="O20" s="60">
        <f t="shared" si="6"/>
        <v>80484</v>
      </c>
      <c r="P20" s="58">
        <f t="shared" si="7"/>
        <v>68400.683076946341</v>
      </c>
      <c r="Q20" s="91">
        <f t="shared" si="8"/>
        <v>7847.3169230536587</v>
      </c>
      <c r="R20" s="59">
        <f t="shared" si="9"/>
        <v>76248</v>
      </c>
      <c r="S20" s="57">
        <f t="shared" si="10"/>
        <v>60800.607179507861</v>
      </c>
      <c r="T20" s="91">
        <f t="shared" si="11"/>
        <v>6975.3928204921413</v>
      </c>
      <c r="U20" s="60">
        <f t="shared" si="12"/>
        <v>67776</v>
      </c>
      <c r="V20" s="58">
        <f t="shared" si="13"/>
        <v>53200.531282069373</v>
      </c>
      <c r="W20" s="91">
        <f t="shared" si="14"/>
        <v>6103.4687179306229</v>
      </c>
      <c r="X20" s="59">
        <f t="shared" si="15"/>
        <v>59303.999999999993</v>
      </c>
      <c r="Y20" s="57">
        <f t="shared" si="16"/>
        <v>45600.455384630892</v>
      </c>
      <c r="Z20" s="91">
        <f t="shared" si="17"/>
        <v>5231.5446153691055</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0.60997000000000001</v>
      </c>
      <c r="G21" s="63">
        <f t="shared" si="0"/>
        <v>600.68569463463905</v>
      </c>
      <c r="H21" s="268">
        <f t="shared" si="1"/>
        <v>1585.4647733346392</v>
      </c>
      <c r="I21" s="360">
        <f t="shared" si="20"/>
        <v>282609.00163056859</v>
      </c>
      <c r="J21" s="45">
        <f>IF((I21-H$33+(H$33/12*2))+K21&gt;$I$197,$I$197-K21,(I21-H$33+(H$33/12*2)))</f>
        <v>76000.758974384822</v>
      </c>
      <c r="K21" s="108">
        <f t="shared" si="2"/>
        <v>8719.2410256151761</v>
      </c>
      <c r="L21" s="46">
        <f t="shared" si="3"/>
        <v>84720</v>
      </c>
      <c r="M21" s="43">
        <f t="shared" si="4"/>
        <v>72200.721025665582</v>
      </c>
      <c r="N21" s="108">
        <f t="shared" si="5"/>
        <v>8283.2789743344165</v>
      </c>
      <c r="O21" s="47">
        <f t="shared" si="6"/>
        <v>80484</v>
      </c>
      <c r="P21" s="119">
        <f t="shared" si="7"/>
        <v>68400.683076946341</v>
      </c>
      <c r="Q21" s="108">
        <f t="shared" si="8"/>
        <v>7847.3169230536587</v>
      </c>
      <c r="R21" s="46">
        <f t="shared" si="9"/>
        <v>76248</v>
      </c>
      <c r="S21" s="43">
        <f t="shared" si="10"/>
        <v>60800.607179507861</v>
      </c>
      <c r="T21" s="108">
        <f t="shared" si="11"/>
        <v>6975.3928204921413</v>
      </c>
      <c r="U21" s="47">
        <f t="shared" si="12"/>
        <v>67776</v>
      </c>
      <c r="V21" s="45">
        <f t="shared" si="13"/>
        <v>53200.531282069373</v>
      </c>
      <c r="W21" s="108">
        <f t="shared" si="14"/>
        <v>6103.4687179306229</v>
      </c>
      <c r="X21" s="46">
        <f t="shared" si="15"/>
        <v>59303.999999999993</v>
      </c>
      <c r="Y21" s="43">
        <f t="shared" si="16"/>
        <v>45600.455384630892</v>
      </c>
      <c r="Z21" s="108">
        <f t="shared" si="17"/>
        <v>5231.5446153691055</v>
      </c>
      <c r="AA21" s="46">
        <f t="shared" si="18"/>
        <v>50832</v>
      </c>
    </row>
    <row r="22" spans="1:27" ht="13.5" thickBot="1">
      <c r="A22" s="356">
        <v>157</v>
      </c>
      <c r="B22" s="300">
        <v>40513</v>
      </c>
      <c r="C22" s="69">
        <f>C21*2</f>
        <v>1020</v>
      </c>
      <c r="D22" s="335">
        <f>'base(indices)'!G15</f>
        <v>1.91447488</v>
      </c>
      <c r="E22" s="163">
        <f t="shared" si="19"/>
        <v>1952.7643776</v>
      </c>
      <c r="F22" s="304">
        <f>'base(indices)'!I15</f>
        <v>0.60997000000000001</v>
      </c>
      <c r="G22" s="163">
        <f t="shared" si="0"/>
        <v>1191.1276874046721</v>
      </c>
      <c r="H22" s="355">
        <f t="shared" si="1"/>
        <v>3143.8920650046721</v>
      </c>
      <c r="I22" s="361">
        <f t="shared" si="20"/>
        <v>281023.53685723396</v>
      </c>
      <c r="J22" s="285">
        <f>IF((I22-H$33+(H$33/12*1))+K22&gt;$I$197,$I$197-K22,(I22-H$33+(H$33/12*1)))</f>
        <v>76000.758974384822</v>
      </c>
      <c r="K22" s="202">
        <f t="shared" si="2"/>
        <v>8719.2410256151761</v>
      </c>
      <c r="L22" s="286">
        <f t="shared" si="3"/>
        <v>84720</v>
      </c>
      <c r="M22" s="282">
        <f t="shared" si="4"/>
        <v>72200.721025665582</v>
      </c>
      <c r="N22" s="202">
        <f t="shared" si="5"/>
        <v>8283.2789743344165</v>
      </c>
      <c r="O22" s="289">
        <f t="shared" si="6"/>
        <v>80484</v>
      </c>
      <c r="P22" s="285">
        <f t="shared" si="7"/>
        <v>68400.683076946341</v>
      </c>
      <c r="Q22" s="202">
        <f t="shared" si="8"/>
        <v>7847.3169230536587</v>
      </c>
      <c r="R22" s="203">
        <f t="shared" si="9"/>
        <v>76248</v>
      </c>
      <c r="S22" s="282">
        <f t="shared" si="10"/>
        <v>60800.607179507861</v>
      </c>
      <c r="T22" s="202">
        <f t="shared" si="11"/>
        <v>6975.3928204921413</v>
      </c>
      <c r="U22" s="289">
        <f t="shared" si="12"/>
        <v>67776</v>
      </c>
      <c r="V22" s="285">
        <f t="shared" si="13"/>
        <v>53200.531282069373</v>
      </c>
      <c r="W22" s="202">
        <f t="shared" si="14"/>
        <v>6103.4687179306229</v>
      </c>
      <c r="X22" s="203">
        <f t="shared" si="15"/>
        <v>59303.999999999993</v>
      </c>
      <c r="Y22" s="282">
        <f t="shared" si="16"/>
        <v>45600.455384630892</v>
      </c>
      <c r="Z22" s="202">
        <f t="shared" si="17"/>
        <v>5231.5446153691055</v>
      </c>
      <c r="AA22" s="203">
        <f t="shared" si="18"/>
        <v>50832</v>
      </c>
    </row>
    <row r="23" spans="1:27">
      <c r="A23" s="350">
        <v>156</v>
      </c>
      <c r="B23" s="246">
        <v>40544</v>
      </c>
      <c r="C23" s="120">
        <f>VLOOKUP(B23,'base(indices)'!$A$4:$C$183,3,FALSE)</f>
        <v>540</v>
      </c>
      <c r="D23" s="193">
        <f>'base(indices)'!G16</f>
        <v>1.90135553</v>
      </c>
      <c r="E23" s="78">
        <f>C23*D23</f>
        <v>1026.7319861999999</v>
      </c>
      <c r="F23" s="79">
        <f>'base(indices)'!I16</f>
        <v>0.60997000000000001</v>
      </c>
      <c r="G23" s="78">
        <f t="shared" ref="G23:G86" si="21">E23*F23</f>
        <v>626.27570962241396</v>
      </c>
      <c r="H23" s="266">
        <f t="shared" ref="H23:H86" si="22">E23+G23</f>
        <v>1653.007695822414</v>
      </c>
      <c r="I23" s="360">
        <f t="shared" si="20"/>
        <v>277879.64479222929</v>
      </c>
      <c r="J23" s="48">
        <f>IF((I23-H$33+(H$33))+K23&gt;$I$197,$I$197-K23,(I23-H$33+(H$33)))</f>
        <v>76000.758974384822</v>
      </c>
      <c r="K23" s="109">
        <f t="shared" ref="K23:K54" si="23">I$196</f>
        <v>8719.2410256151761</v>
      </c>
      <c r="L23" s="49">
        <f t="shared" ref="L23:L82" si="24">J23+K23</f>
        <v>84720</v>
      </c>
      <c r="M23" s="138">
        <f t="shared" ref="M23:M54" si="25">J23*M$9</f>
        <v>72200.721025665582</v>
      </c>
      <c r="N23" s="109">
        <f t="shared" ref="N23:N54" si="26">K23*M$9</f>
        <v>8283.2789743344165</v>
      </c>
      <c r="O23" s="139">
        <f t="shared" ref="O23:O82" si="27">M23+N23</f>
        <v>80484</v>
      </c>
      <c r="P23" s="291">
        <f t="shared" ref="P23:P54" si="28">J23*$P$9</f>
        <v>68400.683076946341</v>
      </c>
      <c r="Q23" s="109">
        <f t="shared" ref="Q23:Q54" si="29">K23*P$9</f>
        <v>7847.3169230536587</v>
      </c>
      <c r="R23" s="49">
        <f t="shared" ref="R23:R82" si="30">P23+Q23</f>
        <v>76248</v>
      </c>
      <c r="S23" s="138">
        <f t="shared" ref="S23:S54" si="31">J23*S$9</f>
        <v>60800.607179507861</v>
      </c>
      <c r="T23" s="109">
        <f t="shared" ref="T23:T54" si="32">K23*S$9</f>
        <v>6975.3928204921413</v>
      </c>
      <c r="U23" s="139">
        <f t="shared" ref="U23:U82" si="33">S23+T23</f>
        <v>67776</v>
      </c>
      <c r="V23" s="48">
        <f t="shared" ref="V23:V54" si="34">J23*V$9</f>
        <v>53200.531282069373</v>
      </c>
      <c r="W23" s="109">
        <f t="shared" ref="W23:W54" si="35">K23*V$9</f>
        <v>6103.4687179306229</v>
      </c>
      <c r="X23" s="49">
        <f t="shared" ref="X23:X82" si="36">V23+W23</f>
        <v>59303.999999999993</v>
      </c>
      <c r="Y23" s="138">
        <f t="shared" ref="Y23:Y54" si="37">J23*Y$9</f>
        <v>45600.455384630892</v>
      </c>
      <c r="Z23" s="109">
        <f t="shared" ref="Z23:Z54" si="38">K23*Y$9</f>
        <v>5231.5446153691055</v>
      </c>
      <c r="AA23" s="49">
        <f t="shared" ref="AA23:AA82" si="39">Y23+Z23</f>
        <v>50832</v>
      </c>
    </row>
    <row r="24" spans="1:27" ht="13.5" thickBot="1">
      <c r="A24" s="327">
        <v>155</v>
      </c>
      <c r="B24" s="50">
        <v>40575</v>
      </c>
      <c r="C24" s="61">
        <f>VLOOKUP(B24,'base(indices)'!$A$4:$C$183,3,FALSE)</f>
        <v>540</v>
      </c>
      <c r="D24" s="192">
        <f>'base(indices)'!G17</f>
        <v>1.88701422</v>
      </c>
      <c r="E24" s="54">
        <f t="shared" ref="E24:E34" si="40">C24*D24</f>
        <v>1018.9876788</v>
      </c>
      <c r="F24" s="82">
        <f>'base(indices)'!I17</f>
        <v>0.60997000000000001</v>
      </c>
      <c r="G24" s="54">
        <f t="shared" si="21"/>
        <v>621.55191443763601</v>
      </c>
      <c r="H24" s="267">
        <f t="shared" si="22"/>
        <v>1640.5395932376359</v>
      </c>
      <c r="I24" s="361">
        <f t="shared" si="20"/>
        <v>276226.63709640689</v>
      </c>
      <c r="J24" s="58">
        <f>IF((I24-H$33+(H$33/12*11))+K24&gt;$I$197,$I$197-K24,(I24-H$33+(H$33/12*11)))</f>
        <v>76000.758974384822</v>
      </c>
      <c r="K24" s="91">
        <f t="shared" si="23"/>
        <v>8719.2410256151761</v>
      </c>
      <c r="L24" s="284">
        <f t="shared" si="24"/>
        <v>84720</v>
      </c>
      <c r="M24" s="57">
        <f t="shared" si="25"/>
        <v>72200.721025665582</v>
      </c>
      <c r="N24" s="91">
        <f t="shared" si="26"/>
        <v>8283.2789743344165</v>
      </c>
      <c r="O24" s="60">
        <f t="shared" si="27"/>
        <v>80484</v>
      </c>
      <c r="P24" s="58">
        <f t="shared" si="28"/>
        <v>68400.683076946341</v>
      </c>
      <c r="Q24" s="91">
        <f t="shared" si="29"/>
        <v>7847.3169230536587</v>
      </c>
      <c r="R24" s="59">
        <f t="shared" si="30"/>
        <v>76248</v>
      </c>
      <c r="S24" s="57">
        <f t="shared" si="31"/>
        <v>60800.607179507861</v>
      </c>
      <c r="T24" s="91">
        <f t="shared" si="32"/>
        <v>6975.3928204921413</v>
      </c>
      <c r="U24" s="60">
        <f t="shared" si="33"/>
        <v>67776</v>
      </c>
      <c r="V24" s="58">
        <f t="shared" si="34"/>
        <v>53200.531282069373</v>
      </c>
      <c r="W24" s="91">
        <f t="shared" si="35"/>
        <v>6103.4687179306229</v>
      </c>
      <c r="X24" s="59">
        <f t="shared" si="36"/>
        <v>59303.999999999993</v>
      </c>
      <c r="Y24" s="57">
        <f t="shared" si="37"/>
        <v>45600.455384630892</v>
      </c>
      <c r="Z24" s="91">
        <f t="shared" si="38"/>
        <v>5231.5446153691055</v>
      </c>
      <c r="AA24" s="59">
        <f t="shared" si="39"/>
        <v>50832</v>
      </c>
    </row>
    <row r="25" spans="1:27">
      <c r="A25" s="327">
        <v>154</v>
      </c>
      <c r="B25" s="40">
        <v>40603</v>
      </c>
      <c r="C25" s="61">
        <f>VLOOKUP(B25,'base(indices)'!$A$4:$C$183,3,FALSE)</f>
        <v>545</v>
      </c>
      <c r="D25" s="192">
        <f>'base(indices)'!G18</f>
        <v>1.8688860300000001</v>
      </c>
      <c r="E25" s="63">
        <f t="shared" si="40"/>
        <v>1018.54288635</v>
      </c>
      <c r="F25" s="82">
        <f>'base(indices)'!I18</f>
        <v>0.60997000000000001</v>
      </c>
      <c r="G25" s="63">
        <f t="shared" si="21"/>
        <v>621.28060438690954</v>
      </c>
      <c r="H25" s="268">
        <f t="shared" si="22"/>
        <v>1639.8234907369097</v>
      </c>
      <c r="I25" s="360">
        <f t="shared" ref="I25:I87" si="41">I24-H24</f>
        <v>274586.09750316927</v>
      </c>
      <c r="J25" s="45">
        <f>IF((I25-H$33+(H$33/12*10))+K25&gt;$I$197,$I$197-K25,(I25-H$33+(H$33/12*10)))</f>
        <v>76000.758974384822</v>
      </c>
      <c r="K25" s="108">
        <f t="shared" si="23"/>
        <v>8719.2410256151761</v>
      </c>
      <c r="L25" s="46">
        <f t="shared" si="24"/>
        <v>84720</v>
      </c>
      <c r="M25" s="43">
        <f t="shared" si="25"/>
        <v>72200.721025665582</v>
      </c>
      <c r="N25" s="108">
        <f t="shared" si="26"/>
        <v>8283.2789743344165</v>
      </c>
      <c r="O25" s="47">
        <f t="shared" si="27"/>
        <v>80484</v>
      </c>
      <c r="P25" s="119">
        <f t="shared" si="28"/>
        <v>68400.683076946341</v>
      </c>
      <c r="Q25" s="108">
        <f t="shared" si="29"/>
        <v>7847.3169230536587</v>
      </c>
      <c r="R25" s="46">
        <f t="shared" si="30"/>
        <v>76248</v>
      </c>
      <c r="S25" s="43">
        <f t="shared" si="31"/>
        <v>60800.607179507861</v>
      </c>
      <c r="T25" s="108">
        <f t="shared" si="32"/>
        <v>6975.3928204921413</v>
      </c>
      <c r="U25" s="47">
        <f t="shared" si="33"/>
        <v>67776</v>
      </c>
      <c r="V25" s="45">
        <f t="shared" si="34"/>
        <v>53200.531282069373</v>
      </c>
      <c r="W25" s="108">
        <f t="shared" si="35"/>
        <v>6103.4687179306229</v>
      </c>
      <c r="X25" s="46">
        <f t="shared" si="36"/>
        <v>59303.999999999993</v>
      </c>
      <c r="Y25" s="43">
        <f t="shared" si="37"/>
        <v>45600.455384630892</v>
      </c>
      <c r="Z25" s="108">
        <f t="shared" si="38"/>
        <v>5231.5446153691055</v>
      </c>
      <c r="AA25" s="46">
        <f t="shared" si="39"/>
        <v>50832</v>
      </c>
    </row>
    <row r="26" spans="1:27">
      <c r="A26" s="327">
        <v>153</v>
      </c>
      <c r="B26" s="50">
        <v>40634</v>
      </c>
      <c r="C26" s="61">
        <f>VLOOKUP(B26,'base(indices)'!$A$4:$C$183,3,FALSE)</f>
        <v>545</v>
      </c>
      <c r="D26" s="192">
        <f>'base(indices)'!G19</f>
        <v>1.85773959</v>
      </c>
      <c r="E26" s="54">
        <f t="shared" si="40"/>
        <v>1012.46807655</v>
      </c>
      <c r="F26" s="82">
        <f>'base(indices)'!I19</f>
        <v>0.60997000000000001</v>
      </c>
      <c r="G26" s="54">
        <f t="shared" si="21"/>
        <v>617.57515265320353</v>
      </c>
      <c r="H26" s="267">
        <f t="shared" si="22"/>
        <v>1630.0432292032035</v>
      </c>
      <c r="I26" s="359">
        <f t="shared" si="41"/>
        <v>272946.27401243238</v>
      </c>
      <c r="J26" s="58">
        <f>IF((I26-H$33+(H$33/12*9))+K26&gt;$I$197,$I$197-K26,(I26-H$33+(H$33/12*9)))</f>
        <v>76000.758974384822</v>
      </c>
      <c r="K26" s="91">
        <f t="shared" si="23"/>
        <v>8719.2410256151761</v>
      </c>
      <c r="L26" s="284">
        <f t="shared" si="24"/>
        <v>84720</v>
      </c>
      <c r="M26" s="57">
        <f t="shared" si="25"/>
        <v>72200.721025665582</v>
      </c>
      <c r="N26" s="91">
        <f t="shared" si="26"/>
        <v>8283.2789743344165</v>
      </c>
      <c r="O26" s="60">
        <f t="shared" si="27"/>
        <v>80484</v>
      </c>
      <c r="P26" s="58">
        <f t="shared" si="28"/>
        <v>68400.683076946341</v>
      </c>
      <c r="Q26" s="91">
        <f t="shared" si="29"/>
        <v>7847.3169230536587</v>
      </c>
      <c r="R26" s="59">
        <f t="shared" si="30"/>
        <v>76248</v>
      </c>
      <c r="S26" s="57">
        <f t="shared" si="31"/>
        <v>60800.607179507861</v>
      </c>
      <c r="T26" s="91">
        <f t="shared" si="32"/>
        <v>6975.3928204921413</v>
      </c>
      <c r="U26" s="60">
        <f t="shared" si="33"/>
        <v>67776</v>
      </c>
      <c r="V26" s="58">
        <f t="shared" si="34"/>
        <v>53200.531282069373</v>
      </c>
      <c r="W26" s="91">
        <f t="shared" si="35"/>
        <v>6103.4687179306229</v>
      </c>
      <c r="X26" s="59">
        <f t="shared" si="36"/>
        <v>59303.999999999993</v>
      </c>
      <c r="Y26" s="57">
        <f t="shared" si="37"/>
        <v>45600.455384630892</v>
      </c>
      <c r="Z26" s="91">
        <f t="shared" si="38"/>
        <v>5231.5446153691055</v>
      </c>
      <c r="AA26" s="59">
        <f t="shared" si="39"/>
        <v>50832</v>
      </c>
    </row>
    <row r="27" spans="1:27">
      <c r="A27" s="327">
        <v>152</v>
      </c>
      <c r="B27" s="40">
        <v>40664</v>
      </c>
      <c r="C27" s="61">
        <f>VLOOKUP(B27,'base(indices)'!$A$4:$C$183,3,FALSE)</f>
        <v>545</v>
      </c>
      <c r="D27" s="192">
        <f>'base(indices)'!G20</f>
        <v>1.8435443</v>
      </c>
      <c r="E27" s="63">
        <f t="shared" si="40"/>
        <v>1004.7316435</v>
      </c>
      <c r="F27" s="82">
        <f>'base(indices)'!I20</f>
        <v>0.60997000000000001</v>
      </c>
      <c r="G27" s="63">
        <f t="shared" si="21"/>
        <v>612.85616058569508</v>
      </c>
      <c r="H27" s="268">
        <f t="shared" si="22"/>
        <v>1617.5878040856951</v>
      </c>
      <c r="I27" s="360">
        <f t="shared" si="41"/>
        <v>271316.23078322917</v>
      </c>
      <c r="J27" s="45">
        <f>IF((I27-H$33+(H$33/12*8))+K27&gt;$I$197,$I$197-K27,(I27-H$33+(H$33/12*8)))</f>
        <v>76000.758974384822</v>
      </c>
      <c r="K27" s="108">
        <f t="shared" si="23"/>
        <v>8719.2410256151761</v>
      </c>
      <c r="L27" s="46">
        <f t="shared" si="24"/>
        <v>84720</v>
      </c>
      <c r="M27" s="43">
        <f t="shared" si="25"/>
        <v>72200.721025665582</v>
      </c>
      <c r="N27" s="108">
        <f t="shared" si="26"/>
        <v>8283.2789743344165</v>
      </c>
      <c r="O27" s="47">
        <f t="shared" si="27"/>
        <v>80484</v>
      </c>
      <c r="P27" s="119">
        <f t="shared" si="28"/>
        <v>68400.683076946341</v>
      </c>
      <c r="Q27" s="108">
        <f t="shared" si="29"/>
        <v>7847.3169230536587</v>
      </c>
      <c r="R27" s="46">
        <f t="shared" si="30"/>
        <v>76248</v>
      </c>
      <c r="S27" s="43">
        <f t="shared" si="31"/>
        <v>60800.607179507861</v>
      </c>
      <c r="T27" s="108">
        <f t="shared" si="32"/>
        <v>6975.3928204921413</v>
      </c>
      <c r="U27" s="47">
        <f t="shared" si="33"/>
        <v>67776</v>
      </c>
      <c r="V27" s="45">
        <f t="shared" si="34"/>
        <v>53200.531282069373</v>
      </c>
      <c r="W27" s="108">
        <f t="shared" si="35"/>
        <v>6103.4687179306229</v>
      </c>
      <c r="X27" s="46">
        <f t="shared" si="36"/>
        <v>59303.999999999993</v>
      </c>
      <c r="Y27" s="43">
        <f t="shared" si="37"/>
        <v>45600.455384630892</v>
      </c>
      <c r="Z27" s="108">
        <f t="shared" si="38"/>
        <v>5231.5446153691055</v>
      </c>
      <c r="AA27" s="46">
        <f t="shared" si="39"/>
        <v>50832</v>
      </c>
    </row>
    <row r="28" spans="1:27">
      <c r="A28" s="327">
        <v>151</v>
      </c>
      <c r="B28" s="50">
        <v>40695</v>
      </c>
      <c r="C28" s="61">
        <f>VLOOKUP(B28,'base(indices)'!$A$4:$C$183,3,FALSE)</f>
        <v>545</v>
      </c>
      <c r="D28" s="192">
        <f>'base(indices)'!G21</f>
        <v>1.8307291999999999</v>
      </c>
      <c r="E28" s="54">
        <f t="shared" si="40"/>
        <v>997.74741399999994</v>
      </c>
      <c r="F28" s="82">
        <f>'base(indices)'!I21</f>
        <v>0.60997000000000001</v>
      </c>
      <c r="G28" s="54">
        <f t="shared" si="21"/>
        <v>608.59599011757996</v>
      </c>
      <c r="H28" s="267">
        <f t="shared" si="22"/>
        <v>1606.3434041175799</v>
      </c>
      <c r="I28" s="359">
        <f t="shared" si="41"/>
        <v>269698.64297914348</v>
      </c>
      <c r="J28" s="58">
        <f>IF((I28-H$33+(H$33/12*7))+K28&gt;$I$197,$I$197-K28,(I28-H$33+(H$33/12*7)))</f>
        <v>76000.758974384822</v>
      </c>
      <c r="K28" s="91">
        <f t="shared" si="23"/>
        <v>8719.2410256151761</v>
      </c>
      <c r="L28" s="284">
        <f t="shared" si="24"/>
        <v>84720</v>
      </c>
      <c r="M28" s="57">
        <f t="shared" si="25"/>
        <v>72200.721025665582</v>
      </c>
      <c r="N28" s="91">
        <f t="shared" si="26"/>
        <v>8283.2789743344165</v>
      </c>
      <c r="O28" s="60">
        <f t="shared" si="27"/>
        <v>80484</v>
      </c>
      <c r="P28" s="58">
        <f t="shared" si="28"/>
        <v>68400.683076946341</v>
      </c>
      <c r="Q28" s="91">
        <f t="shared" si="29"/>
        <v>7847.3169230536587</v>
      </c>
      <c r="R28" s="59">
        <f t="shared" si="30"/>
        <v>76248</v>
      </c>
      <c r="S28" s="57">
        <f t="shared" si="31"/>
        <v>60800.607179507861</v>
      </c>
      <c r="T28" s="91">
        <f t="shared" si="32"/>
        <v>6975.3928204921413</v>
      </c>
      <c r="U28" s="60">
        <f t="shared" si="33"/>
        <v>67776</v>
      </c>
      <c r="V28" s="58">
        <f t="shared" si="34"/>
        <v>53200.531282069373</v>
      </c>
      <c r="W28" s="91">
        <f t="shared" si="35"/>
        <v>6103.4687179306229</v>
      </c>
      <c r="X28" s="59">
        <f t="shared" si="36"/>
        <v>59303.999999999993</v>
      </c>
      <c r="Y28" s="57">
        <f t="shared" si="37"/>
        <v>45600.455384630892</v>
      </c>
      <c r="Z28" s="91">
        <f t="shared" si="38"/>
        <v>5231.5446153691055</v>
      </c>
      <c r="AA28" s="59">
        <f t="shared" si="39"/>
        <v>50832</v>
      </c>
    </row>
    <row r="29" spans="1:27">
      <c r="A29" s="327">
        <v>150</v>
      </c>
      <c r="B29" s="40">
        <v>40725</v>
      </c>
      <c r="C29" s="61">
        <f>VLOOKUP(B29,'base(indices)'!$A$4:$C$183,3,FALSE)</f>
        <v>545</v>
      </c>
      <c r="D29" s="192">
        <f>'base(indices)'!G22</f>
        <v>1.8265281799999999</v>
      </c>
      <c r="E29" s="63">
        <f t="shared" si="40"/>
        <v>995.45785809999995</v>
      </c>
      <c r="F29" s="82">
        <f>'base(indices)'!I22</f>
        <v>0.60997000000000001</v>
      </c>
      <c r="G29" s="63">
        <f t="shared" si="21"/>
        <v>607.19942970525699</v>
      </c>
      <c r="H29" s="268">
        <f t="shared" si="22"/>
        <v>1602.6572878052571</v>
      </c>
      <c r="I29" s="360">
        <f t="shared" si="41"/>
        <v>268092.29957502591</v>
      </c>
      <c r="J29" s="45">
        <f>IF((I29-H$33+(H$33/12*6))+K29&gt;$I$197,$I$197-K29,(I29-H$33+(H$33/12*6)))</f>
        <v>76000.758974384822</v>
      </c>
      <c r="K29" s="108">
        <f t="shared" si="23"/>
        <v>8719.2410256151761</v>
      </c>
      <c r="L29" s="46">
        <f t="shared" si="24"/>
        <v>84720</v>
      </c>
      <c r="M29" s="43">
        <f t="shared" si="25"/>
        <v>72200.721025665582</v>
      </c>
      <c r="N29" s="108">
        <f t="shared" si="26"/>
        <v>8283.2789743344165</v>
      </c>
      <c r="O29" s="47">
        <f t="shared" si="27"/>
        <v>80484</v>
      </c>
      <c r="P29" s="119">
        <f t="shared" si="28"/>
        <v>68400.683076946341</v>
      </c>
      <c r="Q29" s="108">
        <f t="shared" si="29"/>
        <v>7847.3169230536587</v>
      </c>
      <c r="R29" s="46">
        <f t="shared" si="30"/>
        <v>76248</v>
      </c>
      <c r="S29" s="43">
        <f t="shared" si="31"/>
        <v>60800.607179507861</v>
      </c>
      <c r="T29" s="108">
        <f t="shared" si="32"/>
        <v>6975.3928204921413</v>
      </c>
      <c r="U29" s="47">
        <f t="shared" si="33"/>
        <v>67776</v>
      </c>
      <c r="V29" s="45">
        <f t="shared" si="34"/>
        <v>53200.531282069373</v>
      </c>
      <c r="W29" s="108">
        <f t="shared" si="35"/>
        <v>6103.4687179306229</v>
      </c>
      <c r="X29" s="46">
        <f t="shared" si="36"/>
        <v>59303.999999999993</v>
      </c>
      <c r="Y29" s="43">
        <f t="shared" si="37"/>
        <v>45600.455384630892</v>
      </c>
      <c r="Z29" s="108">
        <f t="shared" si="38"/>
        <v>5231.5446153691055</v>
      </c>
      <c r="AA29" s="46">
        <f t="shared" si="39"/>
        <v>50832</v>
      </c>
    </row>
    <row r="30" spans="1:27">
      <c r="A30" s="327">
        <v>149</v>
      </c>
      <c r="B30" s="50">
        <v>40756</v>
      </c>
      <c r="C30" s="61">
        <f>VLOOKUP(B30,'base(indices)'!$A$4:$C$183,3,FALSE)</f>
        <v>545</v>
      </c>
      <c r="D30" s="192">
        <f>'base(indices)'!G23</f>
        <v>1.8247034799999999</v>
      </c>
      <c r="E30" s="54">
        <f t="shared" si="40"/>
        <v>994.46339660000001</v>
      </c>
      <c r="F30" s="82">
        <f>'base(indices)'!I23</f>
        <v>0.60997000000000001</v>
      </c>
      <c r="G30" s="54">
        <f t="shared" si="21"/>
        <v>606.59283802410198</v>
      </c>
      <c r="H30" s="267">
        <f t="shared" si="22"/>
        <v>1601.056234624102</v>
      </c>
      <c r="I30" s="359">
        <f t="shared" si="41"/>
        <v>266489.64228722063</v>
      </c>
      <c r="J30" s="58">
        <f>IF((I30-H$33+(H$33/12*5))+K30&gt;$I$197,$I$197-K30,(I30-H$33+(H$33/12*5)))</f>
        <v>76000.758974384822</v>
      </c>
      <c r="K30" s="91">
        <f t="shared" si="23"/>
        <v>8719.2410256151761</v>
      </c>
      <c r="L30" s="284">
        <f t="shared" si="24"/>
        <v>84720</v>
      </c>
      <c r="M30" s="57">
        <f t="shared" si="25"/>
        <v>72200.721025665582</v>
      </c>
      <c r="N30" s="91">
        <f t="shared" si="26"/>
        <v>8283.2789743344165</v>
      </c>
      <c r="O30" s="60">
        <f t="shared" si="27"/>
        <v>80484</v>
      </c>
      <c r="P30" s="58">
        <f t="shared" si="28"/>
        <v>68400.683076946341</v>
      </c>
      <c r="Q30" s="91">
        <f t="shared" si="29"/>
        <v>7847.3169230536587</v>
      </c>
      <c r="R30" s="59">
        <f t="shared" si="30"/>
        <v>76248</v>
      </c>
      <c r="S30" s="57">
        <f t="shared" si="31"/>
        <v>60800.607179507861</v>
      </c>
      <c r="T30" s="91">
        <f t="shared" si="32"/>
        <v>6975.3928204921413</v>
      </c>
      <c r="U30" s="60">
        <f t="shared" si="33"/>
        <v>67776</v>
      </c>
      <c r="V30" s="58">
        <f t="shared" si="34"/>
        <v>53200.531282069373</v>
      </c>
      <c r="W30" s="91">
        <f t="shared" si="35"/>
        <v>6103.4687179306229</v>
      </c>
      <c r="X30" s="59">
        <f t="shared" si="36"/>
        <v>59303.999999999993</v>
      </c>
      <c r="Y30" s="57">
        <f t="shared" si="37"/>
        <v>45600.455384630892</v>
      </c>
      <c r="Z30" s="91">
        <f t="shared" si="38"/>
        <v>5231.5446153691055</v>
      </c>
      <c r="AA30" s="59">
        <f t="shared" si="39"/>
        <v>50832</v>
      </c>
    </row>
    <row r="31" spans="1:27">
      <c r="A31" s="327">
        <v>148</v>
      </c>
      <c r="B31" s="40">
        <v>40787</v>
      </c>
      <c r="C31" s="61">
        <f>VLOOKUP(B31,'base(indices)'!$A$4:$C$183,3,FALSE)</f>
        <v>545</v>
      </c>
      <c r="D31" s="192">
        <f>'base(indices)'!G24</f>
        <v>1.81979004</v>
      </c>
      <c r="E31" s="63">
        <f t="shared" si="40"/>
        <v>991.78557179999996</v>
      </c>
      <c r="F31" s="82">
        <f>'base(indices)'!I24</f>
        <v>0.60997000000000001</v>
      </c>
      <c r="G31" s="63">
        <f t="shared" si="21"/>
        <v>604.95944523084597</v>
      </c>
      <c r="H31" s="268">
        <f t="shared" si="22"/>
        <v>1596.7450170308459</v>
      </c>
      <c r="I31" s="360">
        <f t="shared" si="41"/>
        <v>264888.58605259651</v>
      </c>
      <c r="J31" s="45">
        <f>IF((I31-H$33+(H$33/12*4))+K31&gt;$I$197,$I$197-K31,(I31-H$33+(H$33/12*4)))</f>
        <v>76000.758974384822</v>
      </c>
      <c r="K31" s="108">
        <f t="shared" si="23"/>
        <v>8719.2410256151761</v>
      </c>
      <c r="L31" s="46">
        <f t="shared" si="24"/>
        <v>84720</v>
      </c>
      <c r="M31" s="43">
        <f t="shared" si="25"/>
        <v>72200.721025665582</v>
      </c>
      <c r="N31" s="108">
        <f t="shared" si="26"/>
        <v>8283.2789743344165</v>
      </c>
      <c r="O31" s="47">
        <f t="shared" si="27"/>
        <v>80484</v>
      </c>
      <c r="P31" s="119">
        <f t="shared" si="28"/>
        <v>68400.683076946341</v>
      </c>
      <c r="Q31" s="108">
        <f t="shared" si="29"/>
        <v>7847.3169230536587</v>
      </c>
      <c r="R31" s="46">
        <f t="shared" si="30"/>
        <v>76248</v>
      </c>
      <c r="S31" s="43">
        <f t="shared" si="31"/>
        <v>60800.607179507861</v>
      </c>
      <c r="T31" s="108">
        <f t="shared" si="32"/>
        <v>6975.3928204921413</v>
      </c>
      <c r="U31" s="47">
        <f t="shared" si="33"/>
        <v>67776</v>
      </c>
      <c r="V31" s="45">
        <f t="shared" si="34"/>
        <v>53200.531282069373</v>
      </c>
      <c r="W31" s="108">
        <f t="shared" si="35"/>
        <v>6103.4687179306229</v>
      </c>
      <c r="X31" s="46">
        <f t="shared" si="36"/>
        <v>59303.999999999993</v>
      </c>
      <c r="Y31" s="43">
        <f t="shared" si="37"/>
        <v>45600.455384630892</v>
      </c>
      <c r="Z31" s="108">
        <f t="shared" si="38"/>
        <v>5231.5446153691055</v>
      </c>
      <c r="AA31" s="46">
        <f t="shared" si="39"/>
        <v>50832</v>
      </c>
    </row>
    <row r="32" spans="1:27">
      <c r="A32" s="327">
        <v>147</v>
      </c>
      <c r="B32" s="50">
        <v>40817</v>
      </c>
      <c r="C32" s="61">
        <f>VLOOKUP(B32,'base(indices)'!$A$4:$C$183,3,FALSE)</f>
        <v>545</v>
      </c>
      <c r="D32" s="192">
        <f>'base(indices)'!G25</f>
        <v>1.8101960100000001</v>
      </c>
      <c r="E32" s="54">
        <f t="shared" si="40"/>
        <v>986.55682545000002</v>
      </c>
      <c r="F32" s="82">
        <f>'base(indices)'!I25</f>
        <v>0.60997000000000001</v>
      </c>
      <c r="G32" s="54">
        <f t="shared" si="21"/>
        <v>601.77006681973648</v>
      </c>
      <c r="H32" s="267">
        <f t="shared" si="22"/>
        <v>1588.3268922697366</v>
      </c>
      <c r="I32" s="359">
        <f t="shared" si="41"/>
        <v>263291.84103556565</v>
      </c>
      <c r="J32" s="58">
        <f>IF((I32-H$33+(H$33/12*3))+K32&gt;$I$197,$I$197-K32,(I32-H$33+(H$33/12*3)))</f>
        <v>76000.758974384822</v>
      </c>
      <c r="K32" s="91">
        <f t="shared" si="23"/>
        <v>8719.2410256151761</v>
      </c>
      <c r="L32" s="284">
        <f t="shared" si="24"/>
        <v>84720</v>
      </c>
      <c r="M32" s="57">
        <f t="shared" si="25"/>
        <v>72200.721025665582</v>
      </c>
      <c r="N32" s="91">
        <f t="shared" si="26"/>
        <v>8283.2789743344165</v>
      </c>
      <c r="O32" s="60">
        <f t="shared" si="27"/>
        <v>80484</v>
      </c>
      <c r="P32" s="58">
        <f t="shared" si="28"/>
        <v>68400.683076946341</v>
      </c>
      <c r="Q32" s="91">
        <f t="shared" si="29"/>
        <v>7847.3169230536587</v>
      </c>
      <c r="R32" s="59">
        <f t="shared" si="30"/>
        <v>76248</v>
      </c>
      <c r="S32" s="57">
        <f t="shared" si="31"/>
        <v>60800.607179507861</v>
      </c>
      <c r="T32" s="91">
        <f t="shared" si="32"/>
        <v>6975.3928204921413</v>
      </c>
      <c r="U32" s="60">
        <f t="shared" si="33"/>
        <v>67776</v>
      </c>
      <c r="V32" s="58">
        <f t="shared" si="34"/>
        <v>53200.531282069373</v>
      </c>
      <c r="W32" s="91">
        <f t="shared" si="35"/>
        <v>6103.4687179306229</v>
      </c>
      <c r="X32" s="59">
        <f t="shared" si="36"/>
        <v>59303.999999999993</v>
      </c>
      <c r="Y32" s="57">
        <f t="shared" si="37"/>
        <v>45600.455384630892</v>
      </c>
      <c r="Z32" s="91">
        <f t="shared" si="38"/>
        <v>5231.5446153691055</v>
      </c>
      <c r="AA32" s="59">
        <f t="shared" si="39"/>
        <v>50832</v>
      </c>
    </row>
    <row r="33" spans="1:27">
      <c r="A33" s="327">
        <v>146</v>
      </c>
      <c r="B33" s="40">
        <v>40848</v>
      </c>
      <c r="C33" s="61">
        <f>VLOOKUP(B33,'base(indices)'!$A$4:$C$183,3,FALSE)</f>
        <v>545</v>
      </c>
      <c r="D33" s="192">
        <f>'base(indices)'!G26</f>
        <v>1.80262498</v>
      </c>
      <c r="E33" s="63">
        <f t="shared" si="40"/>
        <v>982.43061410000007</v>
      </c>
      <c r="F33" s="82">
        <f>'base(indices)'!I26</f>
        <v>0.60997000000000001</v>
      </c>
      <c r="G33" s="63">
        <f t="shared" si="21"/>
        <v>599.25320168257701</v>
      </c>
      <c r="H33" s="268">
        <f t="shared" si="22"/>
        <v>1581.6838157825771</v>
      </c>
      <c r="I33" s="360">
        <f t="shared" si="41"/>
        <v>261703.51414329591</v>
      </c>
      <c r="J33" s="45">
        <f>IF((I33-H$33+(H$33/12*2))+K33&gt;$I$197,$I$197-K33,(I33-H$33+(H$33/12*2)))</f>
        <v>76000.758974384822</v>
      </c>
      <c r="K33" s="108">
        <f t="shared" si="23"/>
        <v>8719.2410256151761</v>
      </c>
      <c r="L33" s="46">
        <f t="shared" si="24"/>
        <v>84720</v>
      </c>
      <c r="M33" s="43">
        <f t="shared" si="25"/>
        <v>72200.721025665582</v>
      </c>
      <c r="N33" s="108">
        <f t="shared" si="26"/>
        <v>8283.2789743344165</v>
      </c>
      <c r="O33" s="47">
        <f t="shared" si="27"/>
        <v>80484</v>
      </c>
      <c r="P33" s="119">
        <f t="shared" si="28"/>
        <v>68400.683076946341</v>
      </c>
      <c r="Q33" s="108">
        <f t="shared" si="29"/>
        <v>7847.3169230536587</v>
      </c>
      <c r="R33" s="46">
        <f t="shared" si="30"/>
        <v>76248</v>
      </c>
      <c r="S33" s="43">
        <f t="shared" si="31"/>
        <v>60800.607179507861</v>
      </c>
      <c r="T33" s="108">
        <f t="shared" si="32"/>
        <v>6975.3928204921413</v>
      </c>
      <c r="U33" s="47">
        <f t="shared" si="33"/>
        <v>67776</v>
      </c>
      <c r="V33" s="45">
        <f t="shared" si="34"/>
        <v>53200.531282069373</v>
      </c>
      <c r="W33" s="108">
        <f t="shared" si="35"/>
        <v>6103.4687179306229</v>
      </c>
      <c r="X33" s="46">
        <f t="shared" si="36"/>
        <v>59303.999999999993</v>
      </c>
      <c r="Y33" s="43">
        <f t="shared" si="37"/>
        <v>45600.455384630892</v>
      </c>
      <c r="Z33" s="108">
        <f t="shared" si="38"/>
        <v>5231.5446153691055</v>
      </c>
      <c r="AA33" s="46">
        <f t="shared" si="39"/>
        <v>50832</v>
      </c>
    </row>
    <row r="34" spans="1:27" ht="13.5" thickBot="1">
      <c r="A34" s="356">
        <v>145</v>
      </c>
      <c r="B34" s="300">
        <v>40878</v>
      </c>
      <c r="C34" s="69">
        <f>C33*2</f>
        <v>1090</v>
      </c>
      <c r="D34" s="335">
        <f>'base(indices)'!G27</f>
        <v>1.7943708700000001</v>
      </c>
      <c r="E34" s="163">
        <f t="shared" si="40"/>
        <v>1955.8642483000001</v>
      </c>
      <c r="F34" s="304">
        <f>'base(indices)'!I27</f>
        <v>0.60997000000000001</v>
      </c>
      <c r="G34" s="163">
        <f t="shared" si="21"/>
        <v>1193.0185155355512</v>
      </c>
      <c r="H34" s="355">
        <f t="shared" si="22"/>
        <v>3148.8827638355515</v>
      </c>
      <c r="I34" s="361">
        <f t="shared" si="41"/>
        <v>260121.83032751334</v>
      </c>
      <c r="J34" s="285">
        <f>IF((I34-H$33+(H$33/12*1))+K34&gt;$I$197,$I$197-K34,(I34-H$33+(H$33/12*1)))</f>
        <v>76000.758974384822</v>
      </c>
      <c r="K34" s="202">
        <f t="shared" si="23"/>
        <v>8719.2410256151761</v>
      </c>
      <c r="L34" s="286">
        <f t="shared" si="24"/>
        <v>84720</v>
      </c>
      <c r="M34" s="282">
        <f t="shared" si="25"/>
        <v>72200.721025665582</v>
      </c>
      <c r="N34" s="202">
        <f t="shared" si="26"/>
        <v>8283.2789743344165</v>
      </c>
      <c r="O34" s="289">
        <f t="shared" si="27"/>
        <v>80484</v>
      </c>
      <c r="P34" s="285">
        <f t="shared" si="28"/>
        <v>68400.683076946341</v>
      </c>
      <c r="Q34" s="202">
        <f t="shared" si="29"/>
        <v>7847.3169230536587</v>
      </c>
      <c r="R34" s="203">
        <f t="shared" si="30"/>
        <v>76248</v>
      </c>
      <c r="S34" s="282">
        <f t="shared" si="31"/>
        <v>60800.607179507861</v>
      </c>
      <c r="T34" s="202">
        <f t="shared" si="32"/>
        <v>6975.3928204921413</v>
      </c>
      <c r="U34" s="289">
        <f t="shared" si="33"/>
        <v>67776</v>
      </c>
      <c r="V34" s="285">
        <f t="shared" si="34"/>
        <v>53200.531282069373</v>
      </c>
      <c r="W34" s="202">
        <f t="shared" si="35"/>
        <v>6103.4687179306229</v>
      </c>
      <c r="X34" s="203">
        <f t="shared" si="36"/>
        <v>59303.999999999993</v>
      </c>
      <c r="Y34" s="282">
        <f t="shared" si="37"/>
        <v>45600.455384630892</v>
      </c>
      <c r="Z34" s="202">
        <f t="shared" si="38"/>
        <v>5231.5446153691055</v>
      </c>
      <c r="AA34" s="203">
        <f t="shared" si="39"/>
        <v>50832</v>
      </c>
    </row>
    <row r="35" spans="1:27">
      <c r="A35" s="177">
        <v>144</v>
      </c>
      <c r="B35" s="351">
        <v>40909</v>
      </c>
      <c r="C35" s="41">
        <f>VLOOKUP(B35,'base(indices)'!$A$16:$C$183,3,FALSE)</f>
        <v>622</v>
      </c>
      <c r="D35" s="193">
        <f>'base(indices)'!G28</f>
        <v>1.7843783600000001</v>
      </c>
      <c r="E35" s="78">
        <f>C35*D35</f>
        <v>1109.88333992</v>
      </c>
      <c r="F35" s="79">
        <f>'base(indices)'!I28</f>
        <v>0.60997000000000001</v>
      </c>
      <c r="G35" s="78">
        <f t="shared" si="21"/>
        <v>676.99554085100237</v>
      </c>
      <c r="H35" s="266">
        <f t="shared" si="22"/>
        <v>1786.8788807710025</v>
      </c>
      <c r="I35" s="357">
        <f t="shared" si="41"/>
        <v>256972.94756367779</v>
      </c>
      <c r="J35" s="48">
        <f>IF((I35-H$45+(H$45))+K35&gt;$I$197,$I$197-K35,(I35-H$45+(H$45)))</f>
        <v>76000.758974384822</v>
      </c>
      <c r="K35" s="109">
        <f t="shared" si="23"/>
        <v>8719.2410256151761</v>
      </c>
      <c r="L35" s="49">
        <f t="shared" si="24"/>
        <v>84720</v>
      </c>
      <c r="M35" s="138">
        <f t="shared" si="25"/>
        <v>72200.721025665582</v>
      </c>
      <c r="N35" s="109">
        <f t="shared" si="26"/>
        <v>8283.2789743344165</v>
      </c>
      <c r="O35" s="139">
        <f t="shared" si="27"/>
        <v>80484</v>
      </c>
      <c r="P35" s="291">
        <f t="shared" si="28"/>
        <v>68400.683076946341</v>
      </c>
      <c r="Q35" s="109">
        <f t="shared" si="29"/>
        <v>7847.3169230536587</v>
      </c>
      <c r="R35" s="49">
        <f t="shared" si="30"/>
        <v>76248</v>
      </c>
      <c r="S35" s="138">
        <f t="shared" si="31"/>
        <v>60800.607179507861</v>
      </c>
      <c r="T35" s="109">
        <f t="shared" si="32"/>
        <v>6975.3928204921413</v>
      </c>
      <c r="U35" s="139">
        <f t="shared" si="33"/>
        <v>67776</v>
      </c>
      <c r="V35" s="48">
        <f t="shared" si="34"/>
        <v>53200.531282069373</v>
      </c>
      <c r="W35" s="109">
        <f t="shared" si="35"/>
        <v>6103.4687179306229</v>
      </c>
      <c r="X35" s="49">
        <f t="shared" si="36"/>
        <v>59303.999999999993</v>
      </c>
      <c r="Y35" s="138">
        <f t="shared" si="37"/>
        <v>45600.455384630892</v>
      </c>
      <c r="Z35" s="109">
        <f t="shared" si="38"/>
        <v>5231.5446153691055</v>
      </c>
      <c r="AA35" s="49">
        <f t="shared" si="39"/>
        <v>50832</v>
      </c>
    </row>
    <row r="36" spans="1:27">
      <c r="A36" s="105">
        <v>143</v>
      </c>
      <c r="B36" s="339">
        <v>40940</v>
      </c>
      <c r="C36" s="61">
        <f>VLOOKUP(B36,'base(indices)'!$A$16:$C$183,3,FALSE)</f>
        <v>622</v>
      </c>
      <c r="D36" s="192">
        <f>'base(indices)'!G29</f>
        <v>1.7728548</v>
      </c>
      <c r="E36" s="54">
        <f t="shared" ref="E36:E46" si="42">C36*D36</f>
        <v>1102.7156855999999</v>
      </c>
      <c r="F36" s="82">
        <f>'base(indices)'!I29</f>
        <v>0.60997000000000001</v>
      </c>
      <c r="G36" s="54">
        <f t="shared" si="21"/>
        <v>672.62348674543193</v>
      </c>
      <c r="H36" s="267">
        <f t="shared" si="22"/>
        <v>1775.339172345432</v>
      </c>
      <c r="I36" s="352">
        <f t="shared" si="41"/>
        <v>255186.0686829068</v>
      </c>
      <c r="J36" s="58">
        <f>IF((I36-H$45+(H$45/12*11))+K36&gt;$I$197,$I$197-K36,(I36-H$45+(H$45/12*11)))</f>
        <v>76000.758974384822</v>
      </c>
      <c r="K36" s="91">
        <f t="shared" si="23"/>
        <v>8719.2410256151761</v>
      </c>
      <c r="L36" s="284">
        <f t="shared" si="24"/>
        <v>84720</v>
      </c>
      <c r="M36" s="57">
        <f t="shared" si="25"/>
        <v>72200.721025665582</v>
      </c>
      <c r="N36" s="91">
        <f t="shared" si="26"/>
        <v>8283.2789743344165</v>
      </c>
      <c r="O36" s="60">
        <f t="shared" si="27"/>
        <v>80484</v>
      </c>
      <c r="P36" s="58">
        <f t="shared" si="28"/>
        <v>68400.683076946341</v>
      </c>
      <c r="Q36" s="91">
        <f t="shared" si="29"/>
        <v>7847.3169230536587</v>
      </c>
      <c r="R36" s="59">
        <f t="shared" si="30"/>
        <v>76248</v>
      </c>
      <c r="S36" s="57">
        <f t="shared" si="31"/>
        <v>60800.607179507861</v>
      </c>
      <c r="T36" s="91">
        <f t="shared" si="32"/>
        <v>6975.3928204921413</v>
      </c>
      <c r="U36" s="60">
        <f t="shared" si="33"/>
        <v>67776</v>
      </c>
      <c r="V36" s="58">
        <f t="shared" si="34"/>
        <v>53200.531282069373</v>
      </c>
      <c r="W36" s="91">
        <f t="shared" si="35"/>
        <v>6103.4687179306229</v>
      </c>
      <c r="X36" s="59">
        <f t="shared" si="36"/>
        <v>59303.999999999993</v>
      </c>
      <c r="Y36" s="57">
        <f t="shared" si="37"/>
        <v>45600.455384630892</v>
      </c>
      <c r="Z36" s="91">
        <f t="shared" si="38"/>
        <v>5231.5446153691055</v>
      </c>
      <c r="AA36" s="59">
        <f t="shared" si="39"/>
        <v>50832</v>
      </c>
    </row>
    <row r="37" spans="1:27">
      <c r="A37" s="105">
        <v>142</v>
      </c>
      <c r="B37" s="340">
        <v>40969</v>
      </c>
      <c r="C37" s="61">
        <f>VLOOKUP(B37,'base(indices)'!$A$16:$C$183,3,FALSE)</f>
        <v>622</v>
      </c>
      <c r="D37" s="192">
        <f>'base(indices)'!G30</f>
        <v>1.7635082099999999</v>
      </c>
      <c r="E37" s="63">
        <f t="shared" si="42"/>
        <v>1096.90210662</v>
      </c>
      <c r="F37" s="82">
        <f>'base(indices)'!I30</f>
        <v>0.60997000000000001</v>
      </c>
      <c r="G37" s="63">
        <f t="shared" si="21"/>
        <v>669.07737797500147</v>
      </c>
      <c r="H37" s="268">
        <f t="shared" si="22"/>
        <v>1765.9794845950014</v>
      </c>
      <c r="I37" s="353">
        <f t="shared" si="41"/>
        <v>253410.72951056136</v>
      </c>
      <c r="J37" s="45">
        <f>IF((I37-H$45+(H$45/12*10))+K37&gt;$I$197,$I$197-K37,(I37-H$45+(H$45/12*10)))</f>
        <v>76000.758974384822</v>
      </c>
      <c r="K37" s="108">
        <f t="shared" si="23"/>
        <v>8719.2410256151761</v>
      </c>
      <c r="L37" s="46">
        <f t="shared" si="24"/>
        <v>84720</v>
      </c>
      <c r="M37" s="43">
        <f t="shared" si="25"/>
        <v>72200.721025665582</v>
      </c>
      <c r="N37" s="108">
        <f t="shared" si="26"/>
        <v>8283.2789743344165</v>
      </c>
      <c r="O37" s="47">
        <f t="shared" si="27"/>
        <v>80484</v>
      </c>
      <c r="P37" s="119">
        <f t="shared" si="28"/>
        <v>68400.683076946341</v>
      </c>
      <c r="Q37" s="108">
        <f t="shared" si="29"/>
        <v>7847.3169230536587</v>
      </c>
      <c r="R37" s="46">
        <f t="shared" si="30"/>
        <v>76248</v>
      </c>
      <c r="S37" s="43">
        <f t="shared" si="31"/>
        <v>60800.607179507861</v>
      </c>
      <c r="T37" s="108">
        <f t="shared" si="32"/>
        <v>6975.3928204921413</v>
      </c>
      <c r="U37" s="47">
        <f t="shared" si="33"/>
        <v>67776</v>
      </c>
      <c r="V37" s="45">
        <f t="shared" si="34"/>
        <v>53200.531282069373</v>
      </c>
      <c r="W37" s="108">
        <f t="shared" si="35"/>
        <v>6103.4687179306229</v>
      </c>
      <c r="X37" s="46">
        <f t="shared" si="36"/>
        <v>59303.999999999993</v>
      </c>
      <c r="Y37" s="43">
        <f t="shared" si="37"/>
        <v>45600.455384630892</v>
      </c>
      <c r="Z37" s="108">
        <f t="shared" si="38"/>
        <v>5231.5446153691055</v>
      </c>
      <c r="AA37" s="46">
        <f t="shared" si="39"/>
        <v>50832</v>
      </c>
    </row>
    <row r="38" spans="1:27">
      <c r="A38" s="105">
        <v>141</v>
      </c>
      <c r="B38" s="339">
        <v>41000</v>
      </c>
      <c r="C38" s="61">
        <f>VLOOKUP(B38,'base(indices)'!$A$16:$C$183,3,FALSE)</f>
        <v>622</v>
      </c>
      <c r="D38" s="192">
        <f>'base(indices)'!G31</f>
        <v>1.75911043</v>
      </c>
      <c r="E38" s="54">
        <f t="shared" si="42"/>
        <v>1094.16668746</v>
      </c>
      <c r="F38" s="82">
        <f>'base(indices)'!I31</f>
        <v>0.60997000000000001</v>
      </c>
      <c r="G38" s="54">
        <f t="shared" si="21"/>
        <v>667.4088543499762</v>
      </c>
      <c r="H38" s="267">
        <f t="shared" si="22"/>
        <v>1761.5755418099761</v>
      </c>
      <c r="I38" s="352">
        <f t="shared" si="41"/>
        <v>251644.75002596635</v>
      </c>
      <c r="J38" s="58">
        <f>IF((I38-H$45+(H$45/12*9))+K38&gt;$I$197,$I$197-K38,(I38-H$45+(H$45/12*9)))</f>
        <v>76000.758974384822</v>
      </c>
      <c r="K38" s="91">
        <f t="shared" si="23"/>
        <v>8719.2410256151761</v>
      </c>
      <c r="L38" s="284">
        <f t="shared" si="24"/>
        <v>84720</v>
      </c>
      <c r="M38" s="57">
        <f t="shared" si="25"/>
        <v>72200.721025665582</v>
      </c>
      <c r="N38" s="91">
        <f t="shared" si="26"/>
        <v>8283.2789743344165</v>
      </c>
      <c r="O38" s="60">
        <f t="shared" si="27"/>
        <v>80484</v>
      </c>
      <c r="P38" s="58">
        <f t="shared" si="28"/>
        <v>68400.683076946341</v>
      </c>
      <c r="Q38" s="91">
        <f t="shared" si="29"/>
        <v>7847.3169230536587</v>
      </c>
      <c r="R38" s="59">
        <f t="shared" si="30"/>
        <v>76248</v>
      </c>
      <c r="S38" s="57">
        <f t="shared" si="31"/>
        <v>60800.607179507861</v>
      </c>
      <c r="T38" s="91">
        <f t="shared" si="32"/>
        <v>6975.3928204921413</v>
      </c>
      <c r="U38" s="60">
        <f t="shared" si="33"/>
        <v>67776</v>
      </c>
      <c r="V38" s="58">
        <f t="shared" si="34"/>
        <v>53200.531282069373</v>
      </c>
      <c r="W38" s="91">
        <f t="shared" si="35"/>
        <v>6103.4687179306229</v>
      </c>
      <c r="X38" s="59">
        <f t="shared" si="36"/>
        <v>59303.999999999993</v>
      </c>
      <c r="Y38" s="57">
        <f t="shared" si="37"/>
        <v>45600.455384630892</v>
      </c>
      <c r="Z38" s="91">
        <f t="shared" si="38"/>
        <v>5231.5446153691055</v>
      </c>
      <c r="AA38" s="59">
        <f t="shared" si="39"/>
        <v>50832</v>
      </c>
    </row>
    <row r="39" spans="1:27">
      <c r="A39" s="105">
        <v>140</v>
      </c>
      <c r="B39" s="340">
        <v>41030</v>
      </c>
      <c r="C39" s="61">
        <f>VLOOKUP(B39,'base(indices)'!$A$16:$C$183,3,FALSE)</f>
        <v>622</v>
      </c>
      <c r="D39" s="192">
        <f>'base(indices)'!G32</f>
        <v>1.75157864</v>
      </c>
      <c r="E39" s="63">
        <f t="shared" si="42"/>
        <v>1089.48191408</v>
      </c>
      <c r="F39" s="82">
        <f>'base(indices)'!I32</f>
        <v>0.60997000000000001</v>
      </c>
      <c r="G39" s="63">
        <f t="shared" si="21"/>
        <v>664.55128313137766</v>
      </c>
      <c r="H39" s="268">
        <f t="shared" si="22"/>
        <v>1754.0331972113777</v>
      </c>
      <c r="I39" s="353">
        <f t="shared" si="41"/>
        <v>249883.17448415636</v>
      </c>
      <c r="J39" s="45">
        <f>IF((I39-H$45+(H$45/12*8))+K39&gt;$I$197,$I$197-K39,(I39-H$45+(H$45/12*8)))</f>
        <v>76000.758974384822</v>
      </c>
      <c r="K39" s="108">
        <f t="shared" si="23"/>
        <v>8719.2410256151761</v>
      </c>
      <c r="L39" s="46">
        <f t="shared" si="24"/>
        <v>84720</v>
      </c>
      <c r="M39" s="43">
        <f t="shared" si="25"/>
        <v>72200.721025665582</v>
      </c>
      <c r="N39" s="108">
        <f t="shared" si="26"/>
        <v>8283.2789743344165</v>
      </c>
      <c r="O39" s="47">
        <f t="shared" si="27"/>
        <v>80484</v>
      </c>
      <c r="P39" s="119">
        <f t="shared" si="28"/>
        <v>68400.683076946341</v>
      </c>
      <c r="Q39" s="108">
        <f t="shared" si="29"/>
        <v>7847.3169230536587</v>
      </c>
      <c r="R39" s="46">
        <f t="shared" si="30"/>
        <v>76248</v>
      </c>
      <c r="S39" s="43">
        <f t="shared" si="31"/>
        <v>60800.607179507861</v>
      </c>
      <c r="T39" s="108">
        <f t="shared" si="32"/>
        <v>6975.3928204921413</v>
      </c>
      <c r="U39" s="47">
        <f t="shared" si="33"/>
        <v>67776</v>
      </c>
      <c r="V39" s="45">
        <f t="shared" si="34"/>
        <v>53200.531282069373</v>
      </c>
      <c r="W39" s="108">
        <f t="shared" si="35"/>
        <v>6103.4687179306229</v>
      </c>
      <c r="X39" s="46">
        <f t="shared" si="36"/>
        <v>59303.999999999993</v>
      </c>
      <c r="Y39" s="43">
        <f t="shared" si="37"/>
        <v>45600.455384630892</v>
      </c>
      <c r="Z39" s="108">
        <f t="shared" si="38"/>
        <v>5231.5446153691055</v>
      </c>
      <c r="AA39" s="46">
        <f t="shared" si="39"/>
        <v>50832</v>
      </c>
    </row>
    <row r="40" spans="1:27">
      <c r="A40" s="105">
        <v>139</v>
      </c>
      <c r="B40" s="339">
        <v>41061</v>
      </c>
      <c r="C40" s="61">
        <f>VLOOKUP(B40,'base(indices)'!$A$16:$C$183,3,FALSE)</f>
        <v>622</v>
      </c>
      <c r="D40" s="192">
        <f>'base(indices)'!G33</f>
        <v>1.74269092</v>
      </c>
      <c r="E40" s="54">
        <f t="shared" si="42"/>
        <v>1083.9537522400001</v>
      </c>
      <c r="F40" s="82">
        <f>'base(indices)'!I33</f>
        <v>0.60997000000000001</v>
      </c>
      <c r="G40" s="54">
        <f t="shared" si="21"/>
        <v>661.1792702538329</v>
      </c>
      <c r="H40" s="267">
        <f t="shared" si="22"/>
        <v>1745.1330224938329</v>
      </c>
      <c r="I40" s="352">
        <f t="shared" si="41"/>
        <v>248129.141286945</v>
      </c>
      <c r="J40" s="58">
        <f>IF((I40-H$45+(H$45/12*7))+K40&gt;$I$197,$I$197-K40,(I40-H$45+(H$45/12*7)))</f>
        <v>76000.758974384822</v>
      </c>
      <c r="K40" s="91">
        <f t="shared" si="23"/>
        <v>8719.2410256151761</v>
      </c>
      <c r="L40" s="284">
        <f t="shared" si="24"/>
        <v>84720</v>
      </c>
      <c r="M40" s="57">
        <f t="shared" si="25"/>
        <v>72200.721025665582</v>
      </c>
      <c r="N40" s="91">
        <f t="shared" si="26"/>
        <v>8283.2789743344165</v>
      </c>
      <c r="O40" s="60">
        <f t="shared" si="27"/>
        <v>80484</v>
      </c>
      <c r="P40" s="58">
        <f t="shared" si="28"/>
        <v>68400.683076946341</v>
      </c>
      <c r="Q40" s="91">
        <f t="shared" si="29"/>
        <v>7847.3169230536587</v>
      </c>
      <c r="R40" s="59">
        <f t="shared" si="30"/>
        <v>76248</v>
      </c>
      <c r="S40" s="57">
        <f t="shared" si="31"/>
        <v>60800.607179507861</v>
      </c>
      <c r="T40" s="91">
        <f t="shared" si="32"/>
        <v>6975.3928204921413</v>
      </c>
      <c r="U40" s="60">
        <f t="shared" si="33"/>
        <v>67776</v>
      </c>
      <c r="V40" s="58">
        <f t="shared" si="34"/>
        <v>53200.531282069373</v>
      </c>
      <c r="W40" s="91">
        <f t="shared" si="35"/>
        <v>6103.4687179306229</v>
      </c>
      <c r="X40" s="59">
        <f t="shared" si="36"/>
        <v>59303.999999999993</v>
      </c>
      <c r="Y40" s="57">
        <f t="shared" si="37"/>
        <v>45600.455384630892</v>
      </c>
      <c r="Z40" s="91">
        <f t="shared" si="38"/>
        <v>5231.5446153691055</v>
      </c>
      <c r="AA40" s="59">
        <f t="shared" si="39"/>
        <v>50832</v>
      </c>
    </row>
    <row r="41" spans="1:27">
      <c r="A41" s="105">
        <v>138</v>
      </c>
      <c r="B41" s="340">
        <v>41091</v>
      </c>
      <c r="C41" s="61">
        <f>VLOOKUP(B41,'base(indices)'!$A$16:$C$183,3,FALSE)</f>
        <v>622</v>
      </c>
      <c r="D41" s="192">
        <f>'base(indices)'!G34</f>
        <v>1.73955971</v>
      </c>
      <c r="E41" s="63">
        <f t="shared" si="42"/>
        <v>1082.0061396199999</v>
      </c>
      <c r="F41" s="82">
        <f>'base(indices)'!I34</f>
        <v>0.60997000000000001</v>
      </c>
      <c r="G41" s="63">
        <f t="shared" si="21"/>
        <v>659.99128498401137</v>
      </c>
      <c r="H41" s="268">
        <f t="shared" si="22"/>
        <v>1741.9974246040113</v>
      </c>
      <c r="I41" s="353">
        <f t="shared" si="41"/>
        <v>246384.00826445117</v>
      </c>
      <c r="J41" s="45">
        <f>IF((I41-H$45+(H$45/12*6))+K41&gt;$I$197,$I$197-K41,(I41-H$45+(H$45/12*6)))</f>
        <v>76000.758974384822</v>
      </c>
      <c r="K41" s="108">
        <f t="shared" si="23"/>
        <v>8719.2410256151761</v>
      </c>
      <c r="L41" s="46">
        <f t="shared" si="24"/>
        <v>84720</v>
      </c>
      <c r="M41" s="43">
        <f t="shared" si="25"/>
        <v>72200.721025665582</v>
      </c>
      <c r="N41" s="108">
        <f t="shared" si="26"/>
        <v>8283.2789743344165</v>
      </c>
      <c r="O41" s="47">
        <f t="shared" si="27"/>
        <v>80484</v>
      </c>
      <c r="P41" s="119">
        <f t="shared" si="28"/>
        <v>68400.683076946341</v>
      </c>
      <c r="Q41" s="108">
        <f t="shared" si="29"/>
        <v>7847.3169230536587</v>
      </c>
      <c r="R41" s="46">
        <f t="shared" si="30"/>
        <v>76248</v>
      </c>
      <c r="S41" s="43">
        <f t="shared" si="31"/>
        <v>60800.607179507861</v>
      </c>
      <c r="T41" s="108">
        <f t="shared" si="32"/>
        <v>6975.3928204921413</v>
      </c>
      <c r="U41" s="47">
        <f t="shared" si="33"/>
        <v>67776</v>
      </c>
      <c r="V41" s="45">
        <f t="shared" si="34"/>
        <v>53200.531282069373</v>
      </c>
      <c r="W41" s="108">
        <f t="shared" si="35"/>
        <v>6103.4687179306229</v>
      </c>
      <c r="X41" s="46">
        <f t="shared" si="36"/>
        <v>59303.999999999993</v>
      </c>
      <c r="Y41" s="43">
        <f t="shared" si="37"/>
        <v>45600.455384630892</v>
      </c>
      <c r="Z41" s="108">
        <f t="shared" si="38"/>
        <v>5231.5446153691055</v>
      </c>
      <c r="AA41" s="46">
        <f t="shared" si="39"/>
        <v>50832</v>
      </c>
    </row>
    <row r="42" spans="1:27">
      <c r="A42" s="105">
        <v>137</v>
      </c>
      <c r="B42" s="339">
        <v>41122</v>
      </c>
      <c r="C42" s="61">
        <f>VLOOKUP(B42,'base(indices)'!$A$16:$C$183,3,FALSE)</f>
        <v>622</v>
      </c>
      <c r="D42" s="192">
        <f>'base(indices)'!G35</f>
        <v>1.7338380499999999</v>
      </c>
      <c r="E42" s="54">
        <f t="shared" si="42"/>
        <v>1078.4472670999999</v>
      </c>
      <c r="F42" s="82">
        <f>'base(indices)'!I35</f>
        <v>0.60997000000000001</v>
      </c>
      <c r="G42" s="54">
        <f t="shared" si="21"/>
        <v>657.82047951298694</v>
      </c>
      <c r="H42" s="267">
        <f t="shared" si="22"/>
        <v>1736.2677466129867</v>
      </c>
      <c r="I42" s="352">
        <f t="shared" si="41"/>
        <v>244642.01083984715</v>
      </c>
      <c r="J42" s="58">
        <f>IF((I42-H$45+(H$45/12*5))+K42&gt;$I$197,$I$197-K42,(I42-H$45+(H$45/12*5)))</f>
        <v>76000.758974384822</v>
      </c>
      <c r="K42" s="91">
        <f t="shared" si="23"/>
        <v>8719.2410256151761</v>
      </c>
      <c r="L42" s="284">
        <f t="shared" si="24"/>
        <v>84720</v>
      </c>
      <c r="M42" s="57">
        <f t="shared" si="25"/>
        <v>72200.721025665582</v>
      </c>
      <c r="N42" s="91">
        <f t="shared" si="26"/>
        <v>8283.2789743344165</v>
      </c>
      <c r="O42" s="60">
        <f t="shared" si="27"/>
        <v>80484</v>
      </c>
      <c r="P42" s="58">
        <f t="shared" si="28"/>
        <v>68400.683076946341</v>
      </c>
      <c r="Q42" s="91">
        <f t="shared" si="29"/>
        <v>7847.3169230536587</v>
      </c>
      <c r="R42" s="59">
        <f t="shared" si="30"/>
        <v>76248</v>
      </c>
      <c r="S42" s="57">
        <f t="shared" si="31"/>
        <v>60800.607179507861</v>
      </c>
      <c r="T42" s="91">
        <f t="shared" si="32"/>
        <v>6975.3928204921413</v>
      </c>
      <c r="U42" s="60">
        <f t="shared" si="33"/>
        <v>67776</v>
      </c>
      <c r="V42" s="58">
        <f t="shared" si="34"/>
        <v>53200.531282069373</v>
      </c>
      <c r="W42" s="91">
        <f t="shared" si="35"/>
        <v>6103.4687179306229</v>
      </c>
      <c r="X42" s="59">
        <f t="shared" si="36"/>
        <v>59303.999999999993</v>
      </c>
      <c r="Y42" s="57">
        <f t="shared" si="37"/>
        <v>45600.455384630892</v>
      </c>
      <c r="Z42" s="91">
        <f t="shared" si="38"/>
        <v>5231.5446153691055</v>
      </c>
      <c r="AA42" s="59">
        <f t="shared" si="39"/>
        <v>50832</v>
      </c>
    </row>
    <row r="43" spans="1:27">
      <c r="A43" s="105">
        <v>136</v>
      </c>
      <c r="B43" s="340">
        <v>41153</v>
      </c>
      <c r="C43" s="61">
        <f>VLOOKUP(B43,'base(indices)'!$A$16:$C$183,3,FALSE)</f>
        <v>622</v>
      </c>
      <c r="D43" s="192">
        <f>'base(indices)'!G36</f>
        <v>1.72710235</v>
      </c>
      <c r="E43" s="63">
        <f t="shared" si="42"/>
        <v>1074.2576617</v>
      </c>
      <c r="F43" s="82">
        <f>'base(indices)'!I36</f>
        <v>0.60997000000000001</v>
      </c>
      <c r="G43" s="63">
        <f t="shared" si="21"/>
        <v>655.26494590714901</v>
      </c>
      <c r="H43" s="268">
        <f t="shared" si="22"/>
        <v>1729.522607607149</v>
      </c>
      <c r="I43" s="353">
        <f t="shared" si="41"/>
        <v>242905.74309323417</v>
      </c>
      <c r="J43" s="45">
        <f>IF((I43-H$45+(H$45/12*4))+K43&gt;$I$197,$I$197-K43,(I43-H$45+(H$45/12*4)))</f>
        <v>76000.758974384822</v>
      </c>
      <c r="K43" s="108">
        <f t="shared" si="23"/>
        <v>8719.2410256151761</v>
      </c>
      <c r="L43" s="46">
        <f t="shared" si="24"/>
        <v>84720</v>
      </c>
      <c r="M43" s="43">
        <f t="shared" si="25"/>
        <v>72200.721025665582</v>
      </c>
      <c r="N43" s="108">
        <f t="shared" si="26"/>
        <v>8283.2789743344165</v>
      </c>
      <c r="O43" s="47">
        <f t="shared" si="27"/>
        <v>80484</v>
      </c>
      <c r="P43" s="119">
        <f t="shared" si="28"/>
        <v>68400.683076946341</v>
      </c>
      <c r="Q43" s="108">
        <f t="shared" si="29"/>
        <v>7847.3169230536587</v>
      </c>
      <c r="R43" s="46">
        <f t="shared" si="30"/>
        <v>76248</v>
      </c>
      <c r="S43" s="43">
        <f t="shared" si="31"/>
        <v>60800.607179507861</v>
      </c>
      <c r="T43" s="108">
        <f t="shared" si="32"/>
        <v>6975.3928204921413</v>
      </c>
      <c r="U43" s="47">
        <f t="shared" si="33"/>
        <v>67776</v>
      </c>
      <c r="V43" s="45">
        <f t="shared" si="34"/>
        <v>53200.531282069373</v>
      </c>
      <c r="W43" s="108">
        <f t="shared" si="35"/>
        <v>6103.4687179306229</v>
      </c>
      <c r="X43" s="46">
        <f t="shared" si="36"/>
        <v>59303.999999999993</v>
      </c>
      <c r="Y43" s="43">
        <f t="shared" si="37"/>
        <v>45600.455384630892</v>
      </c>
      <c r="Z43" s="108">
        <f t="shared" si="38"/>
        <v>5231.5446153691055</v>
      </c>
      <c r="AA43" s="46">
        <f t="shared" si="39"/>
        <v>50832</v>
      </c>
    </row>
    <row r="44" spans="1:27">
      <c r="A44" s="105">
        <v>135</v>
      </c>
      <c r="B44" s="339">
        <v>41183</v>
      </c>
      <c r="C44" s="61">
        <f>VLOOKUP(B44,'base(indices)'!$A$16:$C$183,3,FALSE)</f>
        <v>622</v>
      </c>
      <c r="D44" s="192">
        <f>'base(indices)'!G37</f>
        <v>1.71885186</v>
      </c>
      <c r="E44" s="54">
        <f t="shared" si="42"/>
        <v>1069.1258569199999</v>
      </c>
      <c r="F44" s="82">
        <f>'base(indices)'!I37</f>
        <v>0.60997000000000001</v>
      </c>
      <c r="G44" s="54">
        <f t="shared" si="21"/>
        <v>652.13469894549235</v>
      </c>
      <c r="H44" s="267">
        <f t="shared" si="22"/>
        <v>1721.2605558654923</v>
      </c>
      <c r="I44" s="352">
        <f t="shared" si="41"/>
        <v>241176.22048562701</v>
      </c>
      <c r="J44" s="58">
        <f>IF((I44-H$45+(H$45/12*3))+K44&gt;$I$197,$I$197-K44,(I44-H$45+(H$45/12*3)))</f>
        <v>76000.758974384822</v>
      </c>
      <c r="K44" s="91">
        <f t="shared" si="23"/>
        <v>8719.2410256151761</v>
      </c>
      <c r="L44" s="284">
        <f t="shared" si="24"/>
        <v>84720</v>
      </c>
      <c r="M44" s="57">
        <f t="shared" si="25"/>
        <v>72200.721025665582</v>
      </c>
      <c r="N44" s="91">
        <f t="shared" si="26"/>
        <v>8283.2789743344165</v>
      </c>
      <c r="O44" s="60">
        <f t="shared" si="27"/>
        <v>80484</v>
      </c>
      <c r="P44" s="58">
        <f t="shared" si="28"/>
        <v>68400.683076946341</v>
      </c>
      <c r="Q44" s="91">
        <f t="shared" si="29"/>
        <v>7847.3169230536587</v>
      </c>
      <c r="R44" s="59">
        <f t="shared" si="30"/>
        <v>76248</v>
      </c>
      <c r="S44" s="57">
        <f t="shared" si="31"/>
        <v>60800.607179507861</v>
      </c>
      <c r="T44" s="91">
        <f t="shared" si="32"/>
        <v>6975.3928204921413</v>
      </c>
      <c r="U44" s="60">
        <f t="shared" si="33"/>
        <v>67776</v>
      </c>
      <c r="V44" s="58">
        <f t="shared" si="34"/>
        <v>53200.531282069373</v>
      </c>
      <c r="W44" s="91">
        <f t="shared" si="35"/>
        <v>6103.4687179306229</v>
      </c>
      <c r="X44" s="59">
        <f t="shared" si="36"/>
        <v>59303.999999999993</v>
      </c>
      <c r="Y44" s="57">
        <f t="shared" si="37"/>
        <v>45600.455384630892</v>
      </c>
      <c r="Z44" s="91">
        <f t="shared" si="38"/>
        <v>5231.5446153691055</v>
      </c>
      <c r="AA44" s="59">
        <f t="shared" si="39"/>
        <v>50832</v>
      </c>
    </row>
    <row r="45" spans="1:27">
      <c r="A45" s="105">
        <v>134</v>
      </c>
      <c r="B45" s="340">
        <v>41214</v>
      </c>
      <c r="C45" s="61">
        <f>VLOOKUP(B45,'base(indices)'!$A$16:$C$183,3,FALSE)</f>
        <v>622</v>
      </c>
      <c r="D45" s="192">
        <f>'base(indices)'!G38</f>
        <v>1.70775147</v>
      </c>
      <c r="E45" s="63">
        <f t="shared" si="42"/>
        <v>1062.2214143400001</v>
      </c>
      <c r="F45" s="82">
        <f>'base(indices)'!I38</f>
        <v>0.60997000000000001</v>
      </c>
      <c r="G45" s="63">
        <f t="shared" si="21"/>
        <v>647.92319610496986</v>
      </c>
      <c r="H45" s="268">
        <f t="shared" si="22"/>
        <v>1710.1446104449701</v>
      </c>
      <c r="I45" s="353">
        <f t="shared" si="41"/>
        <v>239454.95992976151</v>
      </c>
      <c r="J45" s="45">
        <f>IF((I45-H$45+(H$45/12*2))+K45&gt;$I$197,$I$197-K45,(I45-H$45+(H$45/12*2)))</f>
        <v>76000.758974384822</v>
      </c>
      <c r="K45" s="108">
        <f t="shared" si="23"/>
        <v>8719.2410256151761</v>
      </c>
      <c r="L45" s="46">
        <f t="shared" si="24"/>
        <v>84720</v>
      </c>
      <c r="M45" s="43">
        <f t="shared" si="25"/>
        <v>72200.721025665582</v>
      </c>
      <c r="N45" s="108">
        <f t="shared" si="26"/>
        <v>8283.2789743344165</v>
      </c>
      <c r="O45" s="47">
        <f t="shared" si="27"/>
        <v>80484</v>
      </c>
      <c r="P45" s="119">
        <f t="shared" si="28"/>
        <v>68400.683076946341</v>
      </c>
      <c r="Q45" s="108">
        <f t="shared" si="29"/>
        <v>7847.3169230536587</v>
      </c>
      <c r="R45" s="46">
        <f t="shared" si="30"/>
        <v>76248</v>
      </c>
      <c r="S45" s="43">
        <f t="shared" si="31"/>
        <v>60800.607179507861</v>
      </c>
      <c r="T45" s="108">
        <f t="shared" si="32"/>
        <v>6975.3928204921413</v>
      </c>
      <c r="U45" s="47">
        <f t="shared" si="33"/>
        <v>67776</v>
      </c>
      <c r="V45" s="45">
        <f t="shared" si="34"/>
        <v>53200.531282069373</v>
      </c>
      <c r="W45" s="108">
        <f t="shared" si="35"/>
        <v>6103.4687179306229</v>
      </c>
      <c r="X45" s="46">
        <f t="shared" si="36"/>
        <v>59303.999999999993</v>
      </c>
      <c r="Y45" s="43">
        <f t="shared" si="37"/>
        <v>45600.455384630892</v>
      </c>
      <c r="Z45" s="108">
        <f t="shared" si="38"/>
        <v>5231.5446153691055</v>
      </c>
      <c r="AA45" s="46">
        <f t="shared" si="39"/>
        <v>50832</v>
      </c>
    </row>
    <row r="46" spans="1:27" ht="13.5" thickBot="1">
      <c r="A46" s="161">
        <v>133</v>
      </c>
      <c r="B46" s="342">
        <v>40878</v>
      </c>
      <c r="C46" s="69">
        <f>VLOOKUP(B46,'base(indices)'!$A$16:$C$183,3,FALSE)*2</f>
        <v>1090</v>
      </c>
      <c r="D46" s="335">
        <f>'base(indices)'!G39</f>
        <v>1.69857915</v>
      </c>
      <c r="E46" s="163">
        <f t="shared" si="42"/>
        <v>1851.4512735000001</v>
      </c>
      <c r="F46" s="304">
        <f>'base(indices)'!I39</f>
        <v>0.60997000000000001</v>
      </c>
      <c r="G46" s="163">
        <f t="shared" si="21"/>
        <v>1129.329733296795</v>
      </c>
      <c r="H46" s="355">
        <f t="shared" si="22"/>
        <v>2980.7810067967948</v>
      </c>
      <c r="I46" s="354">
        <f t="shared" si="41"/>
        <v>237744.81531931655</v>
      </c>
      <c r="J46" s="285">
        <f>IF((I46-H$45+(H$45/12*1))+K46&gt;$I$197,$I$197-K46,(I46-H$45+(H$45/12*1)))</f>
        <v>76000.758974384822</v>
      </c>
      <c r="K46" s="202">
        <f t="shared" si="23"/>
        <v>8719.2410256151761</v>
      </c>
      <c r="L46" s="286">
        <f t="shared" si="24"/>
        <v>84720</v>
      </c>
      <c r="M46" s="282">
        <f t="shared" si="25"/>
        <v>72200.721025665582</v>
      </c>
      <c r="N46" s="202">
        <f t="shared" si="26"/>
        <v>8283.2789743344165</v>
      </c>
      <c r="O46" s="289">
        <f t="shared" si="27"/>
        <v>80484</v>
      </c>
      <c r="P46" s="285">
        <f t="shared" si="28"/>
        <v>68400.683076946341</v>
      </c>
      <c r="Q46" s="202">
        <f t="shared" si="29"/>
        <v>7847.3169230536587</v>
      </c>
      <c r="R46" s="203">
        <f t="shared" si="30"/>
        <v>76248</v>
      </c>
      <c r="S46" s="282">
        <f t="shared" si="31"/>
        <v>60800.607179507861</v>
      </c>
      <c r="T46" s="202">
        <f t="shared" si="32"/>
        <v>6975.3928204921413</v>
      </c>
      <c r="U46" s="289">
        <f t="shared" si="33"/>
        <v>67776</v>
      </c>
      <c r="V46" s="285">
        <f t="shared" si="34"/>
        <v>53200.531282069373</v>
      </c>
      <c r="W46" s="202">
        <f t="shared" si="35"/>
        <v>6103.4687179306229</v>
      </c>
      <c r="X46" s="203">
        <f t="shared" si="36"/>
        <v>59303.999999999993</v>
      </c>
      <c r="Y46" s="282">
        <f t="shared" si="37"/>
        <v>45600.455384630892</v>
      </c>
      <c r="Z46" s="202">
        <f t="shared" si="38"/>
        <v>5231.5446153691055</v>
      </c>
      <c r="AA46" s="203">
        <f t="shared" si="39"/>
        <v>50832</v>
      </c>
    </row>
    <row r="47" spans="1:27">
      <c r="A47" s="158">
        <v>132</v>
      </c>
      <c r="B47" s="338">
        <v>41275</v>
      </c>
      <c r="C47" s="41">
        <f>VLOOKUP(B47,'base(indices)'!$A$16:$C$183,3,FALSE)</f>
        <v>678</v>
      </c>
      <c r="D47" s="193">
        <f>'base(indices)'!G40</f>
        <v>1.6869392700000001</v>
      </c>
      <c r="E47" s="78">
        <f>C47*D47</f>
        <v>1143.74482506</v>
      </c>
      <c r="F47" s="79">
        <f>'base(indices)'!I40</f>
        <v>0.60997000000000001</v>
      </c>
      <c r="G47" s="78">
        <f t="shared" si="21"/>
        <v>697.65003094184829</v>
      </c>
      <c r="H47" s="266">
        <f t="shared" si="22"/>
        <v>1841.3948560018484</v>
      </c>
      <c r="I47" s="345">
        <f t="shared" si="41"/>
        <v>234764.03431251977</v>
      </c>
      <c r="J47" s="48">
        <f>IF((I47-H$57+(H$57))+K47&gt;$I$197,$I$197-K47,(I47-H$57+(H$57)))</f>
        <v>76000.758974384822</v>
      </c>
      <c r="K47" s="109">
        <f t="shared" si="23"/>
        <v>8719.2410256151761</v>
      </c>
      <c r="L47" s="49">
        <f t="shared" si="24"/>
        <v>84720</v>
      </c>
      <c r="M47" s="138">
        <f t="shared" si="25"/>
        <v>72200.721025665582</v>
      </c>
      <c r="N47" s="109">
        <f t="shared" si="26"/>
        <v>8283.2789743344165</v>
      </c>
      <c r="O47" s="139">
        <f t="shared" si="27"/>
        <v>80484</v>
      </c>
      <c r="P47" s="291">
        <f t="shared" si="28"/>
        <v>68400.683076946341</v>
      </c>
      <c r="Q47" s="109">
        <f t="shared" si="29"/>
        <v>7847.3169230536587</v>
      </c>
      <c r="R47" s="49">
        <f t="shared" si="30"/>
        <v>76248</v>
      </c>
      <c r="S47" s="138">
        <f t="shared" si="31"/>
        <v>60800.607179507861</v>
      </c>
      <c r="T47" s="109">
        <f t="shared" si="32"/>
        <v>6975.3928204921413</v>
      </c>
      <c r="U47" s="139">
        <f t="shared" si="33"/>
        <v>67776</v>
      </c>
      <c r="V47" s="48">
        <f t="shared" si="34"/>
        <v>53200.531282069373</v>
      </c>
      <c r="W47" s="109">
        <f t="shared" si="35"/>
        <v>6103.4687179306229</v>
      </c>
      <c r="X47" s="49">
        <f t="shared" si="36"/>
        <v>59303.999999999993</v>
      </c>
      <c r="Y47" s="138">
        <f t="shared" si="37"/>
        <v>45600.455384630892</v>
      </c>
      <c r="Z47" s="109">
        <f t="shared" si="38"/>
        <v>5231.5446153691055</v>
      </c>
      <c r="AA47" s="49">
        <f t="shared" si="39"/>
        <v>50832</v>
      </c>
    </row>
    <row r="48" spans="1:27">
      <c r="A48" s="105">
        <v>131</v>
      </c>
      <c r="B48" s="339">
        <v>41306</v>
      </c>
      <c r="C48" s="61">
        <f>VLOOKUP(B48,'base(indices)'!$A$16:$C$183,3,FALSE)</f>
        <v>678</v>
      </c>
      <c r="D48" s="192">
        <f>'base(indices)'!G41</f>
        <v>1.6722237</v>
      </c>
      <c r="E48" s="54">
        <f t="shared" ref="E48:E58" si="43">C48*D48</f>
        <v>1133.7676686</v>
      </c>
      <c r="F48" s="82">
        <f>'base(indices)'!I41</f>
        <v>0.60997000000000001</v>
      </c>
      <c r="G48" s="54">
        <f t="shared" si="21"/>
        <v>691.56426481594201</v>
      </c>
      <c r="H48" s="267">
        <f t="shared" si="22"/>
        <v>1825.3319334159419</v>
      </c>
      <c r="I48" s="346">
        <f t="shared" si="41"/>
        <v>232922.63945651791</v>
      </c>
      <c r="J48" s="58">
        <f>IF((I48-H$57+(H$57/12*11))+K48&gt;$I$197,$I$197-K48,(I48-H$57+(H$57/12*11)))</f>
        <v>76000.758974384822</v>
      </c>
      <c r="K48" s="91">
        <f t="shared" si="23"/>
        <v>8719.2410256151761</v>
      </c>
      <c r="L48" s="284">
        <f t="shared" si="24"/>
        <v>84720</v>
      </c>
      <c r="M48" s="57">
        <f t="shared" si="25"/>
        <v>72200.721025665582</v>
      </c>
      <c r="N48" s="91">
        <f t="shared" si="26"/>
        <v>8283.2789743344165</v>
      </c>
      <c r="O48" s="60">
        <f t="shared" si="27"/>
        <v>80484</v>
      </c>
      <c r="P48" s="58">
        <f t="shared" si="28"/>
        <v>68400.683076946341</v>
      </c>
      <c r="Q48" s="91">
        <f t="shared" si="29"/>
        <v>7847.3169230536587</v>
      </c>
      <c r="R48" s="59">
        <f t="shared" si="30"/>
        <v>76248</v>
      </c>
      <c r="S48" s="57">
        <f t="shared" si="31"/>
        <v>60800.607179507861</v>
      </c>
      <c r="T48" s="91">
        <f t="shared" si="32"/>
        <v>6975.3928204921413</v>
      </c>
      <c r="U48" s="60">
        <f t="shared" si="33"/>
        <v>67776</v>
      </c>
      <c r="V48" s="58">
        <f t="shared" si="34"/>
        <v>53200.531282069373</v>
      </c>
      <c r="W48" s="91">
        <f t="shared" si="35"/>
        <v>6103.4687179306229</v>
      </c>
      <c r="X48" s="59">
        <f t="shared" si="36"/>
        <v>59303.999999999993</v>
      </c>
      <c r="Y48" s="57">
        <f t="shared" si="37"/>
        <v>45600.455384630892</v>
      </c>
      <c r="Z48" s="91">
        <f t="shared" si="38"/>
        <v>5231.5446153691055</v>
      </c>
      <c r="AA48" s="59">
        <f t="shared" si="39"/>
        <v>50832</v>
      </c>
    </row>
    <row r="49" spans="1:27">
      <c r="A49" s="105">
        <v>130</v>
      </c>
      <c r="B49" s="340">
        <v>41334</v>
      </c>
      <c r="C49" s="61">
        <f>VLOOKUP(B49,'base(indices)'!$A$16:$C$183,3,FALSE)</f>
        <v>678</v>
      </c>
      <c r="D49" s="192">
        <f>'base(indices)'!G42</f>
        <v>1.66092938</v>
      </c>
      <c r="E49" s="63">
        <f t="shared" si="43"/>
        <v>1126.11011964</v>
      </c>
      <c r="F49" s="82">
        <f>'base(indices)'!I42</f>
        <v>0.60997000000000001</v>
      </c>
      <c r="G49" s="63">
        <f t="shared" si="21"/>
        <v>686.89338967681078</v>
      </c>
      <c r="H49" s="268">
        <f t="shared" si="22"/>
        <v>1813.0035093168108</v>
      </c>
      <c r="I49" s="347">
        <f t="shared" si="41"/>
        <v>231097.30752310198</v>
      </c>
      <c r="J49" s="45">
        <f>IF((I49-H$57+(H$57/12*10))+K49&gt;$I$197,$I$197-K49,(I49-H$57+(H$57/12*10)))</f>
        <v>76000.758974384822</v>
      </c>
      <c r="K49" s="108">
        <f t="shared" si="23"/>
        <v>8719.2410256151761</v>
      </c>
      <c r="L49" s="46">
        <f t="shared" si="24"/>
        <v>84720</v>
      </c>
      <c r="M49" s="43">
        <f t="shared" si="25"/>
        <v>72200.721025665582</v>
      </c>
      <c r="N49" s="108">
        <f t="shared" si="26"/>
        <v>8283.2789743344165</v>
      </c>
      <c r="O49" s="47">
        <f t="shared" si="27"/>
        <v>80484</v>
      </c>
      <c r="P49" s="119">
        <f t="shared" si="28"/>
        <v>68400.683076946341</v>
      </c>
      <c r="Q49" s="108">
        <f t="shared" si="29"/>
        <v>7847.3169230536587</v>
      </c>
      <c r="R49" s="46">
        <f t="shared" si="30"/>
        <v>76248</v>
      </c>
      <c r="S49" s="43">
        <f t="shared" si="31"/>
        <v>60800.607179507861</v>
      </c>
      <c r="T49" s="108">
        <f t="shared" si="32"/>
        <v>6975.3928204921413</v>
      </c>
      <c r="U49" s="47">
        <f t="shared" si="33"/>
        <v>67776</v>
      </c>
      <c r="V49" s="45">
        <f t="shared" si="34"/>
        <v>53200.531282069373</v>
      </c>
      <c r="W49" s="108">
        <f t="shared" si="35"/>
        <v>6103.4687179306229</v>
      </c>
      <c r="X49" s="46">
        <f t="shared" si="36"/>
        <v>59303.999999999993</v>
      </c>
      <c r="Y49" s="43">
        <f t="shared" si="37"/>
        <v>45600.455384630892</v>
      </c>
      <c r="Z49" s="108">
        <f t="shared" si="38"/>
        <v>5231.5446153691055</v>
      </c>
      <c r="AA49" s="46">
        <f t="shared" si="39"/>
        <v>50832</v>
      </c>
    </row>
    <row r="50" spans="1:27">
      <c r="A50" s="105">
        <v>129</v>
      </c>
      <c r="B50" s="339">
        <v>41365</v>
      </c>
      <c r="C50" s="61">
        <f>VLOOKUP(B50,'base(indices)'!$A$16:$C$183,3,FALSE)</f>
        <v>678</v>
      </c>
      <c r="D50" s="192">
        <f>'base(indices)'!G43</f>
        <v>1.65283051</v>
      </c>
      <c r="E50" s="54">
        <f t="shared" si="43"/>
        <v>1120.61908578</v>
      </c>
      <c r="F50" s="82">
        <f>'base(indices)'!I43</f>
        <v>0.60997000000000001</v>
      </c>
      <c r="G50" s="54">
        <f t="shared" si="21"/>
        <v>683.54402375322661</v>
      </c>
      <c r="H50" s="267">
        <f t="shared" si="22"/>
        <v>1804.1631095332266</v>
      </c>
      <c r="I50" s="346">
        <f t="shared" si="41"/>
        <v>229284.30401378518</v>
      </c>
      <c r="J50" s="58">
        <f>IF((I50-H$57+(H$57/12*9))+K50&gt;$I$197,$I$197-K50,(I50-H$57+(H$57/12*9)))</f>
        <v>76000.758974384822</v>
      </c>
      <c r="K50" s="91">
        <f t="shared" si="23"/>
        <v>8719.2410256151761</v>
      </c>
      <c r="L50" s="284">
        <f t="shared" si="24"/>
        <v>84720</v>
      </c>
      <c r="M50" s="57">
        <f t="shared" si="25"/>
        <v>72200.721025665582</v>
      </c>
      <c r="N50" s="91">
        <f t="shared" si="26"/>
        <v>8283.2789743344165</v>
      </c>
      <c r="O50" s="60">
        <f t="shared" si="27"/>
        <v>80484</v>
      </c>
      <c r="P50" s="58">
        <f t="shared" si="28"/>
        <v>68400.683076946341</v>
      </c>
      <c r="Q50" s="91">
        <f t="shared" si="29"/>
        <v>7847.3169230536587</v>
      </c>
      <c r="R50" s="59">
        <f t="shared" si="30"/>
        <v>76248</v>
      </c>
      <c r="S50" s="57">
        <f t="shared" si="31"/>
        <v>60800.607179507861</v>
      </c>
      <c r="T50" s="91">
        <f t="shared" si="32"/>
        <v>6975.3928204921413</v>
      </c>
      <c r="U50" s="60">
        <f t="shared" si="33"/>
        <v>67776</v>
      </c>
      <c r="V50" s="58">
        <f t="shared" si="34"/>
        <v>53200.531282069373</v>
      </c>
      <c r="W50" s="91">
        <f t="shared" si="35"/>
        <v>6103.4687179306229</v>
      </c>
      <c r="X50" s="59">
        <f t="shared" si="36"/>
        <v>59303.999999999993</v>
      </c>
      <c r="Y50" s="57">
        <f t="shared" si="37"/>
        <v>45600.455384630892</v>
      </c>
      <c r="Z50" s="91">
        <f t="shared" si="38"/>
        <v>5231.5446153691055</v>
      </c>
      <c r="AA50" s="59">
        <f t="shared" si="39"/>
        <v>50832</v>
      </c>
    </row>
    <row r="51" spans="1:27">
      <c r="A51" s="105">
        <v>128</v>
      </c>
      <c r="B51" s="340">
        <v>41395</v>
      </c>
      <c r="C51" s="61">
        <f>VLOOKUP(B51,'base(indices)'!$A$16:$C$183,3,FALSE)</f>
        <v>678</v>
      </c>
      <c r="D51" s="192">
        <f>'base(indices)'!G44</f>
        <v>1.6444438400000001</v>
      </c>
      <c r="E51" s="63">
        <f t="shared" si="43"/>
        <v>1114.93292352</v>
      </c>
      <c r="F51" s="82">
        <f>'base(indices)'!I44</f>
        <v>0.60997000000000001</v>
      </c>
      <c r="G51" s="63">
        <f t="shared" si="21"/>
        <v>680.07563535949441</v>
      </c>
      <c r="H51" s="268">
        <f t="shared" si="22"/>
        <v>1795.0085588794946</v>
      </c>
      <c r="I51" s="347">
        <f t="shared" si="41"/>
        <v>227480.14090425195</v>
      </c>
      <c r="J51" s="45">
        <f>IF((I51-H$57+(H$57/12*8))+K51&gt;$I$197,$I$197-K51,(I51-H$57+(H$57/12*8)))</f>
        <v>76000.758974384822</v>
      </c>
      <c r="K51" s="108">
        <f t="shared" si="23"/>
        <v>8719.2410256151761</v>
      </c>
      <c r="L51" s="46">
        <f t="shared" si="24"/>
        <v>84720</v>
      </c>
      <c r="M51" s="43">
        <f t="shared" si="25"/>
        <v>72200.721025665582</v>
      </c>
      <c r="N51" s="108">
        <f t="shared" si="26"/>
        <v>8283.2789743344165</v>
      </c>
      <c r="O51" s="47">
        <f t="shared" si="27"/>
        <v>80484</v>
      </c>
      <c r="P51" s="119">
        <f t="shared" si="28"/>
        <v>68400.683076946341</v>
      </c>
      <c r="Q51" s="108">
        <f t="shared" si="29"/>
        <v>7847.3169230536587</v>
      </c>
      <c r="R51" s="46">
        <f t="shared" si="30"/>
        <v>76248</v>
      </c>
      <c r="S51" s="43">
        <f t="shared" si="31"/>
        <v>60800.607179507861</v>
      </c>
      <c r="T51" s="108">
        <f t="shared" si="32"/>
        <v>6975.3928204921413</v>
      </c>
      <c r="U51" s="47">
        <f t="shared" si="33"/>
        <v>67776</v>
      </c>
      <c r="V51" s="45">
        <f t="shared" si="34"/>
        <v>53200.531282069373</v>
      </c>
      <c r="W51" s="108">
        <f t="shared" si="35"/>
        <v>6103.4687179306229</v>
      </c>
      <c r="X51" s="46">
        <f t="shared" si="36"/>
        <v>59303.999999999993</v>
      </c>
      <c r="Y51" s="43">
        <f t="shared" si="37"/>
        <v>45600.455384630892</v>
      </c>
      <c r="Z51" s="108">
        <f t="shared" si="38"/>
        <v>5231.5446153691055</v>
      </c>
      <c r="AA51" s="46">
        <f t="shared" si="39"/>
        <v>50832</v>
      </c>
    </row>
    <row r="52" spans="1:27">
      <c r="A52" s="105">
        <v>127</v>
      </c>
      <c r="B52" s="339">
        <v>41426</v>
      </c>
      <c r="C52" s="61">
        <f>VLOOKUP(B52,'base(indices)'!$A$16:$C$183,3,FALSE)</f>
        <v>678</v>
      </c>
      <c r="D52" s="192">
        <f>'base(indices)'!G45</f>
        <v>1.63691404</v>
      </c>
      <c r="E52" s="54">
        <f t="shared" si="43"/>
        <v>1109.82771912</v>
      </c>
      <c r="F52" s="82">
        <f>'base(indices)'!I45</f>
        <v>0.60997000000000001</v>
      </c>
      <c r="G52" s="54">
        <f t="shared" si="21"/>
        <v>676.96161383162644</v>
      </c>
      <c r="H52" s="267">
        <f t="shared" si="22"/>
        <v>1786.7893329516264</v>
      </c>
      <c r="I52" s="346">
        <f t="shared" si="41"/>
        <v>225685.13234537246</v>
      </c>
      <c r="J52" s="58">
        <f>IF((I52-H$57+(H$57/12*7))+K52&gt;$I$197,$I$197-K52,(I52-H$57+(H$57/12*7)))</f>
        <v>76000.758974384822</v>
      </c>
      <c r="K52" s="91">
        <f t="shared" si="23"/>
        <v>8719.2410256151761</v>
      </c>
      <c r="L52" s="284">
        <f t="shared" si="24"/>
        <v>84720</v>
      </c>
      <c r="M52" s="57">
        <f t="shared" si="25"/>
        <v>72200.721025665582</v>
      </c>
      <c r="N52" s="91">
        <f t="shared" si="26"/>
        <v>8283.2789743344165</v>
      </c>
      <c r="O52" s="60">
        <f t="shared" si="27"/>
        <v>80484</v>
      </c>
      <c r="P52" s="58">
        <f t="shared" si="28"/>
        <v>68400.683076946341</v>
      </c>
      <c r="Q52" s="91">
        <f t="shared" si="29"/>
        <v>7847.3169230536587</v>
      </c>
      <c r="R52" s="59">
        <f t="shared" si="30"/>
        <v>76248</v>
      </c>
      <c r="S52" s="57">
        <f t="shared" si="31"/>
        <v>60800.607179507861</v>
      </c>
      <c r="T52" s="91">
        <f t="shared" si="32"/>
        <v>6975.3928204921413</v>
      </c>
      <c r="U52" s="60">
        <f t="shared" si="33"/>
        <v>67776</v>
      </c>
      <c r="V52" s="58">
        <f t="shared" si="34"/>
        <v>53200.531282069373</v>
      </c>
      <c r="W52" s="91">
        <f t="shared" si="35"/>
        <v>6103.4687179306229</v>
      </c>
      <c r="X52" s="59">
        <f t="shared" si="36"/>
        <v>59303.999999999993</v>
      </c>
      <c r="Y52" s="57">
        <f t="shared" si="37"/>
        <v>45600.455384630892</v>
      </c>
      <c r="Z52" s="91">
        <f t="shared" si="38"/>
        <v>5231.5446153691055</v>
      </c>
      <c r="AA52" s="59">
        <f t="shared" si="39"/>
        <v>50832</v>
      </c>
    </row>
    <row r="53" spans="1:27">
      <c r="A53" s="105">
        <v>126</v>
      </c>
      <c r="B53" s="340">
        <v>41456</v>
      </c>
      <c r="C53" s="61">
        <f>VLOOKUP(B53,'base(indices)'!$A$16:$C$183,3,FALSE)</f>
        <v>678</v>
      </c>
      <c r="D53" s="192">
        <f>'base(indices)'!G46</f>
        <v>1.6307173100000001</v>
      </c>
      <c r="E53" s="63">
        <f t="shared" si="43"/>
        <v>1105.62633618</v>
      </c>
      <c r="F53" s="82">
        <f>'base(indices)'!I46</f>
        <v>0.60997000000000001</v>
      </c>
      <c r="G53" s="63">
        <f t="shared" si="21"/>
        <v>674.39889627971456</v>
      </c>
      <c r="H53" s="268">
        <f t="shared" si="22"/>
        <v>1780.0252324597145</v>
      </c>
      <c r="I53" s="347">
        <f t="shared" si="41"/>
        <v>223898.34301242084</v>
      </c>
      <c r="J53" s="45">
        <f>IF((I53-H$57+(H$57/12*6))+K53&gt;$I$197,$I$197-K53,(I53-H$57+(H$57/12*6)))</f>
        <v>76000.758974384822</v>
      </c>
      <c r="K53" s="108">
        <f t="shared" si="23"/>
        <v>8719.2410256151761</v>
      </c>
      <c r="L53" s="46">
        <f t="shared" si="24"/>
        <v>84720</v>
      </c>
      <c r="M53" s="43">
        <f t="shared" si="25"/>
        <v>72200.721025665582</v>
      </c>
      <c r="N53" s="108">
        <f t="shared" si="26"/>
        <v>8283.2789743344165</v>
      </c>
      <c r="O53" s="47">
        <f t="shared" si="27"/>
        <v>80484</v>
      </c>
      <c r="P53" s="119">
        <f t="shared" si="28"/>
        <v>68400.683076946341</v>
      </c>
      <c r="Q53" s="108">
        <f t="shared" si="29"/>
        <v>7847.3169230536587</v>
      </c>
      <c r="R53" s="46">
        <f t="shared" si="30"/>
        <v>76248</v>
      </c>
      <c r="S53" s="43">
        <f t="shared" si="31"/>
        <v>60800.607179507861</v>
      </c>
      <c r="T53" s="108">
        <f t="shared" si="32"/>
        <v>6975.3928204921413</v>
      </c>
      <c r="U53" s="47">
        <f t="shared" si="33"/>
        <v>67776</v>
      </c>
      <c r="V53" s="45">
        <f t="shared" si="34"/>
        <v>53200.531282069373</v>
      </c>
      <c r="W53" s="108">
        <f t="shared" si="35"/>
        <v>6103.4687179306229</v>
      </c>
      <c r="X53" s="46">
        <f t="shared" si="36"/>
        <v>59303.999999999993</v>
      </c>
      <c r="Y53" s="43">
        <f t="shared" si="37"/>
        <v>45600.455384630892</v>
      </c>
      <c r="Z53" s="108">
        <f t="shared" si="38"/>
        <v>5231.5446153691055</v>
      </c>
      <c r="AA53" s="46">
        <f t="shared" si="39"/>
        <v>50832</v>
      </c>
    </row>
    <row r="54" spans="1:27">
      <c r="A54" s="105">
        <v>125</v>
      </c>
      <c r="B54" s="339">
        <v>41487</v>
      </c>
      <c r="C54" s="61">
        <f>VLOOKUP(B54,'base(indices)'!$A$16:$C$183,3,FALSE)</f>
        <v>678</v>
      </c>
      <c r="D54" s="192">
        <f>'base(indices)'!G47</f>
        <v>1.62957661</v>
      </c>
      <c r="E54" s="54">
        <f t="shared" si="43"/>
        <v>1104.8529415799999</v>
      </c>
      <c r="F54" s="82">
        <f>'base(indices)'!I47</f>
        <v>0.60997000000000001</v>
      </c>
      <c r="G54" s="54">
        <f t="shared" si="21"/>
        <v>673.9271487755525</v>
      </c>
      <c r="H54" s="267">
        <f t="shared" si="22"/>
        <v>1778.7800903555524</v>
      </c>
      <c r="I54" s="346">
        <f t="shared" si="41"/>
        <v>222118.31777996113</v>
      </c>
      <c r="J54" s="58">
        <f>IF((I54-H$57+(H$57/12*5))+K54&gt;$I$197,$I$197-K54,(I54-H$57+(H$57/12*5)))</f>
        <v>76000.758974384822</v>
      </c>
      <c r="K54" s="91">
        <f t="shared" si="23"/>
        <v>8719.2410256151761</v>
      </c>
      <c r="L54" s="284">
        <f t="shared" si="24"/>
        <v>84720</v>
      </c>
      <c r="M54" s="57">
        <f t="shared" si="25"/>
        <v>72200.721025665582</v>
      </c>
      <c r="N54" s="91">
        <f t="shared" si="26"/>
        <v>8283.2789743344165</v>
      </c>
      <c r="O54" s="60">
        <f t="shared" si="27"/>
        <v>80484</v>
      </c>
      <c r="P54" s="58">
        <f t="shared" si="28"/>
        <v>68400.683076946341</v>
      </c>
      <c r="Q54" s="91">
        <f t="shared" si="29"/>
        <v>7847.3169230536587</v>
      </c>
      <c r="R54" s="59">
        <f t="shared" si="30"/>
        <v>76248</v>
      </c>
      <c r="S54" s="57">
        <f t="shared" si="31"/>
        <v>60800.607179507861</v>
      </c>
      <c r="T54" s="91">
        <f t="shared" si="32"/>
        <v>6975.3928204921413</v>
      </c>
      <c r="U54" s="60">
        <f t="shared" si="33"/>
        <v>67776</v>
      </c>
      <c r="V54" s="58">
        <f t="shared" si="34"/>
        <v>53200.531282069373</v>
      </c>
      <c r="W54" s="91">
        <f t="shared" si="35"/>
        <v>6103.4687179306229</v>
      </c>
      <c r="X54" s="59">
        <f t="shared" si="36"/>
        <v>59303.999999999993</v>
      </c>
      <c r="Y54" s="57">
        <f t="shared" si="37"/>
        <v>45600.455384630892</v>
      </c>
      <c r="Z54" s="91">
        <f t="shared" si="38"/>
        <v>5231.5446153691055</v>
      </c>
      <c r="AA54" s="59">
        <f t="shared" si="39"/>
        <v>50832</v>
      </c>
    </row>
    <row r="55" spans="1:27">
      <c r="A55" s="105">
        <v>124</v>
      </c>
      <c r="B55" s="340">
        <v>41518</v>
      </c>
      <c r="C55" s="61">
        <f>VLOOKUP(B55,'base(indices)'!$A$16:$C$183,3,FALSE)</f>
        <v>678</v>
      </c>
      <c r="D55" s="192">
        <f>'base(indices)'!G48</f>
        <v>1.6269734499999999</v>
      </c>
      <c r="E55" s="63">
        <f t="shared" si="43"/>
        <v>1103.0879990999999</v>
      </c>
      <c r="F55" s="82">
        <f>'base(indices)'!I48</f>
        <v>0.60997000000000001</v>
      </c>
      <c r="G55" s="63">
        <f t="shared" si="21"/>
        <v>672.85058681102703</v>
      </c>
      <c r="H55" s="268">
        <f t="shared" si="22"/>
        <v>1775.9385859110271</v>
      </c>
      <c r="I55" s="347">
        <f t="shared" si="41"/>
        <v>220339.53768960558</v>
      </c>
      <c r="J55" s="45">
        <f>IF((I55-H$57+(H$57/12*4))+K55&gt;$I$197,$I$197-K55,(I55-H$57+(H$57/12*4)))</f>
        <v>76000.758974384822</v>
      </c>
      <c r="K55" s="108">
        <f t="shared" ref="K55:K86" si="44">I$196</f>
        <v>8719.2410256151761</v>
      </c>
      <c r="L55" s="46">
        <f t="shared" si="24"/>
        <v>84720</v>
      </c>
      <c r="M55" s="43">
        <f t="shared" ref="M55:M83" si="45">J55*M$9</f>
        <v>72200.721025665582</v>
      </c>
      <c r="N55" s="108">
        <f t="shared" ref="N55:N83" si="46">K55*M$9</f>
        <v>8283.2789743344165</v>
      </c>
      <c r="O55" s="47">
        <f t="shared" si="27"/>
        <v>80484</v>
      </c>
      <c r="P55" s="119">
        <f t="shared" ref="P55:P83" si="47">J55*$P$9</f>
        <v>68400.683076946341</v>
      </c>
      <c r="Q55" s="108">
        <f t="shared" ref="Q55:Q83" si="48">K55*P$9</f>
        <v>7847.3169230536587</v>
      </c>
      <c r="R55" s="46">
        <f t="shared" si="30"/>
        <v>76248</v>
      </c>
      <c r="S55" s="43">
        <f t="shared" ref="S55:S83" si="49">J55*S$9</f>
        <v>60800.607179507861</v>
      </c>
      <c r="T55" s="108">
        <f t="shared" ref="T55:T83" si="50">K55*S$9</f>
        <v>6975.3928204921413</v>
      </c>
      <c r="U55" s="47">
        <f t="shared" si="33"/>
        <v>67776</v>
      </c>
      <c r="V55" s="45">
        <f t="shared" ref="V55:V83" si="51">J55*V$9</f>
        <v>53200.531282069373</v>
      </c>
      <c r="W55" s="108">
        <f t="shared" ref="W55:W83" si="52">K55*V$9</f>
        <v>6103.4687179306229</v>
      </c>
      <c r="X55" s="46">
        <f t="shared" si="36"/>
        <v>59303.999999999993</v>
      </c>
      <c r="Y55" s="43">
        <f t="shared" ref="Y55:Y83" si="53">J55*Y$9</f>
        <v>45600.455384630892</v>
      </c>
      <c r="Z55" s="108">
        <f t="shared" ref="Z55:Z83" si="54">K55*Y$9</f>
        <v>5231.5446153691055</v>
      </c>
      <c r="AA55" s="46">
        <f t="shared" si="39"/>
        <v>50832</v>
      </c>
    </row>
    <row r="56" spans="1:27">
      <c r="A56" s="105">
        <v>123</v>
      </c>
      <c r="B56" s="339">
        <v>41548</v>
      </c>
      <c r="C56" s="61">
        <f>VLOOKUP(B56,'base(indices)'!$A$16:$C$183,3,FALSE)</f>
        <v>678</v>
      </c>
      <c r="D56" s="192">
        <f>'base(indices)'!G49</f>
        <v>1.62259245</v>
      </c>
      <c r="E56" s="54">
        <f t="shared" si="43"/>
        <v>1100.1176811</v>
      </c>
      <c r="F56" s="82">
        <f>'base(indices)'!I49</f>
        <v>0.60997000000000001</v>
      </c>
      <c r="G56" s="54">
        <f t="shared" si="21"/>
        <v>671.03878194056699</v>
      </c>
      <c r="H56" s="267">
        <f t="shared" si="22"/>
        <v>1771.1564630405669</v>
      </c>
      <c r="I56" s="346">
        <f t="shared" si="41"/>
        <v>218563.59910369455</v>
      </c>
      <c r="J56" s="58">
        <f>IF((I56-H$57+(H$57/12*3))+K56&gt;$I$197,$I$197-K56,(I56-H$57+(H$57/12*3)))</f>
        <v>76000.758974384822</v>
      </c>
      <c r="K56" s="91">
        <f t="shared" si="44"/>
        <v>8719.2410256151761</v>
      </c>
      <c r="L56" s="284">
        <f t="shared" si="24"/>
        <v>84720</v>
      </c>
      <c r="M56" s="57">
        <f t="shared" si="45"/>
        <v>72200.721025665582</v>
      </c>
      <c r="N56" s="91">
        <f t="shared" si="46"/>
        <v>8283.2789743344165</v>
      </c>
      <c r="O56" s="60">
        <f t="shared" si="27"/>
        <v>80484</v>
      </c>
      <c r="P56" s="58">
        <f t="shared" si="47"/>
        <v>68400.683076946341</v>
      </c>
      <c r="Q56" s="91">
        <f t="shared" si="48"/>
        <v>7847.3169230536587</v>
      </c>
      <c r="R56" s="59">
        <f t="shared" si="30"/>
        <v>76248</v>
      </c>
      <c r="S56" s="57">
        <f t="shared" si="49"/>
        <v>60800.607179507861</v>
      </c>
      <c r="T56" s="91">
        <f t="shared" si="50"/>
        <v>6975.3928204921413</v>
      </c>
      <c r="U56" s="60">
        <f t="shared" si="33"/>
        <v>67776</v>
      </c>
      <c r="V56" s="58">
        <f t="shared" si="51"/>
        <v>53200.531282069373</v>
      </c>
      <c r="W56" s="91">
        <f t="shared" si="52"/>
        <v>6103.4687179306229</v>
      </c>
      <c r="X56" s="59">
        <f t="shared" si="36"/>
        <v>59303.999999999993</v>
      </c>
      <c r="Y56" s="57">
        <f t="shared" si="53"/>
        <v>45600.455384630892</v>
      </c>
      <c r="Z56" s="91">
        <f t="shared" si="54"/>
        <v>5231.5446153691055</v>
      </c>
      <c r="AA56" s="59">
        <f t="shared" si="39"/>
        <v>50832</v>
      </c>
    </row>
    <row r="57" spans="1:27">
      <c r="A57" s="105">
        <v>122</v>
      </c>
      <c r="B57" s="340">
        <v>41579</v>
      </c>
      <c r="C57" s="61">
        <f>VLOOKUP(B57,'base(indices)'!$A$16:$C$183,3,FALSE)</f>
        <v>678</v>
      </c>
      <c r="D57" s="192">
        <f>'base(indices)'!G50</f>
        <v>1.61484121</v>
      </c>
      <c r="E57" s="63">
        <f t="shared" si="43"/>
        <v>1094.86234038</v>
      </c>
      <c r="F57" s="82">
        <f>'base(indices)'!I50</f>
        <v>0.60997000000000001</v>
      </c>
      <c r="G57" s="63">
        <f t="shared" si="21"/>
        <v>667.83318176158855</v>
      </c>
      <c r="H57" s="268">
        <f t="shared" si="22"/>
        <v>1762.6955221415885</v>
      </c>
      <c r="I57" s="347">
        <f t="shared" si="41"/>
        <v>216792.44264065399</v>
      </c>
      <c r="J57" s="45">
        <f>IF((I57-H$57+(H$57/12*2))+K57&gt;$I$197,$I$197-K57,(I57-H$57+(H$57/12*2)))</f>
        <v>76000.758974384822</v>
      </c>
      <c r="K57" s="108">
        <f t="shared" si="44"/>
        <v>8719.2410256151761</v>
      </c>
      <c r="L57" s="46">
        <f t="shared" si="24"/>
        <v>84720</v>
      </c>
      <c r="M57" s="43">
        <f t="shared" si="45"/>
        <v>72200.721025665582</v>
      </c>
      <c r="N57" s="108">
        <f t="shared" si="46"/>
        <v>8283.2789743344165</v>
      </c>
      <c r="O57" s="47">
        <f t="shared" si="27"/>
        <v>80484</v>
      </c>
      <c r="P57" s="119">
        <f t="shared" si="47"/>
        <v>68400.683076946341</v>
      </c>
      <c r="Q57" s="108">
        <f t="shared" si="48"/>
        <v>7847.3169230536587</v>
      </c>
      <c r="R57" s="46">
        <f t="shared" si="30"/>
        <v>76248</v>
      </c>
      <c r="S57" s="43">
        <f t="shared" si="49"/>
        <v>60800.607179507861</v>
      </c>
      <c r="T57" s="108">
        <f t="shared" si="50"/>
        <v>6975.3928204921413</v>
      </c>
      <c r="U57" s="47">
        <f t="shared" si="33"/>
        <v>67776</v>
      </c>
      <c r="V57" s="45">
        <f t="shared" si="51"/>
        <v>53200.531282069373</v>
      </c>
      <c r="W57" s="108">
        <f t="shared" si="52"/>
        <v>6103.4687179306229</v>
      </c>
      <c r="X57" s="46">
        <f t="shared" si="36"/>
        <v>59303.999999999993</v>
      </c>
      <c r="Y57" s="43">
        <f t="shared" si="53"/>
        <v>45600.455384630892</v>
      </c>
      <c r="Z57" s="108">
        <f t="shared" si="54"/>
        <v>5231.5446153691055</v>
      </c>
      <c r="AA57" s="46">
        <f t="shared" si="39"/>
        <v>50832</v>
      </c>
    </row>
    <row r="58" spans="1:27" ht="13.5" thickBot="1">
      <c r="A58" s="161">
        <v>121</v>
      </c>
      <c r="B58" s="342">
        <v>41609</v>
      </c>
      <c r="C58" s="69">
        <f>VLOOKUP(B58,'base(indices)'!$A$16:$C$183,3,FALSE)*2</f>
        <v>1356</v>
      </c>
      <c r="D58" s="335">
        <f>'base(indices)'!G51</f>
        <v>1.6056887900000001</v>
      </c>
      <c r="E58" s="163">
        <f t="shared" si="43"/>
        <v>2177.3139992400002</v>
      </c>
      <c r="F58" s="304">
        <f>'base(indices)'!I51</f>
        <v>0.60997000000000001</v>
      </c>
      <c r="G58" s="163">
        <f t="shared" si="21"/>
        <v>1328.096220116423</v>
      </c>
      <c r="H58" s="355">
        <f t="shared" si="22"/>
        <v>3505.4102193564231</v>
      </c>
      <c r="I58" s="348">
        <f t="shared" si="41"/>
        <v>215029.7471185124</v>
      </c>
      <c r="J58" s="285">
        <f>IF((I58-H$57+(H$57/12*1))+K58&gt;$I$197,$I$197-K58,(I58-H$57+(H$57/12*1)))</f>
        <v>76000.758974384822</v>
      </c>
      <c r="K58" s="202">
        <f t="shared" si="44"/>
        <v>8719.2410256151761</v>
      </c>
      <c r="L58" s="286">
        <f t="shared" si="24"/>
        <v>84720</v>
      </c>
      <c r="M58" s="282">
        <f t="shared" si="45"/>
        <v>72200.721025665582</v>
      </c>
      <c r="N58" s="202">
        <f t="shared" si="46"/>
        <v>8283.2789743344165</v>
      </c>
      <c r="O58" s="289">
        <f t="shared" si="27"/>
        <v>80484</v>
      </c>
      <c r="P58" s="285">
        <f t="shared" si="47"/>
        <v>68400.683076946341</v>
      </c>
      <c r="Q58" s="202">
        <f t="shared" si="48"/>
        <v>7847.3169230536587</v>
      </c>
      <c r="R58" s="203">
        <f t="shared" si="30"/>
        <v>76248</v>
      </c>
      <c r="S58" s="282">
        <f t="shared" si="49"/>
        <v>60800.607179507861</v>
      </c>
      <c r="T58" s="202">
        <f t="shared" si="50"/>
        <v>6975.3928204921413</v>
      </c>
      <c r="U58" s="289">
        <f t="shared" si="33"/>
        <v>67776</v>
      </c>
      <c r="V58" s="285">
        <f t="shared" si="51"/>
        <v>53200.531282069373</v>
      </c>
      <c r="W58" s="202">
        <f t="shared" si="52"/>
        <v>6103.4687179306229</v>
      </c>
      <c r="X58" s="203">
        <f t="shared" si="36"/>
        <v>59303.999999999993</v>
      </c>
      <c r="Y58" s="282">
        <f t="shared" si="53"/>
        <v>45600.455384630892</v>
      </c>
      <c r="Z58" s="202">
        <f t="shared" si="54"/>
        <v>5231.5446153691055</v>
      </c>
      <c r="AA58" s="203">
        <f t="shared" si="39"/>
        <v>50832</v>
      </c>
    </row>
    <row r="59" spans="1:27">
      <c r="A59" s="158">
        <v>120</v>
      </c>
      <c r="B59" s="334">
        <v>41640</v>
      </c>
      <c r="C59" s="41">
        <f>VLOOKUP(B59,'base(indices)'!$A$16:$C$183,3,FALSE)</f>
        <v>724</v>
      </c>
      <c r="D59" s="193">
        <f>'base(indices)'!G52</f>
        <v>1.5937357700000001</v>
      </c>
      <c r="E59" s="78">
        <f>C59*D59</f>
        <v>1153.8646974800001</v>
      </c>
      <c r="F59" s="79">
        <f>'base(indices)'!I52</f>
        <v>0.60997000000000001</v>
      </c>
      <c r="G59" s="78">
        <f t="shared" si="21"/>
        <v>703.8228495218757</v>
      </c>
      <c r="H59" s="266">
        <f t="shared" si="22"/>
        <v>1857.6875470018758</v>
      </c>
      <c r="I59" s="345">
        <f t="shared" si="41"/>
        <v>211524.33689915598</v>
      </c>
      <c r="J59" s="48">
        <f>IF((I59-H$69+(H$69))+K59&gt;$I$197,$I$197-K59,(I59-H$69+(H$69)))</f>
        <v>76000.758974384822</v>
      </c>
      <c r="K59" s="109">
        <f t="shared" si="44"/>
        <v>8719.2410256151761</v>
      </c>
      <c r="L59" s="49">
        <f t="shared" si="24"/>
        <v>84720</v>
      </c>
      <c r="M59" s="138">
        <f t="shared" si="45"/>
        <v>72200.721025665582</v>
      </c>
      <c r="N59" s="109">
        <f t="shared" si="46"/>
        <v>8283.2789743344165</v>
      </c>
      <c r="O59" s="139">
        <f t="shared" si="27"/>
        <v>80484</v>
      </c>
      <c r="P59" s="291">
        <f t="shared" si="47"/>
        <v>68400.683076946341</v>
      </c>
      <c r="Q59" s="109">
        <f t="shared" si="48"/>
        <v>7847.3169230536587</v>
      </c>
      <c r="R59" s="49">
        <f t="shared" si="30"/>
        <v>76248</v>
      </c>
      <c r="S59" s="138">
        <f t="shared" si="49"/>
        <v>60800.607179507861</v>
      </c>
      <c r="T59" s="109">
        <f t="shared" si="50"/>
        <v>6975.3928204921413</v>
      </c>
      <c r="U59" s="139">
        <f t="shared" si="33"/>
        <v>67776</v>
      </c>
      <c r="V59" s="48">
        <f t="shared" si="51"/>
        <v>53200.531282069373</v>
      </c>
      <c r="W59" s="109">
        <f t="shared" si="52"/>
        <v>6103.4687179306229</v>
      </c>
      <c r="X59" s="49">
        <f t="shared" si="36"/>
        <v>59303.999999999993</v>
      </c>
      <c r="Y59" s="138">
        <f t="shared" si="53"/>
        <v>45600.455384630892</v>
      </c>
      <c r="Z59" s="109">
        <f t="shared" si="54"/>
        <v>5231.5446153691055</v>
      </c>
      <c r="AA59" s="49">
        <f t="shared" si="39"/>
        <v>50832</v>
      </c>
    </row>
    <row r="60" spans="1:27">
      <c r="A60" s="105">
        <v>119</v>
      </c>
      <c r="B60" s="106">
        <v>41671</v>
      </c>
      <c r="C60" s="61">
        <f>VLOOKUP(B60,'base(indices)'!$A$16:$C$183,3,FALSE)</f>
        <v>724</v>
      </c>
      <c r="D60" s="192">
        <f>'base(indices)'!G53</f>
        <v>1.5831288100000001</v>
      </c>
      <c r="E60" s="54">
        <f t="shared" ref="E60:E70" si="55">C60*D60</f>
        <v>1146.1852584400001</v>
      </c>
      <c r="F60" s="82">
        <f>'base(indices)'!I53</f>
        <v>0.60997000000000001</v>
      </c>
      <c r="G60" s="54">
        <f t="shared" si="21"/>
        <v>699.13862209064689</v>
      </c>
      <c r="H60" s="267">
        <f t="shared" si="22"/>
        <v>1845.3238805306469</v>
      </c>
      <c r="I60" s="346">
        <f t="shared" si="41"/>
        <v>209666.64935215411</v>
      </c>
      <c r="J60" s="58">
        <f>IF((I60-H$69+(H$69/12*11))+K60&gt;$I$197,$I$197-K60,(I60-H$69+(H$69/12*11)))</f>
        <v>76000.758974384822</v>
      </c>
      <c r="K60" s="91">
        <f t="shared" si="44"/>
        <v>8719.2410256151761</v>
      </c>
      <c r="L60" s="284">
        <f t="shared" si="24"/>
        <v>84720</v>
      </c>
      <c r="M60" s="57">
        <f t="shared" si="45"/>
        <v>72200.721025665582</v>
      </c>
      <c r="N60" s="91">
        <f t="shared" si="46"/>
        <v>8283.2789743344165</v>
      </c>
      <c r="O60" s="60">
        <f t="shared" si="27"/>
        <v>80484</v>
      </c>
      <c r="P60" s="58">
        <f t="shared" si="47"/>
        <v>68400.683076946341</v>
      </c>
      <c r="Q60" s="91">
        <f t="shared" si="48"/>
        <v>7847.3169230536587</v>
      </c>
      <c r="R60" s="59">
        <f t="shared" si="30"/>
        <v>76248</v>
      </c>
      <c r="S60" s="57">
        <f t="shared" si="49"/>
        <v>60800.607179507861</v>
      </c>
      <c r="T60" s="91">
        <f t="shared" si="50"/>
        <v>6975.3928204921413</v>
      </c>
      <c r="U60" s="60">
        <f t="shared" si="33"/>
        <v>67776</v>
      </c>
      <c r="V60" s="58">
        <f t="shared" si="51"/>
        <v>53200.531282069373</v>
      </c>
      <c r="W60" s="91">
        <f t="shared" si="52"/>
        <v>6103.4687179306229</v>
      </c>
      <c r="X60" s="59">
        <f t="shared" si="36"/>
        <v>59303.999999999993</v>
      </c>
      <c r="Y60" s="57">
        <f t="shared" si="53"/>
        <v>45600.455384630892</v>
      </c>
      <c r="Z60" s="91">
        <f t="shared" si="54"/>
        <v>5231.5446153691055</v>
      </c>
      <c r="AA60" s="59">
        <f t="shared" si="39"/>
        <v>50832</v>
      </c>
    </row>
    <row r="61" spans="1:27">
      <c r="A61" s="105">
        <v>118</v>
      </c>
      <c r="B61" s="333">
        <v>41699</v>
      </c>
      <c r="C61" s="61">
        <f>VLOOKUP(B61,'base(indices)'!$A$16:$C$183,3,FALSE)</f>
        <v>724</v>
      </c>
      <c r="D61" s="192">
        <f>'base(indices)'!G54</f>
        <v>1.57212394</v>
      </c>
      <c r="E61" s="63">
        <f t="shared" si="55"/>
        <v>1138.2177325600001</v>
      </c>
      <c r="F61" s="82">
        <f>'base(indices)'!I54</f>
        <v>0.60997000000000001</v>
      </c>
      <c r="G61" s="63">
        <f t="shared" si="21"/>
        <v>694.2786703296232</v>
      </c>
      <c r="H61" s="268">
        <f t="shared" si="22"/>
        <v>1832.4964028896234</v>
      </c>
      <c r="I61" s="347">
        <f t="shared" si="41"/>
        <v>207821.32547162345</v>
      </c>
      <c r="J61" s="45">
        <f>IF((I61-H$69+(H$69/12*10))+K61&gt;$I$197,$I$197-K61,(I61-H$69+(H$69/12*10)))</f>
        <v>76000.758974384822</v>
      </c>
      <c r="K61" s="108">
        <f t="shared" si="44"/>
        <v>8719.2410256151761</v>
      </c>
      <c r="L61" s="46">
        <f t="shared" si="24"/>
        <v>84720</v>
      </c>
      <c r="M61" s="43">
        <f t="shared" si="45"/>
        <v>72200.721025665582</v>
      </c>
      <c r="N61" s="108">
        <f t="shared" si="46"/>
        <v>8283.2789743344165</v>
      </c>
      <c r="O61" s="47">
        <f t="shared" si="27"/>
        <v>80484</v>
      </c>
      <c r="P61" s="119">
        <f t="shared" si="47"/>
        <v>68400.683076946341</v>
      </c>
      <c r="Q61" s="108">
        <f t="shared" si="48"/>
        <v>7847.3169230536587</v>
      </c>
      <c r="R61" s="46">
        <f t="shared" si="30"/>
        <v>76248</v>
      </c>
      <c r="S61" s="43">
        <f t="shared" si="49"/>
        <v>60800.607179507861</v>
      </c>
      <c r="T61" s="108">
        <f t="shared" si="50"/>
        <v>6975.3928204921413</v>
      </c>
      <c r="U61" s="47">
        <f t="shared" si="33"/>
        <v>67776</v>
      </c>
      <c r="V61" s="45">
        <f t="shared" si="51"/>
        <v>53200.531282069373</v>
      </c>
      <c r="W61" s="108">
        <f t="shared" si="52"/>
        <v>6103.4687179306229</v>
      </c>
      <c r="X61" s="46">
        <f t="shared" si="36"/>
        <v>59303.999999999993</v>
      </c>
      <c r="Y61" s="43">
        <f t="shared" si="53"/>
        <v>45600.455384630892</v>
      </c>
      <c r="Z61" s="108">
        <f t="shared" si="54"/>
        <v>5231.5446153691055</v>
      </c>
      <c r="AA61" s="46">
        <f t="shared" si="39"/>
        <v>50832</v>
      </c>
    </row>
    <row r="62" spans="1:27">
      <c r="A62" s="105">
        <v>117</v>
      </c>
      <c r="B62" s="106">
        <v>41730</v>
      </c>
      <c r="C62" s="61">
        <f>VLOOKUP(B62,'base(indices)'!$A$16:$C$183,3,FALSE)</f>
        <v>724</v>
      </c>
      <c r="D62" s="192">
        <f>'base(indices)'!G55</f>
        <v>1.56073061</v>
      </c>
      <c r="E62" s="54">
        <f t="shared" si="55"/>
        <v>1129.9689616400001</v>
      </c>
      <c r="F62" s="82">
        <f>'base(indices)'!I55</f>
        <v>0.60997000000000001</v>
      </c>
      <c r="G62" s="54">
        <f t="shared" si="21"/>
        <v>689.24716753155087</v>
      </c>
      <c r="H62" s="267">
        <f t="shared" si="22"/>
        <v>1819.2161291715511</v>
      </c>
      <c r="I62" s="346">
        <f t="shared" si="41"/>
        <v>205988.82906873382</v>
      </c>
      <c r="J62" s="58">
        <f>IF((I62-H$69+(H$69/12*9))+K62&gt;$I$197,$I$197-K62,(I62-H$69+(H$69/12*9)))</f>
        <v>76000.758974384822</v>
      </c>
      <c r="K62" s="91">
        <f t="shared" si="44"/>
        <v>8719.2410256151761</v>
      </c>
      <c r="L62" s="284">
        <f t="shared" si="24"/>
        <v>84720</v>
      </c>
      <c r="M62" s="57">
        <f t="shared" si="45"/>
        <v>72200.721025665582</v>
      </c>
      <c r="N62" s="91">
        <f t="shared" si="46"/>
        <v>8283.2789743344165</v>
      </c>
      <c r="O62" s="60">
        <f t="shared" si="27"/>
        <v>80484</v>
      </c>
      <c r="P62" s="58">
        <f t="shared" si="47"/>
        <v>68400.683076946341</v>
      </c>
      <c r="Q62" s="91">
        <f t="shared" si="48"/>
        <v>7847.3169230536587</v>
      </c>
      <c r="R62" s="59">
        <f t="shared" si="30"/>
        <v>76248</v>
      </c>
      <c r="S62" s="57">
        <f t="shared" si="49"/>
        <v>60800.607179507861</v>
      </c>
      <c r="T62" s="91">
        <f t="shared" si="50"/>
        <v>6975.3928204921413</v>
      </c>
      <c r="U62" s="60">
        <f t="shared" si="33"/>
        <v>67776</v>
      </c>
      <c r="V62" s="58">
        <f t="shared" si="51"/>
        <v>53200.531282069373</v>
      </c>
      <c r="W62" s="91">
        <f t="shared" si="52"/>
        <v>6103.4687179306229</v>
      </c>
      <c r="X62" s="59">
        <f t="shared" si="36"/>
        <v>59303.999999999993</v>
      </c>
      <c r="Y62" s="57">
        <f t="shared" si="53"/>
        <v>45600.455384630892</v>
      </c>
      <c r="Z62" s="91">
        <f t="shared" si="54"/>
        <v>5231.5446153691055</v>
      </c>
      <c r="AA62" s="59">
        <f t="shared" si="39"/>
        <v>50832</v>
      </c>
    </row>
    <row r="63" spans="1:27">
      <c r="A63" s="105">
        <v>116</v>
      </c>
      <c r="B63" s="333">
        <v>41760</v>
      </c>
      <c r="C63" s="61">
        <f>VLOOKUP(B63,'base(indices)'!$A$16:$C$183,3,FALSE)</f>
        <v>724</v>
      </c>
      <c r="D63" s="192">
        <f>'base(indices)'!G56</f>
        <v>1.5486511300000001</v>
      </c>
      <c r="E63" s="63">
        <f t="shared" si="55"/>
        <v>1121.2234181200001</v>
      </c>
      <c r="F63" s="82">
        <f>'base(indices)'!I56</f>
        <v>0.60997000000000001</v>
      </c>
      <c r="G63" s="63">
        <f t="shared" si="21"/>
        <v>683.91264835065647</v>
      </c>
      <c r="H63" s="268">
        <f t="shared" si="22"/>
        <v>1805.1360664706567</v>
      </c>
      <c r="I63" s="347">
        <f t="shared" si="41"/>
        <v>204169.61293956227</v>
      </c>
      <c r="J63" s="45">
        <f>IF((I63-H$69+(H$69/12*8))+K63&gt;$I$197,$I$197-K63,(I63-H$69+(H$69/12*8)))</f>
        <v>76000.758974384822</v>
      </c>
      <c r="K63" s="108">
        <f t="shared" si="44"/>
        <v>8719.2410256151761</v>
      </c>
      <c r="L63" s="46">
        <f t="shared" si="24"/>
        <v>84720</v>
      </c>
      <c r="M63" s="43">
        <f t="shared" si="45"/>
        <v>72200.721025665582</v>
      </c>
      <c r="N63" s="108">
        <f t="shared" si="46"/>
        <v>8283.2789743344165</v>
      </c>
      <c r="O63" s="47">
        <f t="shared" si="27"/>
        <v>80484</v>
      </c>
      <c r="P63" s="119">
        <f t="shared" si="47"/>
        <v>68400.683076946341</v>
      </c>
      <c r="Q63" s="108">
        <f t="shared" si="48"/>
        <v>7847.3169230536587</v>
      </c>
      <c r="R63" s="46">
        <f t="shared" si="30"/>
        <v>76248</v>
      </c>
      <c r="S63" s="43">
        <f t="shared" si="49"/>
        <v>60800.607179507861</v>
      </c>
      <c r="T63" s="108">
        <f t="shared" si="50"/>
        <v>6975.3928204921413</v>
      </c>
      <c r="U63" s="47">
        <f t="shared" si="33"/>
        <v>67776</v>
      </c>
      <c r="V63" s="45">
        <f t="shared" si="51"/>
        <v>53200.531282069373</v>
      </c>
      <c r="W63" s="108">
        <f t="shared" si="52"/>
        <v>6103.4687179306229</v>
      </c>
      <c r="X63" s="46">
        <f t="shared" si="36"/>
        <v>59303.999999999993</v>
      </c>
      <c r="Y63" s="43">
        <f t="shared" si="53"/>
        <v>45600.455384630892</v>
      </c>
      <c r="Z63" s="108">
        <f t="shared" si="54"/>
        <v>5231.5446153691055</v>
      </c>
      <c r="AA63" s="46">
        <f t="shared" si="39"/>
        <v>50832</v>
      </c>
    </row>
    <row r="64" spans="1:27">
      <c r="A64" s="105">
        <v>115</v>
      </c>
      <c r="B64" s="106">
        <v>41791</v>
      </c>
      <c r="C64" s="61">
        <f>VLOOKUP(B64,'base(indices)'!$A$16:$C$183,3,FALSE)</f>
        <v>724</v>
      </c>
      <c r="D64" s="192">
        <f>'base(indices)'!G57</f>
        <v>1.5397207500000001</v>
      </c>
      <c r="E64" s="54">
        <f t="shared" si="55"/>
        <v>1114.7578230000001</v>
      </c>
      <c r="F64" s="82">
        <f>'base(indices)'!I57</f>
        <v>0.60997000000000001</v>
      </c>
      <c r="G64" s="54">
        <f t="shared" si="21"/>
        <v>679.96882929531012</v>
      </c>
      <c r="H64" s="267">
        <f t="shared" si="22"/>
        <v>1794.7266522953103</v>
      </c>
      <c r="I64" s="346">
        <f t="shared" si="41"/>
        <v>202364.47687309163</v>
      </c>
      <c r="J64" s="58">
        <f>IF((I64-H$69+(H$69/12*7))+K64&gt;$I$197,$I$197-K64,(I64-H$69+(H$69/12*7)))</f>
        <v>76000.758974384822</v>
      </c>
      <c r="K64" s="91">
        <f t="shared" si="44"/>
        <v>8719.2410256151761</v>
      </c>
      <c r="L64" s="284">
        <f t="shared" si="24"/>
        <v>84720</v>
      </c>
      <c r="M64" s="57">
        <f t="shared" si="45"/>
        <v>72200.721025665582</v>
      </c>
      <c r="N64" s="91">
        <f t="shared" si="46"/>
        <v>8283.2789743344165</v>
      </c>
      <c r="O64" s="60">
        <f t="shared" si="27"/>
        <v>80484</v>
      </c>
      <c r="P64" s="58">
        <f t="shared" si="47"/>
        <v>68400.683076946341</v>
      </c>
      <c r="Q64" s="91">
        <f t="shared" si="48"/>
        <v>7847.3169230536587</v>
      </c>
      <c r="R64" s="59">
        <f t="shared" si="30"/>
        <v>76248</v>
      </c>
      <c r="S64" s="57">
        <f t="shared" si="49"/>
        <v>60800.607179507861</v>
      </c>
      <c r="T64" s="91">
        <f t="shared" si="50"/>
        <v>6975.3928204921413</v>
      </c>
      <c r="U64" s="60">
        <f t="shared" si="33"/>
        <v>67776</v>
      </c>
      <c r="V64" s="58">
        <f t="shared" si="51"/>
        <v>53200.531282069373</v>
      </c>
      <c r="W64" s="91">
        <f t="shared" si="52"/>
        <v>6103.4687179306229</v>
      </c>
      <c r="X64" s="59">
        <f t="shared" si="36"/>
        <v>59303.999999999993</v>
      </c>
      <c r="Y64" s="57">
        <f t="shared" si="53"/>
        <v>45600.455384630892</v>
      </c>
      <c r="Z64" s="91">
        <f t="shared" si="54"/>
        <v>5231.5446153691055</v>
      </c>
      <c r="AA64" s="59">
        <f t="shared" si="39"/>
        <v>50832</v>
      </c>
    </row>
    <row r="65" spans="1:27">
      <c r="A65" s="105">
        <v>114</v>
      </c>
      <c r="B65" s="333">
        <v>41821</v>
      </c>
      <c r="C65" s="61">
        <f>VLOOKUP(B65,'base(indices)'!$A$16:$C$183,3,FALSE)</f>
        <v>724</v>
      </c>
      <c r="D65" s="192">
        <f>'base(indices)'!G58</f>
        <v>1.5325179099999999</v>
      </c>
      <c r="E65" s="63">
        <f t="shared" si="55"/>
        <v>1109.54296684</v>
      </c>
      <c r="F65" s="82">
        <f>'base(indices)'!I58</f>
        <v>0.60997000000000001</v>
      </c>
      <c r="G65" s="63">
        <f t="shared" si="21"/>
        <v>676.78792348339482</v>
      </c>
      <c r="H65" s="268">
        <f t="shared" si="22"/>
        <v>1786.3308903233947</v>
      </c>
      <c r="I65" s="347">
        <f t="shared" si="41"/>
        <v>200569.75022079633</v>
      </c>
      <c r="J65" s="45">
        <f>IF((I65-H$69+(H$69/12*6))+K65&gt;$I$197,$I$197-K65,(I65-H$69+(H$69/12*6)))</f>
        <v>76000.758974384822</v>
      </c>
      <c r="K65" s="108">
        <f t="shared" si="44"/>
        <v>8719.2410256151761</v>
      </c>
      <c r="L65" s="46">
        <f t="shared" si="24"/>
        <v>84720</v>
      </c>
      <c r="M65" s="43">
        <f t="shared" si="45"/>
        <v>72200.721025665582</v>
      </c>
      <c r="N65" s="108">
        <f t="shared" si="46"/>
        <v>8283.2789743344165</v>
      </c>
      <c r="O65" s="47">
        <f t="shared" si="27"/>
        <v>80484</v>
      </c>
      <c r="P65" s="119">
        <f t="shared" si="47"/>
        <v>68400.683076946341</v>
      </c>
      <c r="Q65" s="108">
        <f t="shared" si="48"/>
        <v>7847.3169230536587</v>
      </c>
      <c r="R65" s="46">
        <f t="shared" si="30"/>
        <v>76248</v>
      </c>
      <c r="S65" s="43">
        <f t="shared" si="49"/>
        <v>60800.607179507861</v>
      </c>
      <c r="T65" s="108">
        <f t="shared" si="50"/>
        <v>6975.3928204921413</v>
      </c>
      <c r="U65" s="47">
        <f t="shared" si="33"/>
        <v>67776</v>
      </c>
      <c r="V65" s="45">
        <f t="shared" si="51"/>
        <v>53200.531282069373</v>
      </c>
      <c r="W65" s="108">
        <f t="shared" si="52"/>
        <v>6103.4687179306229</v>
      </c>
      <c r="X65" s="46">
        <f t="shared" si="36"/>
        <v>59303.999999999993</v>
      </c>
      <c r="Y65" s="43">
        <f t="shared" si="53"/>
        <v>45600.455384630892</v>
      </c>
      <c r="Z65" s="108">
        <f t="shared" si="54"/>
        <v>5231.5446153691055</v>
      </c>
      <c r="AA65" s="46">
        <f t="shared" si="39"/>
        <v>50832</v>
      </c>
    </row>
    <row r="66" spans="1:27">
      <c r="A66" s="105">
        <v>113</v>
      </c>
      <c r="B66" s="106">
        <v>41852</v>
      </c>
      <c r="C66" s="61">
        <f>VLOOKUP(B66,'base(indices)'!$A$16:$C$183,3,FALSE)</f>
        <v>724</v>
      </c>
      <c r="D66" s="192">
        <f>'base(indices)'!G59</f>
        <v>1.5299170499999999</v>
      </c>
      <c r="E66" s="54">
        <f t="shared" si="55"/>
        <v>1107.6599441999999</v>
      </c>
      <c r="F66" s="82">
        <f>'base(indices)'!I59</f>
        <v>0.60997000000000001</v>
      </c>
      <c r="G66" s="54">
        <f t="shared" si="21"/>
        <v>675.63933616367399</v>
      </c>
      <c r="H66" s="267">
        <f t="shared" si="22"/>
        <v>1783.2992803636739</v>
      </c>
      <c r="I66" s="346">
        <f t="shared" si="41"/>
        <v>198783.41933047294</v>
      </c>
      <c r="J66" s="58">
        <f>IF((I66-H$69+(H$69/12*5))+K66&gt;$I$197,$I$197-K66,(I66-H$69+(H$69/12*5)))</f>
        <v>76000.758974384822</v>
      </c>
      <c r="K66" s="91">
        <f t="shared" si="44"/>
        <v>8719.2410256151761</v>
      </c>
      <c r="L66" s="284">
        <f t="shared" si="24"/>
        <v>84720</v>
      </c>
      <c r="M66" s="57">
        <f t="shared" si="45"/>
        <v>72200.721025665582</v>
      </c>
      <c r="N66" s="91">
        <f t="shared" si="46"/>
        <v>8283.2789743344165</v>
      </c>
      <c r="O66" s="60">
        <f t="shared" si="27"/>
        <v>80484</v>
      </c>
      <c r="P66" s="58">
        <f t="shared" si="47"/>
        <v>68400.683076946341</v>
      </c>
      <c r="Q66" s="91">
        <f t="shared" si="48"/>
        <v>7847.3169230536587</v>
      </c>
      <c r="R66" s="59">
        <f t="shared" si="30"/>
        <v>76248</v>
      </c>
      <c r="S66" s="57">
        <f t="shared" si="49"/>
        <v>60800.607179507861</v>
      </c>
      <c r="T66" s="91">
        <f t="shared" si="50"/>
        <v>6975.3928204921413</v>
      </c>
      <c r="U66" s="60">
        <f t="shared" si="33"/>
        <v>67776</v>
      </c>
      <c r="V66" s="58">
        <f t="shared" si="51"/>
        <v>53200.531282069373</v>
      </c>
      <c r="W66" s="91">
        <f t="shared" si="52"/>
        <v>6103.4687179306229</v>
      </c>
      <c r="X66" s="59">
        <f t="shared" si="36"/>
        <v>59303.999999999993</v>
      </c>
      <c r="Y66" s="57">
        <f t="shared" si="53"/>
        <v>45600.455384630892</v>
      </c>
      <c r="Z66" s="91">
        <f t="shared" si="54"/>
        <v>5231.5446153691055</v>
      </c>
      <c r="AA66" s="59">
        <f t="shared" si="39"/>
        <v>50832</v>
      </c>
    </row>
    <row r="67" spans="1:27">
      <c r="A67" s="105">
        <v>112</v>
      </c>
      <c r="B67" s="333">
        <v>41883</v>
      </c>
      <c r="C67" s="61">
        <f>VLOOKUP(B67,'base(indices)'!$A$16:$C$183,3,FALSE)</f>
        <v>724</v>
      </c>
      <c r="D67" s="192">
        <f>'base(indices)'!G60</f>
        <v>1.5277781699999999</v>
      </c>
      <c r="E67" s="63">
        <f t="shared" si="55"/>
        <v>1106.11139508</v>
      </c>
      <c r="F67" s="82">
        <f>'base(indices)'!I60</f>
        <v>0.60997000000000001</v>
      </c>
      <c r="G67" s="63">
        <f t="shared" si="21"/>
        <v>674.69476765694765</v>
      </c>
      <c r="H67" s="268">
        <f t="shared" si="22"/>
        <v>1780.8061627369475</v>
      </c>
      <c r="I67" s="347">
        <f t="shared" si="41"/>
        <v>197000.12005010925</v>
      </c>
      <c r="J67" s="45">
        <f>IF((I67-H$69+(H$69/12*4))+K67&gt;$I$197,$I$197-K67,(I67-H$69+(H$69/12*4)))</f>
        <v>76000.758974384822</v>
      </c>
      <c r="K67" s="108">
        <f t="shared" si="44"/>
        <v>8719.2410256151761</v>
      </c>
      <c r="L67" s="46">
        <f t="shared" si="24"/>
        <v>84720</v>
      </c>
      <c r="M67" s="43">
        <f t="shared" si="45"/>
        <v>72200.721025665582</v>
      </c>
      <c r="N67" s="108">
        <f t="shared" si="46"/>
        <v>8283.2789743344165</v>
      </c>
      <c r="O67" s="47">
        <f t="shared" si="27"/>
        <v>80484</v>
      </c>
      <c r="P67" s="119">
        <f t="shared" si="47"/>
        <v>68400.683076946341</v>
      </c>
      <c r="Q67" s="108">
        <f t="shared" si="48"/>
        <v>7847.3169230536587</v>
      </c>
      <c r="R67" s="46">
        <f t="shared" si="30"/>
        <v>76248</v>
      </c>
      <c r="S67" s="43">
        <f t="shared" si="49"/>
        <v>60800.607179507861</v>
      </c>
      <c r="T67" s="108">
        <f t="shared" si="50"/>
        <v>6975.3928204921413</v>
      </c>
      <c r="U67" s="47">
        <f t="shared" si="33"/>
        <v>67776</v>
      </c>
      <c r="V67" s="45">
        <f t="shared" si="51"/>
        <v>53200.531282069373</v>
      </c>
      <c r="W67" s="108">
        <f t="shared" si="52"/>
        <v>6103.4687179306229</v>
      </c>
      <c r="X67" s="46">
        <f t="shared" si="36"/>
        <v>59303.999999999993</v>
      </c>
      <c r="Y67" s="43">
        <f t="shared" si="53"/>
        <v>45600.455384630892</v>
      </c>
      <c r="Z67" s="108">
        <f t="shared" si="54"/>
        <v>5231.5446153691055</v>
      </c>
      <c r="AA67" s="46">
        <f t="shared" si="39"/>
        <v>50832</v>
      </c>
    </row>
    <row r="68" spans="1:27">
      <c r="A68" s="105">
        <v>111</v>
      </c>
      <c r="B68" s="106">
        <v>41913</v>
      </c>
      <c r="C68" s="61">
        <f>VLOOKUP(B68,'base(indices)'!$A$16:$C$183,3,FALSE)</f>
        <v>724</v>
      </c>
      <c r="D68" s="192">
        <f>'base(indices)'!G61</f>
        <v>1.52184298</v>
      </c>
      <c r="E68" s="54">
        <f t="shared" si="55"/>
        <v>1101.81431752</v>
      </c>
      <c r="F68" s="82">
        <f>'base(indices)'!I61</f>
        <v>0.60997000000000001</v>
      </c>
      <c r="G68" s="54">
        <f t="shared" si="21"/>
        <v>672.07367925767448</v>
      </c>
      <c r="H68" s="267">
        <f t="shared" si="22"/>
        <v>1773.8879967776745</v>
      </c>
      <c r="I68" s="346">
        <f t="shared" si="41"/>
        <v>195219.31388737229</v>
      </c>
      <c r="J68" s="58">
        <f>IF((I68-H$69+(H$69/12*3))+K68&gt;$I$197,$I$197-K68,(I68-H$69+(H$69/12*3)))</f>
        <v>76000.758974384822</v>
      </c>
      <c r="K68" s="91">
        <f t="shared" si="44"/>
        <v>8719.2410256151761</v>
      </c>
      <c r="L68" s="284">
        <f t="shared" si="24"/>
        <v>84720</v>
      </c>
      <c r="M68" s="57">
        <f t="shared" si="45"/>
        <v>72200.721025665582</v>
      </c>
      <c r="N68" s="91">
        <f t="shared" si="46"/>
        <v>8283.2789743344165</v>
      </c>
      <c r="O68" s="60">
        <f t="shared" si="27"/>
        <v>80484</v>
      </c>
      <c r="P68" s="58">
        <f t="shared" si="47"/>
        <v>68400.683076946341</v>
      </c>
      <c r="Q68" s="91">
        <f t="shared" si="48"/>
        <v>7847.3169230536587</v>
      </c>
      <c r="R68" s="59">
        <f t="shared" si="30"/>
        <v>76248</v>
      </c>
      <c r="S68" s="57">
        <f t="shared" si="49"/>
        <v>60800.607179507861</v>
      </c>
      <c r="T68" s="91">
        <f t="shared" si="50"/>
        <v>6975.3928204921413</v>
      </c>
      <c r="U68" s="60">
        <f t="shared" si="33"/>
        <v>67776</v>
      </c>
      <c r="V68" s="58">
        <f t="shared" si="51"/>
        <v>53200.531282069373</v>
      </c>
      <c r="W68" s="91">
        <f t="shared" si="52"/>
        <v>6103.4687179306229</v>
      </c>
      <c r="X68" s="59">
        <f t="shared" si="36"/>
        <v>59303.999999999993</v>
      </c>
      <c r="Y68" s="57">
        <f t="shared" si="53"/>
        <v>45600.455384630892</v>
      </c>
      <c r="Z68" s="91">
        <f t="shared" si="54"/>
        <v>5231.5446153691055</v>
      </c>
      <c r="AA68" s="59">
        <f t="shared" si="39"/>
        <v>50832</v>
      </c>
    </row>
    <row r="69" spans="1:27">
      <c r="A69" s="105">
        <v>110</v>
      </c>
      <c r="B69" s="333">
        <v>41944</v>
      </c>
      <c r="C69" s="61">
        <f>VLOOKUP(B69,'base(indices)'!$A$16:$C$183,3,FALSE)</f>
        <v>724</v>
      </c>
      <c r="D69" s="192">
        <f>'base(indices)'!G62</f>
        <v>1.51457303</v>
      </c>
      <c r="E69" s="63">
        <f t="shared" si="55"/>
        <v>1096.55087372</v>
      </c>
      <c r="F69" s="82">
        <f>'base(indices)'!I62</f>
        <v>0.60997000000000001</v>
      </c>
      <c r="G69" s="63">
        <f t="shared" si="21"/>
        <v>668.86313644298843</v>
      </c>
      <c r="H69" s="268">
        <f t="shared" si="22"/>
        <v>1765.4140101629885</v>
      </c>
      <c r="I69" s="347">
        <f t="shared" si="41"/>
        <v>193445.4258905946</v>
      </c>
      <c r="J69" s="45">
        <f>IF((I69-H$69+(H$69/12*2))+K69&gt;$I$197,$I$197-K69,(I69-H$69+(H$69/12*2)))</f>
        <v>76000.758974384822</v>
      </c>
      <c r="K69" s="108">
        <f t="shared" si="44"/>
        <v>8719.2410256151761</v>
      </c>
      <c r="L69" s="46">
        <f t="shared" si="24"/>
        <v>84720</v>
      </c>
      <c r="M69" s="43">
        <f t="shared" si="45"/>
        <v>72200.721025665582</v>
      </c>
      <c r="N69" s="108">
        <f t="shared" si="46"/>
        <v>8283.2789743344165</v>
      </c>
      <c r="O69" s="47">
        <f t="shared" si="27"/>
        <v>80484</v>
      </c>
      <c r="P69" s="119">
        <f t="shared" si="47"/>
        <v>68400.683076946341</v>
      </c>
      <c r="Q69" s="108">
        <f t="shared" si="48"/>
        <v>7847.3169230536587</v>
      </c>
      <c r="R69" s="46">
        <f t="shared" si="30"/>
        <v>76248</v>
      </c>
      <c r="S69" s="43">
        <f t="shared" si="49"/>
        <v>60800.607179507861</v>
      </c>
      <c r="T69" s="108">
        <f t="shared" si="50"/>
        <v>6975.3928204921413</v>
      </c>
      <c r="U69" s="47">
        <f t="shared" si="33"/>
        <v>67776</v>
      </c>
      <c r="V69" s="45">
        <f t="shared" si="51"/>
        <v>53200.531282069373</v>
      </c>
      <c r="W69" s="108">
        <f t="shared" si="52"/>
        <v>6103.4687179306229</v>
      </c>
      <c r="X69" s="46">
        <f t="shared" si="36"/>
        <v>59303.999999999993</v>
      </c>
      <c r="Y69" s="43">
        <f t="shared" si="53"/>
        <v>45600.455384630892</v>
      </c>
      <c r="Z69" s="108">
        <f t="shared" si="54"/>
        <v>5231.5446153691055</v>
      </c>
      <c r="AA69" s="46">
        <f t="shared" si="39"/>
        <v>50832</v>
      </c>
    </row>
    <row r="70" spans="1:27" ht="13.5" thickBot="1">
      <c r="A70" s="110">
        <v>109</v>
      </c>
      <c r="B70" s="344">
        <v>41974</v>
      </c>
      <c r="C70" s="69">
        <f>VLOOKUP(B70,'base(indices)'!$A$16:$C$183,3,FALSE)*2</f>
        <v>1448</v>
      </c>
      <c r="D70" s="335">
        <f>'base(indices)'!G63</f>
        <v>1.50883944</v>
      </c>
      <c r="E70" s="163">
        <f t="shared" si="55"/>
        <v>2184.79950912</v>
      </c>
      <c r="F70" s="304">
        <f>'base(indices)'!I63</f>
        <v>0.60997000000000001</v>
      </c>
      <c r="G70" s="163">
        <f t="shared" si="21"/>
        <v>1332.6621565779265</v>
      </c>
      <c r="H70" s="355">
        <f t="shared" si="22"/>
        <v>3517.4616656979265</v>
      </c>
      <c r="I70" s="348">
        <f t="shared" si="41"/>
        <v>191680.01188043162</v>
      </c>
      <c r="J70" s="285">
        <f>IF((I70-H$69+(H$69/12*1))+K70&gt;$I$197,$I$197-K70,(I70-H$69+(H$69/12*1)))</f>
        <v>76000.758974384822</v>
      </c>
      <c r="K70" s="202">
        <f t="shared" si="44"/>
        <v>8719.2410256151761</v>
      </c>
      <c r="L70" s="286">
        <f t="shared" si="24"/>
        <v>84720</v>
      </c>
      <c r="M70" s="282">
        <f t="shared" si="45"/>
        <v>72200.721025665582</v>
      </c>
      <c r="N70" s="202">
        <f t="shared" si="46"/>
        <v>8283.2789743344165</v>
      </c>
      <c r="O70" s="289">
        <f t="shared" si="27"/>
        <v>80484</v>
      </c>
      <c r="P70" s="285">
        <f t="shared" si="47"/>
        <v>68400.683076946341</v>
      </c>
      <c r="Q70" s="202">
        <f t="shared" si="48"/>
        <v>7847.3169230536587</v>
      </c>
      <c r="R70" s="203">
        <f t="shared" si="30"/>
        <v>76248</v>
      </c>
      <c r="S70" s="282">
        <f t="shared" si="49"/>
        <v>60800.607179507861</v>
      </c>
      <c r="T70" s="202">
        <f t="shared" si="50"/>
        <v>6975.3928204921413</v>
      </c>
      <c r="U70" s="289">
        <f t="shared" si="33"/>
        <v>67776</v>
      </c>
      <c r="V70" s="285">
        <f t="shared" si="51"/>
        <v>53200.531282069373</v>
      </c>
      <c r="W70" s="202">
        <f t="shared" si="52"/>
        <v>6103.4687179306229</v>
      </c>
      <c r="X70" s="203">
        <f t="shared" si="36"/>
        <v>59303.999999999993</v>
      </c>
      <c r="Y70" s="282">
        <f t="shared" si="53"/>
        <v>45600.455384630892</v>
      </c>
      <c r="Z70" s="202">
        <f t="shared" si="54"/>
        <v>5231.5446153691055</v>
      </c>
      <c r="AA70" s="203">
        <f t="shared" si="39"/>
        <v>50832</v>
      </c>
    </row>
    <row r="71" spans="1:27">
      <c r="A71" s="190">
        <v>108</v>
      </c>
      <c r="B71" s="338">
        <v>42005</v>
      </c>
      <c r="C71" s="41">
        <f>VLOOKUP(B71,'base(indices)'!$A$16:$C$183,3,FALSE)</f>
        <v>788</v>
      </c>
      <c r="D71" s="193">
        <f>'base(indices)'!G64</f>
        <v>1.49701303</v>
      </c>
      <c r="E71" s="78">
        <f>C71*D71</f>
        <v>1179.6462676399999</v>
      </c>
      <c r="F71" s="79">
        <f>'base(indices)'!I64</f>
        <v>0.60997000000000001</v>
      </c>
      <c r="G71" s="78">
        <f t="shared" si="21"/>
        <v>719.54883387237078</v>
      </c>
      <c r="H71" s="266">
        <f t="shared" si="22"/>
        <v>1899.1951015123707</v>
      </c>
      <c r="I71" s="345">
        <f t="shared" si="41"/>
        <v>188162.5502147337</v>
      </c>
      <c r="J71" s="48">
        <f>IF((I71-H$81+(H$81))+K71&gt;$I$197,$I$197-K71,(I71-H$81+(H$81)))</f>
        <v>76000.758974384822</v>
      </c>
      <c r="K71" s="109">
        <f t="shared" si="44"/>
        <v>8719.2410256151761</v>
      </c>
      <c r="L71" s="49">
        <f t="shared" si="24"/>
        <v>84720</v>
      </c>
      <c r="M71" s="138">
        <f t="shared" si="45"/>
        <v>72200.721025665582</v>
      </c>
      <c r="N71" s="109">
        <f t="shared" si="46"/>
        <v>8283.2789743344165</v>
      </c>
      <c r="O71" s="139">
        <f t="shared" si="27"/>
        <v>80484</v>
      </c>
      <c r="P71" s="291">
        <f t="shared" si="47"/>
        <v>68400.683076946341</v>
      </c>
      <c r="Q71" s="109">
        <f t="shared" si="48"/>
        <v>7847.3169230536587</v>
      </c>
      <c r="R71" s="49">
        <f t="shared" si="30"/>
        <v>76248</v>
      </c>
      <c r="S71" s="138">
        <f t="shared" si="49"/>
        <v>60800.607179507861</v>
      </c>
      <c r="T71" s="109">
        <f t="shared" si="50"/>
        <v>6975.3928204921413</v>
      </c>
      <c r="U71" s="139">
        <f t="shared" si="33"/>
        <v>67776</v>
      </c>
      <c r="V71" s="48">
        <f t="shared" si="51"/>
        <v>53200.531282069373</v>
      </c>
      <c r="W71" s="109">
        <f t="shared" si="52"/>
        <v>6103.4687179306229</v>
      </c>
      <c r="X71" s="49">
        <f t="shared" si="36"/>
        <v>59303.999999999993</v>
      </c>
      <c r="Y71" s="138">
        <f t="shared" si="53"/>
        <v>45600.455384630892</v>
      </c>
      <c r="Z71" s="109">
        <f t="shared" si="54"/>
        <v>5231.5446153691055</v>
      </c>
      <c r="AA71" s="49">
        <f t="shared" si="39"/>
        <v>50832</v>
      </c>
    </row>
    <row r="72" spans="1:27">
      <c r="A72" s="187">
        <v>107</v>
      </c>
      <c r="B72" s="339">
        <v>42036</v>
      </c>
      <c r="C72" s="61">
        <f>VLOOKUP(B72,'base(indices)'!$A$16:$C$183,3,FALSE)</f>
        <v>788</v>
      </c>
      <c r="D72" s="192">
        <f>'base(indices)'!G65</f>
        <v>1.4838071500000001</v>
      </c>
      <c r="E72" s="54">
        <f t="shared" ref="E72:E82" si="56">C72*D72</f>
        <v>1169.2400342000001</v>
      </c>
      <c r="F72" s="82">
        <f>'base(indices)'!I65</f>
        <v>0.60497000000000001</v>
      </c>
      <c r="G72" s="54">
        <f t="shared" si="21"/>
        <v>707.35514348997401</v>
      </c>
      <c r="H72" s="267">
        <f t="shared" si="22"/>
        <v>1876.5951776899742</v>
      </c>
      <c r="I72" s="346">
        <f t="shared" si="41"/>
        <v>186263.35511322133</v>
      </c>
      <c r="J72" s="58">
        <f>IF((I72-H$81+(H$81/12*11))+K72&gt;$I$197,$I$197-K72,(I72-H$81+(H$81/12*11)))</f>
        <v>76000.758974384822</v>
      </c>
      <c r="K72" s="91">
        <f t="shared" si="44"/>
        <v>8719.2410256151761</v>
      </c>
      <c r="L72" s="284">
        <f t="shared" si="24"/>
        <v>84720</v>
      </c>
      <c r="M72" s="57">
        <f t="shared" si="45"/>
        <v>72200.721025665582</v>
      </c>
      <c r="N72" s="91">
        <f t="shared" si="46"/>
        <v>8283.2789743344165</v>
      </c>
      <c r="O72" s="60">
        <f t="shared" si="27"/>
        <v>80484</v>
      </c>
      <c r="P72" s="58">
        <f t="shared" si="47"/>
        <v>68400.683076946341</v>
      </c>
      <c r="Q72" s="91">
        <f t="shared" si="48"/>
        <v>7847.3169230536587</v>
      </c>
      <c r="R72" s="59">
        <f t="shared" si="30"/>
        <v>76248</v>
      </c>
      <c r="S72" s="57">
        <f t="shared" si="49"/>
        <v>60800.607179507861</v>
      </c>
      <c r="T72" s="91">
        <f t="shared" si="50"/>
        <v>6975.3928204921413</v>
      </c>
      <c r="U72" s="60">
        <f t="shared" si="33"/>
        <v>67776</v>
      </c>
      <c r="V72" s="58">
        <f t="shared" si="51"/>
        <v>53200.531282069373</v>
      </c>
      <c r="W72" s="91">
        <f t="shared" si="52"/>
        <v>6103.4687179306229</v>
      </c>
      <c r="X72" s="59">
        <f t="shared" si="36"/>
        <v>59303.999999999993</v>
      </c>
      <c r="Y72" s="57">
        <f t="shared" si="53"/>
        <v>45600.455384630892</v>
      </c>
      <c r="Z72" s="91">
        <f t="shared" si="54"/>
        <v>5231.5446153691055</v>
      </c>
      <c r="AA72" s="59">
        <f t="shared" si="39"/>
        <v>50832</v>
      </c>
    </row>
    <row r="73" spans="1:27">
      <c r="A73" s="187">
        <v>106</v>
      </c>
      <c r="B73" s="340">
        <v>42064</v>
      </c>
      <c r="C73" s="61">
        <f>VLOOKUP(B73,'base(indices)'!$A$16:$C$183,3,FALSE)</f>
        <v>788</v>
      </c>
      <c r="D73" s="192">
        <f>'base(indices)'!G66</f>
        <v>1.4643315400000001</v>
      </c>
      <c r="E73" s="63">
        <f t="shared" si="56"/>
        <v>1153.8932535200001</v>
      </c>
      <c r="F73" s="82">
        <f>'base(indices)'!I66</f>
        <v>0.59997</v>
      </c>
      <c r="G73" s="63">
        <f t="shared" si="21"/>
        <v>692.30133531439446</v>
      </c>
      <c r="H73" s="268">
        <f t="shared" si="22"/>
        <v>1846.1945888343946</v>
      </c>
      <c r="I73" s="347">
        <f t="shared" si="41"/>
        <v>184386.75993553136</v>
      </c>
      <c r="J73" s="45">
        <f>IF((I73-H$81+(H$81/12*10))+K73&gt;$I$197,$I$197-K73,(I73-H$81+(H$81/12*10)))</f>
        <v>76000.758974384822</v>
      </c>
      <c r="K73" s="108">
        <f t="shared" si="44"/>
        <v>8719.2410256151761</v>
      </c>
      <c r="L73" s="46">
        <f t="shared" si="24"/>
        <v>84720</v>
      </c>
      <c r="M73" s="43">
        <f t="shared" si="45"/>
        <v>72200.721025665582</v>
      </c>
      <c r="N73" s="108">
        <f t="shared" si="46"/>
        <v>8283.2789743344165</v>
      </c>
      <c r="O73" s="47">
        <f t="shared" si="27"/>
        <v>80484</v>
      </c>
      <c r="P73" s="119">
        <f t="shared" si="47"/>
        <v>68400.683076946341</v>
      </c>
      <c r="Q73" s="108">
        <f t="shared" si="48"/>
        <v>7847.3169230536587</v>
      </c>
      <c r="R73" s="46">
        <f t="shared" si="30"/>
        <v>76248</v>
      </c>
      <c r="S73" s="43">
        <f t="shared" si="49"/>
        <v>60800.607179507861</v>
      </c>
      <c r="T73" s="108">
        <f t="shared" si="50"/>
        <v>6975.3928204921413</v>
      </c>
      <c r="U73" s="47">
        <f t="shared" si="33"/>
        <v>67776</v>
      </c>
      <c r="V73" s="45">
        <f t="shared" si="51"/>
        <v>53200.531282069373</v>
      </c>
      <c r="W73" s="108">
        <f t="shared" si="52"/>
        <v>6103.4687179306229</v>
      </c>
      <c r="X73" s="46">
        <f t="shared" si="36"/>
        <v>59303.999999999993</v>
      </c>
      <c r="Y73" s="43">
        <f t="shared" si="53"/>
        <v>45600.455384630892</v>
      </c>
      <c r="Z73" s="108">
        <f t="shared" si="54"/>
        <v>5231.5446153691055</v>
      </c>
      <c r="AA73" s="46">
        <f t="shared" si="39"/>
        <v>50832</v>
      </c>
    </row>
    <row r="74" spans="1:27">
      <c r="A74" s="187">
        <v>105</v>
      </c>
      <c r="B74" s="339">
        <v>42095</v>
      </c>
      <c r="C74" s="61">
        <f>VLOOKUP(B74,'base(indices)'!$A$16:$C$183,3,FALSE)</f>
        <v>788</v>
      </c>
      <c r="D74" s="192">
        <f>'base(indices)'!G67</f>
        <v>1.4463962299999999</v>
      </c>
      <c r="E74" s="54">
        <f t="shared" si="56"/>
        <v>1139.7602292399999</v>
      </c>
      <c r="F74" s="82">
        <f>'base(indices)'!I67</f>
        <v>0.59497</v>
      </c>
      <c r="G74" s="54">
        <f t="shared" si="21"/>
        <v>678.12314359092272</v>
      </c>
      <c r="H74" s="267">
        <f t="shared" si="22"/>
        <v>1817.8833728309228</v>
      </c>
      <c r="I74" s="346">
        <f t="shared" si="41"/>
        <v>182540.56534669697</v>
      </c>
      <c r="J74" s="58">
        <f>IF((I74-H$81+(H$81/12*9))+K74&gt;$I$197,$I$197-K74,(I74-H$81+(H$81/12*9)))</f>
        <v>76000.758974384822</v>
      </c>
      <c r="K74" s="91">
        <f t="shared" si="44"/>
        <v>8719.2410256151761</v>
      </c>
      <c r="L74" s="284">
        <f t="shared" si="24"/>
        <v>84720</v>
      </c>
      <c r="M74" s="57">
        <f t="shared" si="45"/>
        <v>72200.721025665582</v>
      </c>
      <c r="N74" s="91">
        <f t="shared" si="46"/>
        <v>8283.2789743344165</v>
      </c>
      <c r="O74" s="60">
        <f t="shared" si="27"/>
        <v>80484</v>
      </c>
      <c r="P74" s="58">
        <f t="shared" si="47"/>
        <v>68400.683076946341</v>
      </c>
      <c r="Q74" s="91">
        <f t="shared" si="48"/>
        <v>7847.3169230536587</v>
      </c>
      <c r="R74" s="59">
        <f t="shared" si="30"/>
        <v>76248</v>
      </c>
      <c r="S74" s="57">
        <f t="shared" si="49"/>
        <v>60800.607179507861</v>
      </c>
      <c r="T74" s="91">
        <f t="shared" si="50"/>
        <v>6975.3928204921413</v>
      </c>
      <c r="U74" s="60">
        <f t="shared" si="33"/>
        <v>67776</v>
      </c>
      <c r="V74" s="58">
        <f t="shared" si="51"/>
        <v>53200.531282069373</v>
      </c>
      <c r="W74" s="91">
        <f t="shared" si="52"/>
        <v>6103.4687179306229</v>
      </c>
      <c r="X74" s="59">
        <f t="shared" si="36"/>
        <v>59303.999999999993</v>
      </c>
      <c r="Y74" s="57">
        <f t="shared" si="53"/>
        <v>45600.455384630892</v>
      </c>
      <c r="Z74" s="91">
        <f t="shared" si="54"/>
        <v>5231.5446153691055</v>
      </c>
      <c r="AA74" s="59">
        <f t="shared" si="39"/>
        <v>50832</v>
      </c>
    </row>
    <row r="75" spans="1:27">
      <c r="A75" s="187">
        <v>104</v>
      </c>
      <c r="B75" s="340">
        <v>42125</v>
      </c>
      <c r="C75" s="61">
        <f>VLOOKUP(B75,'base(indices)'!$A$16:$C$183,3,FALSE)</f>
        <v>788</v>
      </c>
      <c r="D75" s="192">
        <f>'base(indices)'!G68</f>
        <v>1.4310836300000001</v>
      </c>
      <c r="E75" s="63">
        <f t="shared" si="56"/>
        <v>1127.6939004400001</v>
      </c>
      <c r="F75" s="82">
        <f>'base(indices)'!I68</f>
        <v>0.58996999999999999</v>
      </c>
      <c r="G75" s="63">
        <f t="shared" si="21"/>
        <v>665.30557044258683</v>
      </c>
      <c r="H75" s="268">
        <f t="shared" si="22"/>
        <v>1792.999470882587</v>
      </c>
      <c r="I75" s="347">
        <f t="shared" si="41"/>
        <v>180722.68197386604</v>
      </c>
      <c r="J75" s="45">
        <f>IF((I75-H$81+(H$81/12*8))+K75&gt;$I$197,$I$197-K75,(I75-H$81+(H$81/12*8)))</f>
        <v>76000.758974384822</v>
      </c>
      <c r="K75" s="108">
        <f t="shared" si="44"/>
        <v>8719.2410256151761</v>
      </c>
      <c r="L75" s="46">
        <f t="shared" si="24"/>
        <v>84720</v>
      </c>
      <c r="M75" s="43">
        <f t="shared" si="45"/>
        <v>72200.721025665582</v>
      </c>
      <c r="N75" s="108">
        <f t="shared" si="46"/>
        <v>8283.2789743344165</v>
      </c>
      <c r="O75" s="47">
        <f t="shared" si="27"/>
        <v>80484</v>
      </c>
      <c r="P75" s="119">
        <f t="shared" si="47"/>
        <v>68400.683076946341</v>
      </c>
      <c r="Q75" s="108">
        <f t="shared" si="48"/>
        <v>7847.3169230536587</v>
      </c>
      <c r="R75" s="46">
        <f t="shared" si="30"/>
        <v>76248</v>
      </c>
      <c r="S75" s="43">
        <f t="shared" si="49"/>
        <v>60800.607179507861</v>
      </c>
      <c r="T75" s="108">
        <f t="shared" si="50"/>
        <v>6975.3928204921413</v>
      </c>
      <c r="U75" s="47">
        <f t="shared" si="33"/>
        <v>67776</v>
      </c>
      <c r="V75" s="45">
        <f t="shared" si="51"/>
        <v>53200.531282069373</v>
      </c>
      <c r="W75" s="108">
        <f t="shared" si="52"/>
        <v>6103.4687179306229</v>
      </c>
      <c r="X75" s="46">
        <f t="shared" si="36"/>
        <v>59303.999999999993</v>
      </c>
      <c r="Y75" s="43">
        <f t="shared" si="53"/>
        <v>45600.455384630892</v>
      </c>
      <c r="Z75" s="108">
        <f t="shared" si="54"/>
        <v>5231.5446153691055</v>
      </c>
      <c r="AA75" s="46">
        <f t="shared" si="39"/>
        <v>50832</v>
      </c>
    </row>
    <row r="76" spans="1:27">
      <c r="A76" s="187">
        <v>103</v>
      </c>
      <c r="B76" s="339">
        <v>42156</v>
      </c>
      <c r="C76" s="61">
        <f>VLOOKUP(B76,'base(indices)'!$A$16:$C$183,3,FALSE)</f>
        <v>788</v>
      </c>
      <c r="D76" s="192">
        <f>'base(indices)'!G69</f>
        <v>1.4225483400000001</v>
      </c>
      <c r="E76" s="54">
        <f t="shared" si="56"/>
        <v>1120.96809192</v>
      </c>
      <c r="F76" s="82">
        <f>'base(indices)'!I69</f>
        <v>0.58496999999999999</v>
      </c>
      <c r="G76" s="54">
        <f t="shared" si="21"/>
        <v>655.73270473044238</v>
      </c>
      <c r="H76" s="267">
        <f t="shared" si="22"/>
        <v>1776.7007966504425</v>
      </c>
      <c r="I76" s="346">
        <f t="shared" si="41"/>
        <v>178929.68250298346</v>
      </c>
      <c r="J76" s="58">
        <f>IF((I76-H$81+(H$81/12*7))+K76&gt;$I$197,$I$197-K76,(I76-H$81+(H$81/12*7)))</f>
        <v>76000.758974384822</v>
      </c>
      <c r="K76" s="91">
        <f t="shared" si="44"/>
        <v>8719.2410256151761</v>
      </c>
      <c r="L76" s="284">
        <f t="shared" si="24"/>
        <v>84720</v>
      </c>
      <c r="M76" s="57">
        <f t="shared" si="45"/>
        <v>72200.721025665582</v>
      </c>
      <c r="N76" s="91">
        <f t="shared" si="46"/>
        <v>8283.2789743344165</v>
      </c>
      <c r="O76" s="60">
        <f t="shared" si="27"/>
        <v>80484</v>
      </c>
      <c r="P76" s="58">
        <f t="shared" si="47"/>
        <v>68400.683076946341</v>
      </c>
      <c r="Q76" s="91">
        <f t="shared" si="48"/>
        <v>7847.3169230536587</v>
      </c>
      <c r="R76" s="59">
        <f t="shared" si="30"/>
        <v>76248</v>
      </c>
      <c r="S76" s="57">
        <f t="shared" si="49"/>
        <v>60800.607179507861</v>
      </c>
      <c r="T76" s="91">
        <f t="shared" si="50"/>
        <v>6975.3928204921413</v>
      </c>
      <c r="U76" s="60">
        <f t="shared" si="33"/>
        <v>67776</v>
      </c>
      <c r="V76" s="58">
        <f t="shared" si="51"/>
        <v>53200.531282069373</v>
      </c>
      <c r="W76" s="91">
        <f t="shared" si="52"/>
        <v>6103.4687179306229</v>
      </c>
      <c r="X76" s="59">
        <f t="shared" si="36"/>
        <v>59303.999999999993</v>
      </c>
      <c r="Y76" s="57">
        <f t="shared" si="53"/>
        <v>45600.455384630892</v>
      </c>
      <c r="Z76" s="91">
        <f t="shared" si="54"/>
        <v>5231.5446153691055</v>
      </c>
      <c r="AA76" s="59">
        <f t="shared" si="39"/>
        <v>50832</v>
      </c>
    </row>
    <row r="77" spans="1:27">
      <c r="A77" s="187">
        <v>102</v>
      </c>
      <c r="B77" s="340">
        <v>42186</v>
      </c>
      <c r="C77" s="61">
        <f>VLOOKUP(B77,'base(indices)'!$A$16:$C$183,3,FALSE)</f>
        <v>788</v>
      </c>
      <c r="D77" s="192">
        <f>'base(indices)'!G70</f>
        <v>1.4086031699999999</v>
      </c>
      <c r="E77" s="63">
        <f t="shared" si="56"/>
        <v>1109.9792979599999</v>
      </c>
      <c r="F77" s="82">
        <f>'base(indices)'!I70</f>
        <v>0.57996999999999999</v>
      </c>
      <c r="G77" s="63">
        <f t="shared" si="21"/>
        <v>643.75469343786119</v>
      </c>
      <c r="H77" s="268">
        <f t="shared" si="22"/>
        <v>1753.7339913978612</v>
      </c>
      <c r="I77" s="347">
        <f t="shared" si="41"/>
        <v>177152.98170633303</v>
      </c>
      <c r="J77" s="45">
        <f>IF((I77-H$81+(H$81/12*6))+K77&gt;$I$197,$I$197-K77,(I77-H$81+(H$81/12*6)))</f>
        <v>76000.758974384822</v>
      </c>
      <c r="K77" s="108">
        <f t="shared" si="44"/>
        <v>8719.2410256151761</v>
      </c>
      <c r="L77" s="46">
        <f t="shared" si="24"/>
        <v>84720</v>
      </c>
      <c r="M77" s="43">
        <f t="shared" si="45"/>
        <v>72200.721025665582</v>
      </c>
      <c r="N77" s="108">
        <f t="shared" si="46"/>
        <v>8283.2789743344165</v>
      </c>
      <c r="O77" s="47">
        <f t="shared" si="27"/>
        <v>80484</v>
      </c>
      <c r="P77" s="119">
        <f t="shared" si="47"/>
        <v>68400.683076946341</v>
      </c>
      <c r="Q77" s="108">
        <f t="shared" si="48"/>
        <v>7847.3169230536587</v>
      </c>
      <c r="R77" s="46">
        <f t="shared" si="30"/>
        <v>76248</v>
      </c>
      <c r="S77" s="43">
        <f t="shared" si="49"/>
        <v>60800.607179507861</v>
      </c>
      <c r="T77" s="108">
        <f t="shared" si="50"/>
        <v>6975.3928204921413</v>
      </c>
      <c r="U77" s="47">
        <f t="shared" si="33"/>
        <v>67776</v>
      </c>
      <c r="V77" s="45">
        <f t="shared" si="51"/>
        <v>53200.531282069373</v>
      </c>
      <c r="W77" s="108">
        <f t="shared" si="52"/>
        <v>6103.4687179306229</v>
      </c>
      <c r="X77" s="46">
        <f t="shared" si="36"/>
        <v>59303.999999999993</v>
      </c>
      <c r="Y77" s="43">
        <f t="shared" si="53"/>
        <v>45600.455384630892</v>
      </c>
      <c r="Z77" s="108">
        <f t="shared" si="54"/>
        <v>5231.5446153691055</v>
      </c>
      <c r="AA77" s="46">
        <f t="shared" si="39"/>
        <v>50832</v>
      </c>
    </row>
    <row r="78" spans="1:27">
      <c r="A78" s="187">
        <v>101</v>
      </c>
      <c r="B78" s="339">
        <v>42217</v>
      </c>
      <c r="C78" s="61">
        <f>VLOOKUP(B78,'base(indices)'!$A$16:$C$183,3,FALSE)</f>
        <v>788</v>
      </c>
      <c r="D78" s="192">
        <f>'base(indices)'!G71</f>
        <v>1.40034116</v>
      </c>
      <c r="E78" s="54">
        <f t="shared" si="56"/>
        <v>1103.4688340800001</v>
      </c>
      <c r="F78" s="82">
        <f>'base(indices)'!I71</f>
        <v>0.57496999999999998</v>
      </c>
      <c r="G78" s="54">
        <f t="shared" si="21"/>
        <v>634.46147553097762</v>
      </c>
      <c r="H78" s="267">
        <f t="shared" si="22"/>
        <v>1737.9303096109777</v>
      </c>
      <c r="I78" s="346">
        <f t="shared" si="41"/>
        <v>175399.24771493516</v>
      </c>
      <c r="J78" s="58">
        <f>IF((I78-H$81+(H$81/12*5))+K78&gt;$I$197,$I$197-K78,(I78-H$81+(H$81/12*5)))</f>
        <v>76000.758974384822</v>
      </c>
      <c r="K78" s="91">
        <f t="shared" si="44"/>
        <v>8719.2410256151761</v>
      </c>
      <c r="L78" s="284">
        <f t="shared" si="24"/>
        <v>84720</v>
      </c>
      <c r="M78" s="57">
        <f t="shared" si="45"/>
        <v>72200.721025665582</v>
      </c>
      <c r="N78" s="91">
        <f t="shared" si="46"/>
        <v>8283.2789743344165</v>
      </c>
      <c r="O78" s="60">
        <f t="shared" si="27"/>
        <v>80484</v>
      </c>
      <c r="P78" s="58">
        <f t="shared" si="47"/>
        <v>68400.683076946341</v>
      </c>
      <c r="Q78" s="91">
        <f t="shared" si="48"/>
        <v>7847.3169230536587</v>
      </c>
      <c r="R78" s="59">
        <f t="shared" si="30"/>
        <v>76248</v>
      </c>
      <c r="S78" s="57">
        <f t="shared" si="49"/>
        <v>60800.607179507861</v>
      </c>
      <c r="T78" s="91">
        <f t="shared" si="50"/>
        <v>6975.3928204921413</v>
      </c>
      <c r="U78" s="60">
        <f t="shared" si="33"/>
        <v>67776</v>
      </c>
      <c r="V78" s="58">
        <f t="shared" si="51"/>
        <v>53200.531282069373</v>
      </c>
      <c r="W78" s="91">
        <f t="shared" si="52"/>
        <v>6103.4687179306229</v>
      </c>
      <c r="X78" s="59">
        <f t="shared" si="36"/>
        <v>59303.999999999993</v>
      </c>
      <c r="Y78" s="57">
        <f t="shared" si="53"/>
        <v>45600.455384630892</v>
      </c>
      <c r="Z78" s="91">
        <f t="shared" si="54"/>
        <v>5231.5446153691055</v>
      </c>
      <c r="AA78" s="59">
        <f t="shared" si="39"/>
        <v>50832</v>
      </c>
    </row>
    <row r="79" spans="1:27">
      <c r="A79" s="187">
        <v>100</v>
      </c>
      <c r="B79" s="340">
        <v>42248</v>
      </c>
      <c r="C79" s="61">
        <f>VLOOKUP(B79,'base(indices)'!$A$16:$C$183,3,FALSE)</f>
        <v>788</v>
      </c>
      <c r="D79" s="192">
        <f>'base(indices)'!G72</f>
        <v>1.39434547</v>
      </c>
      <c r="E79" s="63">
        <f t="shared" si="56"/>
        <v>1098.7442303600001</v>
      </c>
      <c r="F79" s="82">
        <f>'base(indices)'!I72</f>
        <v>0.56996999999999998</v>
      </c>
      <c r="G79" s="63">
        <f t="shared" si="21"/>
        <v>626.25124897828925</v>
      </c>
      <c r="H79" s="268">
        <f t="shared" si="22"/>
        <v>1724.9954793382894</v>
      </c>
      <c r="I79" s="347">
        <f t="shared" si="41"/>
        <v>173661.3174053242</v>
      </c>
      <c r="J79" s="45">
        <f>IF((I79-H$81+(H$81/12*4))+K79&gt;$I$197,$I$197-K79,(I79-H$81+(H$81/12*4)))</f>
        <v>76000.758974384822</v>
      </c>
      <c r="K79" s="108">
        <f t="shared" si="44"/>
        <v>8719.2410256151761</v>
      </c>
      <c r="L79" s="46">
        <f t="shared" si="24"/>
        <v>84720</v>
      </c>
      <c r="M79" s="43">
        <f t="shared" si="45"/>
        <v>72200.721025665582</v>
      </c>
      <c r="N79" s="108">
        <f t="shared" si="46"/>
        <v>8283.2789743344165</v>
      </c>
      <c r="O79" s="47">
        <f t="shared" si="27"/>
        <v>80484</v>
      </c>
      <c r="P79" s="119">
        <f t="shared" si="47"/>
        <v>68400.683076946341</v>
      </c>
      <c r="Q79" s="108">
        <f t="shared" si="48"/>
        <v>7847.3169230536587</v>
      </c>
      <c r="R79" s="46">
        <f t="shared" si="30"/>
        <v>76248</v>
      </c>
      <c r="S79" s="43">
        <f t="shared" si="49"/>
        <v>60800.607179507861</v>
      </c>
      <c r="T79" s="108">
        <f t="shared" si="50"/>
        <v>6975.3928204921413</v>
      </c>
      <c r="U79" s="47">
        <f t="shared" si="33"/>
        <v>67776</v>
      </c>
      <c r="V79" s="45">
        <f t="shared" si="51"/>
        <v>53200.531282069373</v>
      </c>
      <c r="W79" s="108">
        <f t="shared" si="52"/>
        <v>6103.4687179306229</v>
      </c>
      <c r="X79" s="46">
        <f t="shared" si="36"/>
        <v>59303.999999999993</v>
      </c>
      <c r="Y79" s="43">
        <f t="shared" si="53"/>
        <v>45600.455384630892</v>
      </c>
      <c r="Z79" s="108">
        <f t="shared" si="54"/>
        <v>5231.5446153691055</v>
      </c>
      <c r="AA79" s="46">
        <f t="shared" si="39"/>
        <v>50832</v>
      </c>
    </row>
    <row r="80" spans="1:27">
      <c r="A80" s="187">
        <v>99</v>
      </c>
      <c r="B80" s="339">
        <v>42278</v>
      </c>
      <c r="C80" s="61">
        <f>VLOOKUP(B80,'base(indices)'!$A$16:$C$183,3,FALSE)</f>
        <v>788</v>
      </c>
      <c r="D80" s="192">
        <f>'base(indices)'!G73</f>
        <v>1.38892865</v>
      </c>
      <c r="E80" s="54">
        <f t="shared" si="56"/>
        <v>1094.4757761999999</v>
      </c>
      <c r="F80" s="82">
        <f>'base(indices)'!I73</f>
        <v>0.56496999999999997</v>
      </c>
      <c r="G80" s="54">
        <f t="shared" si="21"/>
        <v>618.3459792797139</v>
      </c>
      <c r="H80" s="267">
        <f t="shared" si="22"/>
        <v>1712.8217554797138</v>
      </c>
      <c r="I80" s="346">
        <f t="shared" si="41"/>
        <v>171936.32192598592</v>
      </c>
      <c r="J80" s="58">
        <f>IF((I80-H$81+(H$81/12*3))+K80&gt;$I$197,$I$197-K80,(I80-H$81+(H$81/12*3)))</f>
        <v>76000.758974384822</v>
      </c>
      <c r="K80" s="91">
        <f t="shared" si="44"/>
        <v>8719.2410256151761</v>
      </c>
      <c r="L80" s="284">
        <f t="shared" si="24"/>
        <v>84720</v>
      </c>
      <c r="M80" s="57">
        <f t="shared" si="45"/>
        <v>72200.721025665582</v>
      </c>
      <c r="N80" s="91">
        <f t="shared" si="46"/>
        <v>8283.2789743344165</v>
      </c>
      <c r="O80" s="60">
        <f t="shared" si="27"/>
        <v>80484</v>
      </c>
      <c r="P80" s="58">
        <f t="shared" si="47"/>
        <v>68400.683076946341</v>
      </c>
      <c r="Q80" s="91">
        <f t="shared" si="48"/>
        <v>7847.3169230536587</v>
      </c>
      <c r="R80" s="59">
        <f t="shared" si="30"/>
        <v>76248</v>
      </c>
      <c r="S80" s="57">
        <f t="shared" si="49"/>
        <v>60800.607179507861</v>
      </c>
      <c r="T80" s="91">
        <f t="shared" si="50"/>
        <v>6975.3928204921413</v>
      </c>
      <c r="U80" s="60">
        <f t="shared" si="33"/>
        <v>67776</v>
      </c>
      <c r="V80" s="58">
        <f t="shared" si="51"/>
        <v>53200.531282069373</v>
      </c>
      <c r="W80" s="91">
        <f t="shared" si="52"/>
        <v>6103.4687179306229</v>
      </c>
      <c r="X80" s="59">
        <f t="shared" si="36"/>
        <v>59303.999999999993</v>
      </c>
      <c r="Y80" s="57">
        <f t="shared" si="53"/>
        <v>45600.455384630892</v>
      </c>
      <c r="Z80" s="91">
        <f t="shared" si="54"/>
        <v>5231.5446153691055</v>
      </c>
      <c r="AA80" s="59">
        <f t="shared" si="39"/>
        <v>50832</v>
      </c>
    </row>
    <row r="81" spans="1:35">
      <c r="A81" s="187">
        <v>98</v>
      </c>
      <c r="B81" s="340">
        <v>42309</v>
      </c>
      <c r="C81" s="61">
        <f>VLOOKUP(B81,'base(indices)'!$A$16:$C$183,3,FALSE)</f>
        <v>788</v>
      </c>
      <c r="D81" s="192">
        <f>'base(indices)'!G74</f>
        <v>1.37982183</v>
      </c>
      <c r="E81" s="63">
        <f t="shared" si="56"/>
        <v>1087.2996020400001</v>
      </c>
      <c r="F81" s="82">
        <f>'base(indices)'!I74</f>
        <v>0.55996999999999997</v>
      </c>
      <c r="G81" s="63">
        <f t="shared" si="21"/>
        <v>608.85515815433882</v>
      </c>
      <c r="H81" s="268">
        <f t="shared" si="22"/>
        <v>1696.1547601943389</v>
      </c>
      <c r="I81" s="347">
        <f t="shared" si="41"/>
        <v>170223.50017050622</v>
      </c>
      <c r="J81" s="45">
        <f>IF((I81-H$81+(H$81/12*2))+K81&gt;$I$197,$I$197-K81,(I81-H$81+(H$81/12*2)))</f>
        <v>76000.758974384822</v>
      </c>
      <c r="K81" s="108">
        <f t="shared" si="44"/>
        <v>8719.2410256151761</v>
      </c>
      <c r="L81" s="46">
        <f t="shared" si="24"/>
        <v>84720</v>
      </c>
      <c r="M81" s="43">
        <f t="shared" si="45"/>
        <v>72200.721025665582</v>
      </c>
      <c r="N81" s="108">
        <f t="shared" si="46"/>
        <v>8283.2789743344165</v>
      </c>
      <c r="O81" s="47">
        <f t="shared" si="27"/>
        <v>80484</v>
      </c>
      <c r="P81" s="119">
        <f t="shared" si="47"/>
        <v>68400.683076946341</v>
      </c>
      <c r="Q81" s="108">
        <f t="shared" si="48"/>
        <v>7847.3169230536587</v>
      </c>
      <c r="R81" s="46">
        <f t="shared" si="30"/>
        <v>76248</v>
      </c>
      <c r="S81" s="43">
        <f t="shared" si="49"/>
        <v>60800.607179507861</v>
      </c>
      <c r="T81" s="108">
        <f t="shared" si="50"/>
        <v>6975.3928204921413</v>
      </c>
      <c r="U81" s="47">
        <f t="shared" si="33"/>
        <v>67776</v>
      </c>
      <c r="V81" s="45">
        <f t="shared" si="51"/>
        <v>53200.531282069373</v>
      </c>
      <c r="W81" s="108">
        <f t="shared" si="52"/>
        <v>6103.4687179306229</v>
      </c>
      <c r="X81" s="46">
        <f t="shared" si="36"/>
        <v>59303.999999999993</v>
      </c>
      <c r="Y81" s="43">
        <f t="shared" si="53"/>
        <v>45600.455384630892</v>
      </c>
      <c r="Z81" s="108">
        <f t="shared" si="54"/>
        <v>5231.5446153691055</v>
      </c>
      <c r="AA81" s="46">
        <f t="shared" si="39"/>
        <v>50832</v>
      </c>
    </row>
    <row r="82" spans="1:35" ht="13.5" thickBot="1">
      <c r="A82" s="305">
        <v>97</v>
      </c>
      <c r="B82" s="341">
        <v>42339</v>
      </c>
      <c r="C82" s="69">
        <f>VLOOKUP(B82,'base(indices)'!$A$16:$C$183,3,FALSE)*2</f>
        <v>1576</v>
      </c>
      <c r="D82" s="335">
        <f>'base(indices)'!G75</f>
        <v>1.36819219</v>
      </c>
      <c r="E82" s="163">
        <f t="shared" si="56"/>
        <v>2156.27089144</v>
      </c>
      <c r="F82" s="304">
        <f>'base(indices)'!I75</f>
        <v>0.55496999999999996</v>
      </c>
      <c r="G82" s="163">
        <f t="shared" si="21"/>
        <v>1196.6656566224567</v>
      </c>
      <c r="H82" s="355">
        <f t="shared" si="22"/>
        <v>3352.9365480624565</v>
      </c>
      <c r="I82" s="348">
        <f t="shared" si="41"/>
        <v>168527.34541031189</v>
      </c>
      <c r="J82" s="285">
        <f>IF((I82-H$81+(H$81/12*1))+K82&gt;$I$197,$I$197-K82,(I82-H$81+(H$81/12*1)))</f>
        <v>76000.758974384822</v>
      </c>
      <c r="K82" s="202">
        <f t="shared" si="44"/>
        <v>8719.2410256151761</v>
      </c>
      <c r="L82" s="286">
        <f t="shared" si="24"/>
        <v>84720</v>
      </c>
      <c r="M82" s="282">
        <f t="shared" si="45"/>
        <v>72200.721025665582</v>
      </c>
      <c r="N82" s="202">
        <f t="shared" si="46"/>
        <v>8283.2789743344165</v>
      </c>
      <c r="O82" s="289">
        <f t="shared" si="27"/>
        <v>80484</v>
      </c>
      <c r="P82" s="285">
        <f t="shared" si="47"/>
        <v>68400.683076946341</v>
      </c>
      <c r="Q82" s="202">
        <f t="shared" si="48"/>
        <v>7847.3169230536587</v>
      </c>
      <c r="R82" s="203">
        <f t="shared" si="30"/>
        <v>76248</v>
      </c>
      <c r="S82" s="282">
        <f t="shared" si="49"/>
        <v>60800.607179507861</v>
      </c>
      <c r="T82" s="202">
        <f t="shared" si="50"/>
        <v>6975.3928204921413</v>
      </c>
      <c r="U82" s="289">
        <f t="shared" si="33"/>
        <v>67776</v>
      </c>
      <c r="V82" s="285">
        <f t="shared" si="51"/>
        <v>53200.531282069373</v>
      </c>
      <c r="W82" s="202">
        <f t="shared" si="52"/>
        <v>6103.4687179306229</v>
      </c>
      <c r="X82" s="203">
        <f t="shared" si="36"/>
        <v>59303.999999999993</v>
      </c>
      <c r="Y82" s="282">
        <f t="shared" si="53"/>
        <v>45600.455384630892</v>
      </c>
      <c r="Z82" s="202">
        <f t="shared" si="54"/>
        <v>5231.5446153691055</v>
      </c>
      <c r="AA82" s="203">
        <f t="shared" si="39"/>
        <v>50832</v>
      </c>
    </row>
    <row r="83" spans="1:35">
      <c r="A83" s="158">
        <v>96</v>
      </c>
      <c r="B83" s="246">
        <v>42370</v>
      </c>
      <c r="C83" s="41">
        <f>VLOOKUP(B83,'base(indices)'!$A$16:$C$183,3,FALSE)</f>
        <v>880</v>
      </c>
      <c r="D83" s="193">
        <f>'base(indices)'!G76</f>
        <v>1.35223581</v>
      </c>
      <c r="E83" s="78">
        <f>C83*D83</f>
        <v>1189.9675128000001</v>
      </c>
      <c r="F83" s="79">
        <f>'base(indices)'!I76</f>
        <v>0.54996999999999996</v>
      </c>
      <c r="G83" s="78">
        <f t="shared" si="21"/>
        <v>654.44643301461599</v>
      </c>
      <c r="H83" s="266">
        <f t="shared" si="22"/>
        <v>1844.413945814616</v>
      </c>
      <c r="I83" s="345">
        <f t="shared" si="41"/>
        <v>165174.40886224943</v>
      </c>
      <c r="J83" s="48">
        <f>IF((I83-H$93+(H$93))+K83&gt;$I$197,$I$197-K83,(I83-H$93+(H$93)))</f>
        <v>76000.758974384822</v>
      </c>
      <c r="K83" s="109">
        <f t="shared" si="44"/>
        <v>8719.2410256151761</v>
      </c>
      <c r="L83" s="49">
        <f>J83+K83</f>
        <v>84720</v>
      </c>
      <c r="M83" s="138">
        <f t="shared" si="45"/>
        <v>72200.721025665582</v>
      </c>
      <c r="N83" s="109">
        <f t="shared" si="46"/>
        <v>8283.2789743344165</v>
      </c>
      <c r="O83" s="139">
        <f>M83+N83</f>
        <v>80484</v>
      </c>
      <c r="P83" s="291">
        <f t="shared" si="47"/>
        <v>68400.683076946341</v>
      </c>
      <c r="Q83" s="109">
        <f t="shared" si="48"/>
        <v>7847.3169230536587</v>
      </c>
      <c r="R83" s="49">
        <f>P83+Q83</f>
        <v>76248</v>
      </c>
      <c r="S83" s="138">
        <f t="shared" si="49"/>
        <v>60800.607179507861</v>
      </c>
      <c r="T83" s="109">
        <f t="shared" si="50"/>
        <v>6975.3928204921413</v>
      </c>
      <c r="U83" s="139">
        <f>S83+T83</f>
        <v>67776</v>
      </c>
      <c r="V83" s="48">
        <f t="shared" si="51"/>
        <v>53200.531282069373</v>
      </c>
      <c r="W83" s="109">
        <f t="shared" si="52"/>
        <v>6103.4687179306229</v>
      </c>
      <c r="X83" s="49">
        <f>V83+W83</f>
        <v>59303.999999999993</v>
      </c>
      <c r="Y83" s="138">
        <f t="shared" si="53"/>
        <v>45600.455384630892</v>
      </c>
      <c r="Z83" s="109">
        <f t="shared" si="54"/>
        <v>5231.5446153691055</v>
      </c>
      <c r="AA83" s="49">
        <f>Y83+Z83</f>
        <v>50832</v>
      </c>
    </row>
    <row r="84" spans="1:35">
      <c r="A84" s="105">
        <v>95</v>
      </c>
      <c r="B84" s="50">
        <v>42401</v>
      </c>
      <c r="C84" s="61">
        <f>VLOOKUP(B84,'base(indices)'!$A$16:$C$183,3,FALSE)</f>
        <v>880</v>
      </c>
      <c r="D84" s="192">
        <f>'base(indices)'!G77</f>
        <v>1.3399086499999999</v>
      </c>
      <c r="E84" s="54">
        <f t="shared" ref="E84:E94" si="57">C84*D84</f>
        <v>1179.119612</v>
      </c>
      <c r="F84" s="82">
        <f>'base(indices)'!I77</f>
        <v>0.54496999999999995</v>
      </c>
      <c r="G84" s="54">
        <f t="shared" si="21"/>
        <v>642.58481495163994</v>
      </c>
      <c r="H84" s="267">
        <f t="shared" si="22"/>
        <v>1821.70442695164</v>
      </c>
      <c r="I84" s="346">
        <f t="shared" si="41"/>
        <v>163329.99491643481</v>
      </c>
      <c r="J84" s="58">
        <f>IF((I84-H$93+(H$93/12*11))+K84&gt;$I$197,$I$197-K84,(I84-H$93+(H$93/12*11)))</f>
        <v>76000.758974384822</v>
      </c>
      <c r="K84" s="91">
        <f t="shared" si="44"/>
        <v>8719.2410256151761</v>
      </c>
      <c r="L84" s="284">
        <f t="shared" ref="L84:L94" si="58">J84+K84</f>
        <v>84720</v>
      </c>
      <c r="M84" s="57">
        <f t="shared" ref="M84:M94" si="59">J84*M$9</f>
        <v>72200.721025665582</v>
      </c>
      <c r="N84" s="91">
        <f t="shared" ref="N84:N94" si="60">K84*M$9</f>
        <v>8283.2789743344165</v>
      </c>
      <c r="O84" s="60">
        <f t="shared" ref="O84:O94" si="61">M84+N84</f>
        <v>80484</v>
      </c>
      <c r="P84" s="58">
        <f t="shared" ref="P84:P85" si="62">J84*$P$9</f>
        <v>68400.683076946341</v>
      </c>
      <c r="Q84" s="91">
        <f t="shared" ref="Q84:Q94" si="63">K84*P$9</f>
        <v>7847.3169230536587</v>
      </c>
      <c r="R84" s="59">
        <f t="shared" ref="R84:R89" si="64">P84+Q84</f>
        <v>76248</v>
      </c>
      <c r="S84" s="57">
        <f t="shared" ref="S84:S94" si="65">J84*S$9</f>
        <v>60800.607179507861</v>
      </c>
      <c r="T84" s="91">
        <f t="shared" ref="T84:T94" si="66">K84*S$9</f>
        <v>6975.3928204921413</v>
      </c>
      <c r="U84" s="60">
        <f t="shared" ref="U84:U94" si="67">S84+T84</f>
        <v>67776</v>
      </c>
      <c r="V84" s="58">
        <f t="shared" ref="V84:V94" si="68">J84*V$9</f>
        <v>53200.531282069373</v>
      </c>
      <c r="W84" s="91">
        <f t="shared" ref="W84:W94" si="69">K84*V$9</f>
        <v>6103.4687179306229</v>
      </c>
      <c r="X84" s="59">
        <f t="shared" ref="X84:X94" si="70">V84+W84</f>
        <v>59303.999999999993</v>
      </c>
      <c r="Y84" s="57">
        <f t="shared" ref="Y84:Y94" si="71">J84*Y$9</f>
        <v>45600.455384630892</v>
      </c>
      <c r="Z84" s="91">
        <f t="shared" ref="Z84:Z94" si="72">K84*Y$9</f>
        <v>5231.5446153691055</v>
      </c>
      <c r="AA84" s="59">
        <f t="shared" ref="AA84:AA94" si="73">Y84+Z84</f>
        <v>50832</v>
      </c>
    </row>
    <row r="85" spans="1:35">
      <c r="A85" s="105">
        <v>94</v>
      </c>
      <c r="B85" s="50">
        <v>42430</v>
      </c>
      <c r="C85" s="61">
        <f>VLOOKUP(B85,'base(indices)'!$A$16:$C$183,3,FALSE)</f>
        <v>880</v>
      </c>
      <c r="D85" s="192">
        <f>'base(indices)'!G78</f>
        <v>1.3211483399999999</v>
      </c>
      <c r="E85" s="63">
        <f t="shared" si="57"/>
        <v>1162.6105391999999</v>
      </c>
      <c r="F85" s="82">
        <f>'base(indices)'!I78</f>
        <v>0.53996999999999995</v>
      </c>
      <c r="G85" s="63">
        <f t="shared" si="21"/>
        <v>627.77481285182387</v>
      </c>
      <c r="H85" s="268">
        <f t="shared" si="22"/>
        <v>1790.3853520518237</v>
      </c>
      <c r="I85" s="347">
        <f t="shared" si="41"/>
        <v>161508.29048948316</v>
      </c>
      <c r="J85" s="45">
        <f>IF((I85-H$93+(H$93/12*10))+K85&gt;$I$197,$I$197-K85,(I85-H$93+(H$93/12*10)))</f>
        <v>76000.758974384822</v>
      </c>
      <c r="K85" s="108">
        <f t="shared" si="44"/>
        <v>8719.2410256151761</v>
      </c>
      <c r="L85" s="46">
        <f t="shared" si="58"/>
        <v>84720</v>
      </c>
      <c r="M85" s="43">
        <f t="shared" si="59"/>
        <v>72200.721025665582</v>
      </c>
      <c r="N85" s="108">
        <f t="shared" si="60"/>
        <v>8283.2789743344165</v>
      </c>
      <c r="O85" s="47">
        <f t="shared" si="61"/>
        <v>80484</v>
      </c>
      <c r="P85" s="119">
        <f t="shared" si="62"/>
        <v>68400.683076946341</v>
      </c>
      <c r="Q85" s="108">
        <f t="shared" si="63"/>
        <v>7847.3169230536587</v>
      </c>
      <c r="R85" s="46">
        <f t="shared" si="64"/>
        <v>76248</v>
      </c>
      <c r="S85" s="43">
        <f t="shared" si="65"/>
        <v>60800.607179507861</v>
      </c>
      <c r="T85" s="108">
        <f t="shared" si="66"/>
        <v>6975.3928204921413</v>
      </c>
      <c r="U85" s="47">
        <f t="shared" si="67"/>
        <v>67776</v>
      </c>
      <c r="V85" s="45">
        <f t="shared" si="68"/>
        <v>53200.531282069373</v>
      </c>
      <c r="W85" s="108">
        <f t="shared" si="69"/>
        <v>6103.4687179306229</v>
      </c>
      <c r="X85" s="46">
        <f t="shared" si="70"/>
        <v>59303.999999999993</v>
      </c>
      <c r="Y85" s="43">
        <f t="shared" si="71"/>
        <v>45600.455384630892</v>
      </c>
      <c r="Z85" s="108">
        <f t="shared" si="72"/>
        <v>5231.5446153691055</v>
      </c>
      <c r="AA85" s="46">
        <f t="shared" si="73"/>
        <v>50832</v>
      </c>
    </row>
    <row r="86" spans="1:35">
      <c r="A86" s="105">
        <v>93</v>
      </c>
      <c r="B86" s="50">
        <v>42461</v>
      </c>
      <c r="C86" s="61">
        <f>VLOOKUP(B86,'base(indices)'!$A$16:$C$183,3,FALSE)</f>
        <v>880</v>
      </c>
      <c r="D86" s="192">
        <f>'base(indices)'!G79</f>
        <v>1.31549173</v>
      </c>
      <c r="E86" s="54">
        <f t="shared" si="57"/>
        <v>1157.6327223999999</v>
      </c>
      <c r="F86" s="82">
        <f>'base(indices)'!I79</f>
        <v>0.53496999999999995</v>
      </c>
      <c r="G86" s="54">
        <f t="shared" si="21"/>
        <v>619.29877750232788</v>
      </c>
      <c r="H86" s="267">
        <f t="shared" si="22"/>
        <v>1776.9314999023277</v>
      </c>
      <c r="I86" s="346">
        <f t="shared" si="41"/>
        <v>159717.90513743134</v>
      </c>
      <c r="J86" s="58">
        <f>IF((I86-H$93+(H$93/12*9))+K86&gt;$I$197,$I$197-K86,(I86-H$93+(H$93/12*9)))</f>
        <v>76000.758974384822</v>
      </c>
      <c r="K86" s="91">
        <f t="shared" si="44"/>
        <v>8719.2410256151761</v>
      </c>
      <c r="L86" s="284">
        <f t="shared" si="58"/>
        <v>84720</v>
      </c>
      <c r="M86" s="57">
        <f t="shared" si="59"/>
        <v>72200.721025665582</v>
      </c>
      <c r="N86" s="91">
        <f t="shared" si="60"/>
        <v>8283.2789743344165</v>
      </c>
      <c r="O86" s="60">
        <f t="shared" si="61"/>
        <v>80484</v>
      </c>
      <c r="P86" s="58">
        <f>J86*$P$9</f>
        <v>68400.683076946341</v>
      </c>
      <c r="Q86" s="91">
        <f t="shared" si="63"/>
        <v>7847.3169230536587</v>
      </c>
      <c r="R86" s="59">
        <f t="shared" si="64"/>
        <v>76248</v>
      </c>
      <c r="S86" s="57">
        <f t="shared" si="65"/>
        <v>60800.607179507861</v>
      </c>
      <c r="T86" s="91">
        <f t="shared" si="66"/>
        <v>6975.3928204921413</v>
      </c>
      <c r="U86" s="60">
        <f t="shared" si="67"/>
        <v>67776</v>
      </c>
      <c r="V86" s="58">
        <f t="shared" si="68"/>
        <v>53200.531282069373</v>
      </c>
      <c r="W86" s="91">
        <f t="shared" si="69"/>
        <v>6103.4687179306229</v>
      </c>
      <c r="X86" s="59">
        <f t="shared" si="70"/>
        <v>59303.999999999993</v>
      </c>
      <c r="Y86" s="57">
        <f t="shared" si="71"/>
        <v>45600.455384630892</v>
      </c>
      <c r="Z86" s="91">
        <f t="shared" si="72"/>
        <v>5231.5446153691055</v>
      </c>
      <c r="AA86" s="59">
        <f t="shared" si="73"/>
        <v>50832</v>
      </c>
    </row>
    <row r="87" spans="1:35">
      <c r="A87" s="105">
        <v>92</v>
      </c>
      <c r="B87" s="50">
        <v>42491</v>
      </c>
      <c r="C87" s="61">
        <f>VLOOKUP(B87,'base(indices)'!$A$16:$C$183,3,FALSE)</f>
        <v>880</v>
      </c>
      <c r="D87" s="192">
        <f>'base(indices)'!G80</f>
        <v>1.30881676</v>
      </c>
      <c r="E87" s="63">
        <f t="shared" si="57"/>
        <v>1151.7587487999999</v>
      </c>
      <c r="F87" s="82">
        <f>'base(indices)'!I80</f>
        <v>0.52997000000000005</v>
      </c>
      <c r="G87" s="63">
        <f t="shared" ref="G87:G150" si="74">E87*F87</f>
        <v>610.39758410153604</v>
      </c>
      <c r="H87" s="268">
        <f t="shared" ref="H87:H150" si="75">E87+G87</f>
        <v>1762.156332901536</v>
      </c>
      <c r="I87" s="347">
        <f t="shared" si="41"/>
        <v>157940.97363752901</v>
      </c>
      <c r="J87" s="45">
        <f>IF((I87-H$93+(H$93/12*8))+K87&gt;$I$197,$I$197-K87,(I87-H$93+(H$93/12*8)))</f>
        <v>76000.758974384822</v>
      </c>
      <c r="K87" s="108">
        <f t="shared" ref="K87:K122" si="76">I$196</f>
        <v>8719.2410256151761</v>
      </c>
      <c r="L87" s="46">
        <f t="shared" si="58"/>
        <v>84720</v>
      </c>
      <c r="M87" s="43">
        <f t="shared" si="59"/>
        <v>72200.721025665582</v>
      </c>
      <c r="N87" s="108">
        <f t="shared" si="60"/>
        <v>8283.2789743344165</v>
      </c>
      <c r="O87" s="47">
        <f t="shared" si="61"/>
        <v>80484</v>
      </c>
      <c r="P87" s="119">
        <f>J87*$P$9</f>
        <v>68400.683076946341</v>
      </c>
      <c r="Q87" s="108">
        <f t="shared" si="63"/>
        <v>7847.3169230536587</v>
      </c>
      <c r="R87" s="46">
        <f t="shared" si="64"/>
        <v>76248</v>
      </c>
      <c r="S87" s="43">
        <f t="shared" si="65"/>
        <v>60800.607179507861</v>
      </c>
      <c r="T87" s="108">
        <f t="shared" si="66"/>
        <v>6975.3928204921413</v>
      </c>
      <c r="U87" s="47">
        <f t="shared" si="67"/>
        <v>67776</v>
      </c>
      <c r="V87" s="45">
        <f t="shared" si="68"/>
        <v>53200.531282069373</v>
      </c>
      <c r="W87" s="108">
        <f t="shared" si="69"/>
        <v>6103.4687179306229</v>
      </c>
      <c r="X87" s="46">
        <f t="shared" si="70"/>
        <v>59303.999999999993</v>
      </c>
      <c r="Y87" s="43">
        <f t="shared" si="71"/>
        <v>45600.455384630892</v>
      </c>
      <c r="Z87" s="108">
        <f t="shared" si="72"/>
        <v>5231.5446153691055</v>
      </c>
      <c r="AA87" s="46">
        <f t="shared" si="73"/>
        <v>50832</v>
      </c>
    </row>
    <row r="88" spans="1:35">
      <c r="A88" s="105">
        <v>91</v>
      </c>
      <c r="B88" s="50">
        <v>42522</v>
      </c>
      <c r="C88" s="61">
        <f>VLOOKUP(B88,'base(indices)'!$A$16:$C$183,3,FALSE)</f>
        <v>880</v>
      </c>
      <c r="D88" s="192">
        <f>'base(indices)'!G81</f>
        <v>1.2976569099999999</v>
      </c>
      <c r="E88" s="54">
        <f t="shared" si="57"/>
        <v>1141.9380807999999</v>
      </c>
      <c r="F88" s="82">
        <f>'base(indices)'!I81</f>
        <v>0.52497000000000005</v>
      </c>
      <c r="G88" s="54">
        <f t="shared" si="74"/>
        <v>599.483234277576</v>
      </c>
      <c r="H88" s="267">
        <f t="shared" si="75"/>
        <v>1741.4213150775759</v>
      </c>
      <c r="I88" s="346">
        <f t="shared" ref="I88:I95" si="77">I87-H87</f>
        <v>156178.81730462748</v>
      </c>
      <c r="J88" s="58">
        <f>IF((I88-H$93+(H$93/12*7))+K88&gt;$I$197,$I$197-K88,(I88-H$93+(H$93/12*7)))</f>
        <v>76000.758974384822</v>
      </c>
      <c r="K88" s="91">
        <f t="shared" si="76"/>
        <v>8719.2410256151761</v>
      </c>
      <c r="L88" s="284">
        <f t="shared" si="58"/>
        <v>84720</v>
      </c>
      <c r="M88" s="57">
        <f t="shared" si="59"/>
        <v>72200.721025665582</v>
      </c>
      <c r="N88" s="91">
        <f t="shared" si="60"/>
        <v>8283.2789743344165</v>
      </c>
      <c r="O88" s="60">
        <f t="shared" si="61"/>
        <v>80484</v>
      </c>
      <c r="P88" s="58">
        <f t="shared" ref="P88:P94" si="78">J88*$P$9</f>
        <v>68400.683076946341</v>
      </c>
      <c r="Q88" s="91">
        <f t="shared" si="63"/>
        <v>7847.3169230536587</v>
      </c>
      <c r="R88" s="59">
        <f t="shared" si="64"/>
        <v>76248</v>
      </c>
      <c r="S88" s="57">
        <f t="shared" si="65"/>
        <v>60800.607179507861</v>
      </c>
      <c r="T88" s="91">
        <f t="shared" si="66"/>
        <v>6975.3928204921413</v>
      </c>
      <c r="U88" s="60">
        <f t="shared" si="67"/>
        <v>67776</v>
      </c>
      <c r="V88" s="58">
        <f t="shared" si="68"/>
        <v>53200.531282069373</v>
      </c>
      <c r="W88" s="91">
        <f t="shared" si="69"/>
        <v>6103.4687179306229</v>
      </c>
      <c r="X88" s="59">
        <f t="shared" si="70"/>
        <v>59303.999999999993</v>
      </c>
      <c r="Y88" s="57">
        <f t="shared" si="71"/>
        <v>45600.455384630892</v>
      </c>
      <c r="Z88" s="91">
        <f t="shared" si="72"/>
        <v>5231.5446153691055</v>
      </c>
      <c r="AA88" s="59">
        <f t="shared" si="73"/>
        <v>50832</v>
      </c>
    </row>
    <row r="89" spans="1:35">
      <c r="A89" s="105">
        <v>90</v>
      </c>
      <c r="B89" s="50">
        <v>42552</v>
      </c>
      <c r="C89" s="61">
        <f>VLOOKUP(B89,'base(indices)'!$A$16:$C$183,3,FALSE)</f>
        <v>880</v>
      </c>
      <c r="D89" s="192">
        <f>'base(indices)'!G82</f>
        <v>1.2924869699999999</v>
      </c>
      <c r="E89" s="63">
        <f t="shared" si="57"/>
        <v>1137.3885335999998</v>
      </c>
      <c r="F89" s="82">
        <f>'base(indices)'!I82</f>
        <v>0.51997000000000004</v>
      </c>
      <c r="G89" s="63">
        <f t="shared" si="74"/>
        <v>591.40791581599194</v>
      </c>
      <c r="H89" s="268">
        <f t="shared" si="75"/>
        <v>1728.7964494159919</v>
      </c>
      <c r="I89" s="347">
        <f t="shared" si="77"/>
        <v>154437.3959895499</v>
      </c>
      <c r="J89" s="45">
        <f>IF((I89-H$93+(H$93/12*6))+K89&gt;$I$197,$I$197-K89,(I89-H$93+(H$93/12*6)))</f>
        <v>76000.758974384822</v>
      </c>
      <c r="K89" s="108">
        <f t="shared" si="76"/>
        <v>8719.2410256151761</v>
      </c>
      <c r="L89" s="46">
        <f t="shared" si="58"/>
        <v>84720</v>
      </c>
      <c r="M89" s="43">
        <f t="shared" si="59"/>
        <v>72200.721025665582</v>
      </c>
      <c r="N89" s="108">
        <f t="shared" si="60"/>
        <v>8283.2789743344165</v>
      </c>
      <c r="O89" s="47">
        <f t="shared" si="61"/>
        <v>80484</v>
      </c>
      <c r="P89" s="119">
        <f t="shared" si="78"/>
        <v>68400.683076946341</v>
      </c>
      <c r="Q89" s="108">
        <f t="shared" si="63"/>
        <v>7847.3169230536587</v>
      </c>
      <c r="R89" s="46">
        <f t="shared" si="64"/>
        <v>76248</v>
      </c>
      <c r="S89" s="43">
        <f t="shared" si="65"/>
        <v>60800.607179507861</v>
      </c>
      <c r="T89" s="108">
        <f t="shared" si="66"/>
        <v>6975.3928204921413</v>
      </c>
      <c r="U89" s="47">
        <f t="shared" si="67"/>
        <v>67776</v>
      </c>
      <c r="V89" s="45">
        <f t="shared" si="68"/>
        <v>53200.531282069373</v>
      </c>
      <c r="W89" s="108">
        <f t="shared" si="69"/>
        <v>6103.4687179306229</v>
      </c>
      <c r="X89" s="46">
        <f t="shared" si="70"/>
        <v>59303.999999999993</v>
      </c>
      <c r="Y89" s="43">
        <f t="shared" si="71"/>
        <v>45600.455384630892</v>
      </c>
      <c r="Z89" s="108">
        <f t="shared" si="72"/>
        <v>5231.5446153691055</v>
      </c>
      <c r="AA89" s="46">
        <f t="shared" si="73"/>
        <v>50832</v>
      </c>
    </row>
    <row r="90" spans="1:35">
      <c r="A90" s="105">
        <v>89</v>
      </c>
      <c r="B90" s="50">
        <v>42583</v>
      </c>
      <c r="C90" s="61">
        <f>VLOOKUP(B90,'base(indices)'!$A$16:$C$183,3,FALSE)</f>
        <v>880</v>
      </c>
      <c r="D90" s="192">
        <f>'base(indices)'!G83</f>
        <v>1.28554502</v>
      </c>
      <c r="E90" s="54">
        <f t="shared" si="57"/>
        <v>1131.2796175999999</v>
      </c>
      <c r="F90" s="82">
        <f>'base(indices)'!I83</f>
        <v>0.51497000000000004</v>
      </c>
      <c r="G90" s="54">
        <f t="shared" si="74"/>
        <v>582.57506467547205</v>
      </c>
      <c r="H90" s="267">
        <f t="shared" si="75"/>
        <v>1713.854682275472</v>
      </c>
      <c r="I90" s="346">
        <f t="shared" si="77"/>
        <v>152708.5995401339</v>
      </c>
      <c r="J90" s="58">
        <f>IF((I90-H$93+(H$93/12*5))+K90&gt;$I$197,$I$197-K90,(I90-H$93+(H$93/12*5)))</f>
        <v>76000.758974384822</v>
      </c>
      <c r="K90" s="91">
        <f t="shared" si="76"/>
        <v>8719.2410256151761</v>
      </c>
      <c r="L90" s="284">
        <f t="shared" si="58"/>
        <v>84720</v>
      </c>
      <c r="M90" s="57">
        <f t="shared" si="59"/>
        <v>72200.721025665582</v>
      </c>
      <c r="N90" s="91">
        <f t="shared" si="60"/>
        <v>8283.2789743344165</v>
      </c>
      <c r="O90" s="60">
        <f t="shared" si="61"/>
        <v>80484</v>
      </c>
      <c r="P90" s="58">
        <f t="shared" si="78"/>
        <v>68400.683076946341</v>
      </c>
      <c r="Q90" s="91">
        <f t="shared" si="63"/>
        <v>7847.3169230536587</v>
      </c>
      <c r="R90" s="59">
        <f>P90+Q90</f>
        <v>76248</v>
      </c>
      <c r="S90" s="57">
        <f t="shared" si="65"/>
        <v>60800.607179507861</v>
      </c>
      <c r="T90" s="91">
        <f t="shared" si="66"/>
        <v>6975.3928204921413</v>
      </c>
      <c r="U90" s="60">
        <f t="shared" si="67"/>
        <v>67776</v>
      </c>
      <c r="V90" s="58">
        <f t="shared" si="68"/>
        <v>53200.531282069373</v>
      </c>
      <c r="W90" s="91">
        <f t="shared" si="69"/>
        <v>6103.4687179306229</v>
      </c>
      <c r="X90" s="59">
        <f t="shared" si="70"/>
        <v>59303.999999999993</v>
      </c>
      <c r="Y90" s="57">
        <f t="shared" si="71"/>
        <v>45600.455384630892</v>
      </c>
      <c r="Z90" s="91">
        <f t="shared" si="72"/>
        <v>5231.5446153691055</v>
      </c>
      <c r="AA90" s="59">
        <f t="shared" si="73"/>
        <v>50832</v>
      </c>
    </row>
    <row r="91" spans="1:35">
      <c r="A91" s="105">
        <v>88</v>
      </c>
      <c r="B91" s="50">
        <v>42614</v>
      </c>
      <c r="C91" s="61">
        <f>VLOOKUP(B91,'base(indices)'!$A$16:$C$183,3,FALSE)</f>
        <v>880</v>
      </c>
      <c r="D91" s="192">
        <f>'base(indices)'!G84</f>
        <v>1.2797859899999999</v>
      </c>
      <c r="E91" s="63">
        <f t="shared" si="57"/>
        <v>1126.2116712</v>
      </c>
      <c r="F91" s="82">
        <f>'base(indices)'!I84</f>
        <v>0.50997000000000003</v>
      </c>
      <c r="G91" s="63">
        <f t="shared" si="74"/>
        <v>574.33416596186396</v>
      </c>
      <c r="H91" s="268">
        <f t="shared" si="75"/>
        <v>1700.5458371618638</v>
      </c>
      <c r="I91" s="347">
        <f t="shared" si="77"/>
        <v>150994.74485785843</v>
      </c>
      <c r="J91" s="45">
        <f>IF((I91-H$93+(H$93/12*4))+K91&gt;$I$197,$I$197-K91,(I91-H$93+(H$93/12*4)))</f>
        <v>76000.758974384822</v>
      </c>
      <c r="K91" s="108">
        <f t="shared" si="76"/>
        <v>8719.2410256151761</v>
      </c>
      <c r="L91" s="46">
        <f t="shared" si="58"/>
        <v>84720</v>
      </c>
      <c r="M91" s="43">
        <f t="shared" si="59"/>
        <v>72200.721025665582</v>
      </c>
      <c r="N91" s="108">
        <f t="shared" si="60"/>
        <v>8283.2789743344165</v>
      </c>
      <c r="O91" s="47">
        <f t="shared" si="61"/>
        <v>80484</v>
      </c>
      <c r="P91" s="119">
        <f t="shared" si="78"/>
        <v>68400.683076946341</v>
      </c>
      <c r="Q91" s="108">
        <f t="shared" si="63"/>
        <v>7847.3169230536587</v>
      </c>
      <c r="R91" s="46">
        <f t="shared" ref="R91:R94" si="79">P91+Q91</f>
        <v>76248</v>
      </c>
      <c r="S91" s="43">
        <f t="shared" si="65"/>
        <v>60800.607179507861</v>
      </c>
      <c r="T91" s="108">
        <f t="shared" si="66"/>
        <v>6975.3928204921413</v>
      </c>
      <c r="U91" s="47">
        <f t="shared" si="67"/>
        <v>67776</v>
      </c>
      <c r="V91" s="45">
        <f t="shared" si="68"/>
        <v>53200.531282069373</v>
      </c>
      <c r="W91" s="108">
        <f t="shared" si="69"/>
        <v>6103.4687179306229</v>
      </c>
      <c r="X91" s="46">
        <f t="shared" si="70"/>
        <v>59303.999999999993</v>
      </c>
      <c r="Y91" s="43">
        <f t="shared" si="71"/>
        <v>45600.455384630892</v>
      </c>
      <c r="Z91" s="108">
        <f t="shared" si="72"/>
        <v>5231.5446153691055</v>
      </c>
      <c r="AA91" s="46">
        <f t="shared" si="73"/>
        <v>50832</v>
      </c>
    </row>
    <row r="92" spans="1:35">
      <c r="A92" s="105">
        <v>87</v>
      </c>
      <c r="B92" s="50">
        <v>42644</v>
      </c>
      <c r="C92" s="61">
        <f>VLOOKUP(B92,'base(indices)'!$A$16:$C$183,3,FALSE)</f>
        <v>880</v>
      </c>
      <c r="D92" s="192">
        <f>'base(indices)'!G85</f>
        <v>1.2768492300000001</v>
      </c>
      <c r="E92" s="54">
        <f t="shared" si="57"/>
        <v>1123.6273224000001</v>
      </c>
      <c r="F92" s="82">
        <f>'base(indices)'!I85</f>
        <v>0.50497000000000003</v>
      </c>
      <c r="G92" s="54">
        <f t="shared" si="74"/>
        <v>567.3980889923281</v>
      </c>
      <c r="H92" s="267">
        <f t="shared" si="75"/>
        <v>1691.0254113923284</v>
      </c>
      <c r="I92" s="346">
        <f t="shared" si="77"/>
        <v>149294.19902069657</v>
      </c>
      <c r="J92" s="58">
        <f>IF((I92-H$93+(H$93/12*3))+K92&gt;$I$197,$I$197-K92,(I92-H$93+(H$93/12*3)))</f>
        <v>76000.758974384822</v>
      </c>
      <c r="K92" s="91">
        <f t="shared" si="76"/>
        <v>8719.2410256151761</v>
      </c>
      <c r="L92" s="284">
        <f t="shared" si="58"/>
        <v>84720</v>
      </c>
      <c r="M92" s="57">
        <f t="shared" si="59"/>
        <v>72200.721025665582</v>
      </c>
      <c r="N92" s="91">
        <f t="shared" si="60"/>
        <v>8283.2789743344165</v>
      </c>
      <c r="O92" s="60">
        <f t="shared" si="61"/>
        <v>80484</v>
      </c>
      <c r="P92" s="58">
        <f t="shared" si="78"/>
        <v>68400.683076946341</v>
      </c>
      <c r="Q92" s="91">
        <f t="shared" si="63"/>
        <v>7847.3169230536587</v>
      </c>
      <c r="R92" s="59">
        <f t="shared" si="79"/>
        <v>76248</v>
      </c>
      <c r="S92" s="57">
        <f t="shared" si="65"/>
        <v>60800.607179507861</v>
      </c>
      <c r="T92" s="91">
        <f t="shared" si="66"/>
        <v>6975.3928204921413</v>
      </c>
      <c r="U92" s="60">
        <f t="shared" si="67"/>
        <v>67776</v>
      </c>
      <c r="V92" s="58">
        <f t="shared" si="68"/>
        <v>53200.531282069373</v>
      </c>
      <c r="W92" s="91">
        <f t="shared" si="69"/>
        <v>6103.4687179306229</v>
      </c>
      <c r="X92" s="59">
        <f t="shared" si="70"/>
        <v>59303.999999999993</v>
      </c>
      <c r="Y92" s="57">
        <f t="shared" si="71"/>
        <v>45600.455384630892</v>
      </c>
      <c r="Z92" s="91">
        <f t="shared" si="72"/>
        <v>5231.5446153691055</v>
      </c>
      <c r="AA92" s="59">
        <f t="shared" si="73"/>
        <v>50832</v>
      </c>
    </row>
    <row r="93" spans="1:35">
      <c r="A93" s="105">
        <v>86</v>
      </c>
      <c r="B93" s="50">
        <v>42675</v>
      </c>
      <c r="C93" s="61">
        <f>VLOOKUP(B93,'base(indices)'!$A$16:$C$183,3,FALSE)</f>
        <v>880</v>
      </c>
      <c r="D93" s="192">
        <f>'base(indices)'!G86</f>
        <v>1.2744278200000001</v>
      </c>
      <c r="E93" s="63">
        <f t="shared" si="57"/>
        <v>1121.4964816000002</v>
      </c>
      <c r="F93" s="82">
        <f>'base(indices)'!I86</f>
        <v>0.49997000000000003</v>
      </c>
      <c r="G93" s="63">
        <f t="shared" si="74"/>
        <v>560.71459590555207</v>
      </c>
      <c r="H93" s="268">
        <f t="shared" si="75"/>
        <v>1682.2110775055521</v>
      </c>
      <c r="I93" s="347">
        <f t="shared" si="77"/>
        <v>147603.17360930424</v>
      </c>
      <c r="J93" s="45">
        <f>IF((I93-H$93+(H$93/12*2))+K93&gt;$I$197,$I$197-K93,(I93-H$93+(H$93/12*2)))</f>
        <v>76000.758974384822</v>
      </c>
      <c r="K93" s="108">
        <f t="shared" si="76"/>
        <v>8719.2410256151761</v>
      </c>
      <c r="L93" s="46">
        <f t="shared" si="58"/>
        <v>84720</v>
      </c>
      <c r="M93" s="43">
        <f t="shared" si="59"/>
        <v>72200.721025665582</v>
      </c>
      <c r="N93" s="108">
        <f t="shared" si="60"/>
        <v>8283.2789743344165</v>
      </c>
      <c r="O93" s="47">
        <f t="shared" si="61"/>
        <v>80484</v>
      </c>
      <c r="P93" s="119">
        <f t="shared" si="78"/>
        <v>68400.683076946341</v>
      </c>
      <c r="Q93" s="108">
        <f t="shared" si="63"/>
        <v>7847.3169230536587</v>
      </c>
      <c r="R93" s="46">
        <f t="shared" si="79"/>
        <v>76248</v>
      </c>
      <c r="S93" s="43">
        <f t="shared" si="65"/>
        <v>60800.607179507861</v>
      </c>
      <c r="T93" s="108">
        <f t="shared" si="66"/>
        <v>6975.3928204921413</v>
      </c>
      <c r="U93" s="47">
        <f t="shared" si="67"/>
        <v>67776</v>
      </c>
      <c r="V93" s="45">
        <f t="shared" si="68"/>
        <v>53200.531282069373</v>
      </c>
      <c r="W93" s="108">
        <f t="shared" si="69"/>
        <v>6103.4687179306229</v>
      </c>
      <c r="X93" s="46">
        <f t="shared" si="70"/>
        <v>59303.999999999993</v>
      </c>
      <c r="Y93" s="43">
        <f t="shared" si="71"/>
        <v>45600.455384630892</v>
      </c>
      <c r="Z93" s="108">
        <f t="shared" si="72"/>
        <v>5231.5446153691055</v>
      </c>
      <c r="AA93" s="46">
        <f t="shared" si="73"/>
        <v>50832</v>
      </c>
    </row>
    <row r="94" spans="1:35" ht="13.5" thickBot="1">
      <c r="A94" s="161">
        <v>85</v>
      </c>
      <c r="B94" s="300">
        <v>42705</v>
      </c>
      <c r="C94" s="69">
        <f>VLOOKUP(B94,'base(indices)'!$A$16:$C$183,3,FALSE)*2</f>
        <v>1760</v>
      </c>
      <c r="D94" s="335">
        <f>'base(indices)'!G87</f>
        <v>1.2711228999999999</v>
      </c>
      <c r="E94" s="163">
        <f t="shared" si="57"/>
        <v>2237.1763040000001</v>
      </c>
      <c r="F94" s="304">
        <f>'base(indices)'!I87</f>
        <v>0.49497000000000002</v>
      </c>
      <c r="G94" s="163">
        <f t="shared" si="74"/>
        <v>1107.3351551908802</v>
      </c>
      <c r="H94" s="355">
        <f t="shared" si="75"/>
        <v>3344.5114591908805</v>
      </c>
      <c r="I94" s="349">
        <f t="shared" si="77"/>
        <v>145920.96253179869</v>
      </c>
      <c r="J94" s="175">
        <f>IF((I94-H$93+(H$93/12*1))+K94&gt;$I$197,$I$197-K94,(I94-H$93+(H$93/12*1)))</f>
        <v>76000.758974384822</v>
      </c>
      <c r="K94" s="86">
        <f t="shared" si="76"/>
        <v>8719.2410256151761</v>
      </c>
      <c r="L94" s="287">
        <f t="shared" si="58"/>
        <v>84720</v>
      </c>
      <c r="M94" s="85">
        <f t="shared" si="59"/>
        <v>72200.721025665582</v>
      </c>
      <c r="N94" s="86">
        <f t="shared" si="60"/>
        <v>8283.2789743344165</v>
      </c>
      <c r="O94" s="107">
        <f t="shared" si="61"/>
        <v>80484</v>
      </c>
      <c r="P94" s="175">
        <f t="shared" si="78"/>
        <v>68400.683076946341</v>
      </c>
      <c r="Q94" s="86">
        <f t="shared" si="63"/>
        <v>7847.3169230536587</v>
      </c>
      <c r="R94" s="165">
        <f t="shared" si="79"/>
        <v>76248</v>
      </c>
      <c r="S94" s="85">
        <f t="shared" si="65"/>
        <v>60800.607179507861</v>
      </c>
      <c r="T94" s="86">
        <f t="shared" si="66"/>
        <v>6975.3928204921413</v>
      </c>
      <c r="U94" s="107">
        <f t="shared" si="67"/>
        <v>67776</v>
      </c>
      <c r="V94" s="175">
        <f t="shared" si="68"/>
        <v>53200.531282069373</v>
      </c>
      <c r="W94" s="86">
        <f t="shared" si="69"/>
        <v>6103.4687179306229</v>
      </c>
      <c r="X94" s="165">
        <f t="shared" si="70"/>
        <v>59303.999999999993</v>
      </c>
      <c r="Y94" s="85">
        <f t="shared" si="71"/>
        <v>45600.455384630892</v>
      </c>
      <c r="Z94" s="86">
        <f t="shared" si="72"/>
        <v>5231.5446153691055</v>
      </c>
      <c r="AA94" s="165">
        <f t="shared" si="73"/>
        <v>50832</v>
      </c>
    </row>
    <row r="95" spans="1:35" ht="13.5" customHeight="1">
      <c r="A95" s="217">
        <v>84</v>
      </c>
      <c r="B95" s="246">
        <v>42736</v>
      </c>
      <c r="C95" s="41">
        <f>VLOOKUP(B95,'base(indices)'!$A$16:$C$183,3,FALSE)</f>
        <v>937</v>
      </c>
      <c r="D95" s="193">
        <f>'base(indices)'!G88</f>
        <v>1.2687123499999999</v>
      </c>
      <c r="E95" s="78">
        <f>C95*D95</f>
        <v>1188.7834719499999</v>
      </c>
      <c r="F95" s="79">
        <f>'base(indices)'!I88</f>
        <v>0.48997000000000002</v>
      </c>
      <c r="G95" s="78">
        <f t="shared" si="74"/>
        <v>582.46823775134146</v>
      </c>
      <c r="H95" s="266">
        <f t="shared" si="75"/>
        <v>1771.2517097013415</v>
      </c>
      <c r="I95" s="281">
        <f t="shared" si="77"/>
        <v>142576.4510726078</v>
      </c>
      <c r="J95" s="288">
        <f>IF((I95-H$105+(H$105))+K95&gt;$I$197,$I$197-K95,(I95-H$105+(H$105)))</f>
        <v>76000.758974384822</v>
      </c>
      <c r="K95" s="156">
        <f t="shared" si="76"/>
        <v>8719.2410256151761</v>
      </c>
      <c r="L95" s="150">
        <f>J95+K95</f>
        <v>84720</v>
      </c>
      <c r="M95" s="283">
        <f>J95*M$9</f>
        <v>72200.721025665582</v>
      </c>
      <c r="N95" s="156">
        <f>K95*M$9</f>
        <v>8283.2789743344165</v>
      </c>
      <c r="O95" s="290">
        <f>M95+N95</f>
        <v>80484</v>
      </c>
      <c r="P95" s="292">
        <f>J95*$P$9</f>
        <v>68400.683076946341</v>
      </c>
      <c r="Q95" s="156">
        <f>K95*P$9</f>
        <v>7847.3169230536587</v>
      </c>
      <c r="R95" s="150">
        <f>P95+Q95</f>
        <v>76248</v>
      </c>
      <c r="S95" s="283">
        <f>J95*S$9</f>
        <v>60800.607179507861</v>
      </c>
      <c r="T95" s="156">
        <f>K95*S$9</f>
        <v>6975.3928204921413</v>
      </c>
      <c r="U95" s="290">
        <f>S95+T95</f>
        <v>67776</v>
      </c>
      <c r="V95" s="288">
        <f>J95*V$9</f>
        <v>53200.531282069373</v>
      </c>
      <c r="W95" s="156">
        <f>K95*V$9</f>
        <v>6103.4687179306229</v>
      </c>
      <c r="X95" s="150">
        <f>V95+W95</f>
        <v>59303.999999999993</v>
      </c>
      <c r="Y95" s="283">
        <f>J95*Y$9</f>
        <v>45600.455384630892</v>
      </c>
      <c r="Z95" s="156">
        <f>K95*Y$9</f>
        <v>5231.5446153691055</v>
      </c>
      <c r="AA95" s="150">
        <f>Y95+Z95</f>
        <v>50832</v>
      </c>
      <c r="AB95" s="16"/>
      <c r="AC95" s="16"/>
      <c r="AD95" s="16"/>
      <c r="AE95" s="16"/>
      <c r="AF95" s="16"/>
      <c r="AG95" s="17"/>
      <c r="AH95" s="16"/>
      <c r="AI95" s="16"/>
    </row>
    <row r="96" spans="1:35" s="26" customFormat="1" ht="13.5" customHeight="1">
      <c r="A96" s="187">
        <v>83</v>
      </c>
      <c r="B96" s="50">
        <v>42767</v>
      </c>
      <c r="C96" s="61">
        <f>VLOOKUP(B96,'base(indices)'!$A$16:$C$183,3,FALSE)</f>
        <v>937</v>
      </c>
      <c r="D96" s="192">
        <f>'base(indices)'!G89</f>
        <v>1.2647914899999999</v>
      </c>
      <c r="E96" s="54">
        <f t="shared" ref="E96:E106" si="80">C96*D96</f>
        <v>1185.1096261299999</v>
      </c>
      <c r="F96" s="82">
        <f>'base(indices)'!I89</f>
        <v>0.48497000000000001</v>
      </c>
      <c r="G96" s="54">
        <f t="shared" si="74"/>
        <v>574.74261538426606</v>
      </c>
      <c r="H96" s="267">
        <f t="shared" si="75"/>
        <v>1759.8522415142661</v>
      </c>
      <c r="I96" s="277">
        <f>I95-H95</f>
        <v>140805.19936290645</v>
      </c>
      <c r="J96" s="58">
        <f>IF((I96-H$105+(H$105/12*11))+K96&gt;$I$197,$I$197-K96,(I96-H$105+(H$105/12*11)))</f>
        <v>76000.758974384822</v>
      </c>
      <c r="K96" s="91">
        <f t="shared" si="76"/>
        <v>8719.2410256151761</v>
      </c>
      <c r="L96" s="284">
        <f t="shared" ref="L96:L159" si="81">J96+K96</f>
        <v>84720</v>
      </c>
      <c r="M96" s="57">
        <f t="shared" ref="M96:M159" si="82">J96*M$9</f>
        <v>72200.721025665582</v>
      </c>
      <c r="N96" s="91">
        <f t="shared" ref="N96:N159" si="83">K96*M$9</f>
        <v>8283.2789743344165</v>
      </c>
      <c r="O96" s="60">
        <f t="shared" ref="O96:O159" si="84">M96+N96</f>
        <v>80484</v>
      </c>
      <c r="P96" s="58">
        <f t="shared" ref="P96:P97" si="85">J96*$P$9</f>
        <v>68400.683076946341</v>
      </c>
      <c r="Q96" s="91">
        <f t="shared" ref="Q96:Q159" si="86">K96*P$9</f>
        <v>7847.3169230536587</v>
      </c>
      <c r="R96" s="59">
        <f t="shared" ref="R96:R101" si="87">P96+Q96</f>
        <v>76248</v>
      </c>
      <c r="S96" s="57">
        <f t="shared" ref="S96:S141" si="88">J96*S$9</f>
        <v>60800.607179507861</v>
      </c>
      <c r="T96" s="91">
        <f t="shared" ref="T96:T159" si="89">K96*S$9</f>
        <v>6975.3928204921413</v>
      </c>
      <c r="U96" s="60">
        <f t="shared" ref="U96:U141" si="90">S96+T96</f>
        <v>67776</v>
      </c>
      <c r="V96" s="58">
        <f t="shared" ref="V96:V159" si="91">J96*V$9</f>
        <v>53200.531282069373</v>
      </c>
      <c r="W96" s="91">
        <f t="shared" ref="W96:W159" si="92">K96*V$9</f>
        <v>6103.4687179306229</v>
      </c>
      <c r="X96" s="59">
        <f t="shared" ref="X96:X159" si="93">V96+W96</f>
        <v>59303.999999999993</v>
      </c>
      <c r="Y96" s="57">
        <f t="shared" ref="Y96:Y159" si="94">J96*Y$9</f>
        <v>45600.455384630892</v>
      </c>
      <c r="Z96" s="91">
        <f t="shared" ref="Z96:Z159" si="95">K96*Y$9</f>
        <v>5231.5446153691055</v>
      </c>
      <c r="AA96" s="59">
        <f t="shared" ref="AA96:AA159" si="96">Y96+Z96</f>
        <v>50832</v>
      </c>
      <c r="AB96" s="32"/>
      <c r="AC96" s="32"/>
      <c r="AD96" s="32"/>
      <c r="AE96" s="32"/>
      <c r="AF96" s="32"/>
      <c r="AG96" s="33"/>
      <c r="AH96" s="32"/>
      <c r="AI96" s="32"/>
    </row>
    <row r="97" spans="1:35" ht="13.5" customHeight="1">
      <c r="A97" s="187">
        <v>82</v>
      </c>
      <c r="B97" s="50">
        <v>42795</v>
      </c>
      <c r="C97" s="61">
        <f>VLOOKUP(B97,'base(indices)'!$A$16:$C$183,3,FALSE)</f>
        <v>937</v>
      </c>
      <c r="D97" s="192">
        <f>'base(indices)'!G90</f>
        <v>1.2579982999999999</v>
      </c>
      <c r="E97" s="63">
        <f t="shared" si="80"/>
        <v>1178.7444071</v>
      </c>
      <c r="F97" s="82">
        <f>'base(indices)'!I90</f>
        <v>0.47997000000000001</v>
      </c>
      <c r="G97" s="63">
        <f t="shared" si="74"/>
        <v>565.76195307578701</v>
      </c>
      <c r="H97" s="268">
        <f t="shared" si="75"/>
        <v>1744.506360175787</v>
      </c>
      <c r="I97" s="278">
        <f t="shared" ref="I97:I160" si="97">I96-H96</f>
        <v>139045.34712139217</v>
      </c>
      <c r="J97" s="45">
        <f>IF((I97-H$105+(H$105/12*10))+K97&gt;$I$197,$I$197-K97,(I97-H$105+(H$105/12*10)))</f>
        <v>76000.758974384822</v>
      </c>
      <c r="K97" s="108">
        <f t="shared" si="76"/>
        <v>8719.2410256151761</v>
      </c>
      <c r="L97" s="46">
        <f t="shared" si="81"/>
        <v>84720</v>
      </c>
      <c r="M97" s="43">
        <f t="shared" si="82"/>
        <v>72200.721025665582</v>
      </c>
      <c r="N97" s="108">
        <f t="shared" si="83"/>
        <v>8283.2789743344165</v>
      </c>
      <c r="O97" s="47">
        <f t="shared" si="84"/>
        <v>80484</v>
      </c>
      <c r="P97" s="119">
        <f t="shared" si="85"/>
        <v>68400.683076946341</v>
      </c>
      <c r="Q97" s="108">
        <f t="shared" si="86"/>
        <v>7847.3169230536587</v>
      </c>
      <c r="R97" s="46">
        <f t="shared" si="87"/>
        <v>76248</v>
      </c>
      <c r="S97" s="43">
        <f t="shared" si="88"/>
        <v>60800.607179507861</v>
      </c>
      <c r="T97" s="108">
        <f t="shared" si="89"/>
        <v>6975.3928204921413</v>
      </c>
      <c r="U97" s="47">
        <f t="shared" si="90"/>
        <v>67776</v>
      </c>
      <c r="V97" s="45">
        <f t="shared" si="91"/>
        <v>53200.531282069373</v>
      </c>
      <c r="W97" s="108">
        <f t="shared" si="92"/>
        <v>6103.4687179306229</v>
      </c>
      <c r="X97" s="46">
        <f t="shared" si="93"/>
        <v>59303.999999999993</v>
      </c>
      <c r="Y97" s="43">
        <f t="shared" si="94"/>
        <v>45600.455384630892</v>
      </c>
      <c r="Z97" s="108">
        <f t="shared" si="95"/>
        <v>5231.5446153691055</v>
      </c>
      <c r="AA97" s="46">
        <f t="shared" si="96"/>
        <v>50832</v>
      </c>
      <c r="AB97" s="16"/>
      <c r="AC97" s="16"/>
      <c r="AD97" s="16"/>
      <c r="AE97" s="16"/>
      <c r="AF97" s="16"/>
      <c r="AG97" s="17"/>
      <c r="AH97" s="16"/>
      <c r="AI97" s="16"/>
    </row>
    <row r="98" spans="1:35" s="26" customFormat="1" ht="13.5" customHeight="1">
      <c r="A98" s="187">
        <v>81</v>
      </c>
      <c r="B98" s="50">
        <v>42826</v>
      </c>
      <c r="C98" s="61">
        <f>VLOOKUP(B98,'base(indices)'!$A$16:$C$183,3,FALSE)</f>
        <v>937</v>
      </c>
      <c r="D98" s="192">
        <f>'base(indices)'!G91</f>
        <v>1.2561141300000001</v>
      </c>
      <c r="E98" s="54">
        <f t="shared" si="80"/>
        <v>1176.9789398100002</v>
      </c>
      <c r="F98" s="82">
        <f>'base(indices)'!I91</f>
        <v>0.47497</v>
      </c>
      <c r="G98" s="54">
        <f t="shared" si="74"/>
        <v>559.0296870415558</v>
      </c>
      <c r="H98" s="267">
        <f t="shared" si="75"/>
        <v>1736.0086268515561</v>
      </c>
      <c r="I98" s="277">
        <f t="shared" si="97"/>
        <v>137300.84076121639</v>
      </c>
      <c r="J98" s="58">
        <f>IF((I98-H$105+(H$105/12*9))+K98&gt;$I$197,$I$197-K98,(I98-H$105+(H$105/12*9)))</f>
        <v>76000.758974384822</v>
      </c>
      <c r="K98" s="91">
        <f t="shared" si="76"/>
        <v>8719.2410256151761</v>
      </c>
      <c r="L98" s="284">
        <f t="shared" si="81"/>
        <v>84720</v>
      </c>
      <c r="M98" s="57">
        <f t="shared" si="82"/>
        <v>72200.721025665582</v>
      </c>
      <c r="N98" s="91">
        <f t="shared" si="83"/>
        <v>8283.2789743344165</v>
      </c>
      <c r="O98" s="60">
        <f t="shared" si="84"/>
        <v>80484</v>
      </c>
      <c r="P98" s="58">
        <f>J98*$P$9</f>
        <v>68400.683076946341</v>
      </c>
      <c r="Q98" s="91">
        <f t="shared" si="86"/>
        <v>7847.3169230536587</v>
      </c>
      <c r="R98" s="59">
        <f t="shared" si="87"/>
        <v>76248</v>
      </c>
      <c r="S98" s="57">
        <f t="shared" si="88"/>
        <v>60800.607179507861</v>
      </c>
      <c r="T98" s="91">
        <f t="shared" si="89"/>
        <v>6975.3928204921413</v>
      </c>
      <c r="U98" s="60">
        <f t="shared" si="90"/>
        <v>67776</v>
      </c>
      <c r="V98" s="58">
        <f t="shared" si="91"/>
        <v>53200.531282069373</v>
      </c>
      <c r="W98" s="91">
        <f t="shared" si="92"/>
        <v>6103.4687179306229</v>
      </c>
      <c r="X98" s="59">
        <f t="shared" si="93"/>
        <v>59303.999999999993</v>
      </c>
      <c r="Y98" s="57">
        <f t="shared" si="94"/>
        <v>45600.455384630892</v>
      </c>
      <c r="Z98" s="91">
        <f t="shared" si="95"/>
        <v>5231.5446153691055</v>
      </c>
      <c r="AA98" s="59">
        <f t="shared" si="96"/>
        <v>50832</v>
      </c>
      <c r="AB98" s="32"/>
      <c r="AC98" s="32"/>
      <c r="AD98" s="32"/>
      <c r="AE98" s="32"/>
      <c r="AF98" s="32"/>
      <c r="AG98" s="33"/>
      <c r="AH98" s="32"/>
      <c r="AI98" s="32"/>
    </row>
    <row r="99" spans="1:35" ht="13.5" customHeight="1">
      <c r="A99" s="187">
        <v>80</v>
      </c>
      <c r="B99" s="50">
        <v>42856</v>
      </c>
      <c r="C99" s="61">
        <f>VLOOKUP(B99,'base(indices)'!$A$16:$C$183,3,FALSE)</f>
        <v>937</v>
      </c>
      <c r="D99" s="192">
        <f>'base(indices)'!G92</f>
        <v>1.25348182</v>
      </c>
      <c r="E99" s="63">
        <f t="shared" si="80"/>
        <v>1174.5124653400001</v>
      </c>
      <c r="F99" s="82">
        <f>'base(indices)'!I92</f>
        <v>0.46997</v>
      </c>
      <c r="G99" s="63">
        <f t="shared" si="74"/>
        <v>551.98562333583982</v>
      </c>
      <c r="H99" s="268">
        <f t="shared" si="75"/>
        <v>1726.4980886758399</v>
      </c>
      <c r="I99" s="278">
        <f t="shared" si="97"/>
        <v>135564.83213436484</v>
      </c>
      <c r="J99" s="45">
        <f>IF((I99-H$105+(H$105/12*8))+K99&gt;$I$197,$I$197-K99,(I99-H$105+(H$105/12*8)))</f>
        <v>76000.758974384822</v>
      </c>
      <c r="K99" s="108">
        <f t="shared" si="76"/>
        <v>8719.2410256151761</v>
      </c>
      <c r="L99" s="46">
        <f t="shared" si="81"/>
        <v>84720</v>
      </c>
      <c r="M99" s="43">
        <f t="shared" si="82"/>
        <v>72200.721025665582</v>
      </c>
      <c r="N99" s="108">
        <f t="shared" si="83"/>
        <v>8283.2789743344165</v>
      </c>
      <c r="O99" s="47">
        <f t="shared" si="84"/>
        <v>80484</v>
      </c>
      <c r="P99" s="119">
        <f>J99*$P$9</f>
        <v>68400.683076946341</v>
      </c>
      <c r="Q99" s="108">
        <f t="shared" si="86"/>
        <v>7847.3169230536587</v>
      </c>
      <c r="R99" s="46">
        <f t="shared" si="87"/>
        <v>76248</v>
      </c>
      <c r="S99" s="43">
        <f t="shared" si="88"/>
        <v>60800.607179507861</v>
      </c>
      <c r="T99" s="108">
        <f t="shared" si="89"/>
        <v>6975.3928204921413</v>
      </c>
      <c r="U99" s="47">
        <f t="shared" si="90"/>
        <v>67776</v>
      </c>
      <c r="V99" s="45">
        <f t="shared" si="91"/>
        <v>53200.531282069373</v>
      </c>
      <c r="W99" s="108">
        <f t="shared" si="92"/>
        <v>6103.4687179306229</v>
      </c>
      <c r="X99" s="46">
        <f t="shared" si="93"/>
        <v>59303.999999999993</v>
      </c>
      <c r="Y99" s="43">
        <f t="shared" si="94"/>
        <v>45600.455384630892</v>
      </c>
      <c r="Z99" s="108">
        <f t="shared" si="95"/>
        <v>5231.5446153691055</v>
      </c>
      <c r="AA99" s="46">
        <f t="shared" si="96"/>
        <v>50832</v>
      </c>
      <c r="AB99" s="16"/>
      <c r="AC99" s="16"/>
      <c r="AD99" s="16"/>
      <c r="AE99" s="16"/>
      <c r="AF99" s="16"/>
      <c r="AG99" s="17"/>
      <c r="AH99" s="16"/>
      <c r="AI99" s="16"/>
    </row>
    <row r="100" spans="1:35" s="26" customFormat="1" ht="13.5" customHeight="1">
      <c r="A100" s="187">
        <v>79</v>
      </c>
      <c r="B100" s="50">
        <v>42887</v>
      </c>
      <c r="C100" s="61">
        <f>VLOOKUP(B100,'base(indices)'!$A$16:$C$183,3,FALSE)</f>
        <v>937</v>
      </c>
      <c r="D100" s="192">
        <f>'base(indices)'!G93</f>
        <v>1.25048067</v>
      </c>
      <c r="E100" s="54">
        <f t="shared" si="80"/>
        <v>1171.7003877899999</v>
      </c>
      <c r="F100" s="82">
        <f>'base(indices)'!I93</f>
        <v>0.46496999999999999</v>
      </c>
      <c r="G100" s="54">
        <f t="shared" si="74"/>
        <v>544.80552931071622</v>
      </c>
      <c r="H100" s="267">
        <f t="shared" si="75"/>
        <v>1716.505917100716</v>
      </c>
      <c r="I100" s="277">
        <f t="shared" si="97"/>
        <v>133838.334045689</v>
      </c>
      <c r="J100" s="58">
        <f>IF((I100-H$105+(H$105/12*7))+K100&gt;$I$197,$I$197-K100,(I100-H$105+(H$105/12*7)))</f>
        <v>76000.758974384822</v>
      </c>
      <c r="K100" s="91">
        <f t="shared" si="76"/>
        <v>8719.2410256151761</v>
      </c>
      <c r="L100" s="284">
        <f t="shared" si="81"/>
        <v>84720</v>
      </c>
      <c r="M100" s="57">
        <f t="shared" si="82"/>
        <v>72200.721025665582</v>
      </c>
      <c r="N100" s="91">
        <f t="shared" si="83"/>
        <v>8283.2789743344165</v>
      </c>
      <c r="O100" s="60">
        <f t="shared" si="84"/>
        <v>80484</v>
      </c>
      <c r="P100" s="58">
        <f t="shared" ref="P100:P119" si="98">J100*$P$9</f>
        <v>68400.683076946341</v>
      </c>
      <c r="Q100" s="91">
        <f t="shared" si="86"/>
        <v>7847.3169230536587</v>
      </c>
      <c r="R100" s="59">
        <f t="shared" si="87"/>
        <v>76248</v>
      </c>
      <c r="S100" s="57">
        <f t="shared" si="88"/>
        <v>60800.607179507861</v>
      </c>
      <c r="T100" s="91">
        <f t="shared" si="89"/>
        <v>6975.3928204921413</v>
      </c>
      <c r="U100" s="60">
        <f t="shared" si="90"/>
        <v>67776</v>
      </c>
      <c r="V100" s="58">
        <f t="shared" si="91"/>
        <v>53200.531282069373</v>
      </c>
      <c r="W100" s="91">
        <f t="shared" si="92"/>
        <v>6103.4687179306229</v>
      </c>
      <c r="X100" s="59">
        <f t="shared" si="93"/>
        <v>59303.999999999993</v>
      </c>
      <c r="Y100" s="57">
        <f t="shared" si="94"/>
        <v>45600.455384630892</v>
      </c>
      <c r="Z100" s="91">
        <f t="shared" si="95"/>
        <v>5231.5446153691055</v>
      </c>
      <c r="AA100" s="59">
        <f t="shared" si="96"/>
        <v>50832</v>
      </c>
      <c r="AB100" s="32"/>
      <c r="AC100" s="32"/>
      <c r="AD100" s="32"/>
      <c r="AE100" s="32"/>
      <c r="AF100" s="32"/>
      <c r="AG100" s="33"/>
      <c r="AH100" s="32"/>
      <c r="AI100" s="32"/>
    </row>
    <row r="101" spans="1:35" ht="13.5" customHeight="1">
      <c r="A101" s="187">
        <v>78</v>
      </c>
      <c r="B101" s="50">
        <v>42917</v>
      </c>
      <c r="C101" s="61">
        <f>VLOOKUP(B101,'base(indices)'!$A$16:$C$183,3,FALSE)</f>
        <v>937</v>
      </c>
      <c r="D101" s="192">
        <f>'base(indices)'!G94</f>
        <v>1.2484830899999999</v>
      </c>
      <c r="E101" s="63">
        <f t="shared" si="80"/>
        <v>1169.8286553299999</v>
      </c>
      <c r="F101" s="82">
        <f>'base(indices)'!I94</f>
        <v>0.45996999999999999</v>
      </c>
      <c r="G101" s="63">
        <f t="shared" si="74"/>
        <v>538.08608659214008</v>
      </c>
      <c r="H101" s="268">
        <f t="shared" si="75"/>
        <v>1707.9147419221399</v>
      </c>
      <c r="I101" s="278">
        <f t="shared" si="97"/>
        <v>132121.82812858827</v>
      </c>
      <c r="J101" s="45">
        <f>IF((I101-H$105+(H$105/12*6))+K101&gt;$I$197,$I$197-K101,(I101-H$105+(H$105/12*6)))</f>
        <v>76000.758974384822</v>
      </c>
      <c r="K101" s="108">
        <f t="shared" si="76"/>
        <v>8719.2410256151761</v>
      </c>
      <c r="L101" s="46">
        <f t="shared" si="81"/>
        <v>84720</v>
      </c>
      <c r="M101" s="43">
        <f t="shared" si="82"/>
        <v>72200.721025665582</v>
      </c>
      <c r="N101" s="108">
        <f t="shared" si="83"/>
        <v>8283.2789743344165</v>
      </c>
      <c r="O101" s="47">
        <f t="shared" si="84"/>
        <v>80484</v>
      </c>
      <c r="P101" s="119">
        <f t="shared" si="98"/>
        <v>68400.683076946341</v>
      </c>
      <c r="Q101" s="108">
        <f t="shared" si="86"/>
        <v>7847.3169230536587</v>
      </c>
      <c r="R101" s="46">
        <f t="shared" si="87"/>
        <v>76248</v>
      </c>
      <c r="S101" s="43">
        <f t="shared" si="88"/>
        <v>60800.607179507861</v>
      </c>
      <c r="T101" s="108">
        <f t="shared" si="89"/>
        <v>6975.3928204921413</v>
      </c>
      <c r="U101" s="47">
        <f t="shared" si="90"/>
        <v>67776</v>
      </c>
      <c r="V101" s="45">
        <f t="shared" si="91"/>
        <v>53200.531282069373</v>
      </c>
      <c r="W101" s="108">
        <f t="shared" si="92"/>
        <v>6103.4687179306229</v>
      </c>
      <c r="X101" s="46">
        <f t="shared" si="93"/>
        <v>59303.999999999993</v>
      </c>
      <c r="Y101" s="43">
        <f t="shared" si="94"/>
        <v>45600.455384630892</v>
      </c>
      <c r="Z101" s="108">
        <f t="shared" si="95"/>
        <v>5231.5446153691055</v>
      </c>
      <c r="AA101" s="46">
        <f t="shared" si="96"/>
        <v>50832</v>
      </c>
      <c r="AB101" s="16"/>
      <c r="AC101" s="16"/>
      <c r="AD101" s="16"/>
      <c r="AE101" s="16"/>
      <c r="AF101" s="16"/>
      <c r="AG101" s="17"/>
      <c r="AH101" s="16"/>
      <c r="AI101" s="16"/>
    </row>
    <row r="102" spans="1:35" s="26" customFormat="1" ht="13.5" customHeight="1">
      <c r="A102" s="187">
        <v>77</v>
      </c>
      <c r="B102" s="50">
        <v>42948</v>
      </c>
      <c r="C102" s="61">
        <f>VLOOKUP(B102,'base(indices)'!$A$16:$C$183,3,FALSE)</f>
        <v>937</v>
      </c>
      <c r="D102" s="192">
        <f>'base(indices)'!G95</f>
        <v>1.2507344199999999</v>
      </c>
      <c r="E102" s="54">
        <f t="shared" si="80"/>
        <v>1171.9381515399998</v>
      </c>
      <c r="F102" s="82">
        <f>'base(indices)'!I95</f>
        <v>0.45496999999999999</v>
      </c>
      <c r="G102" s="54">
        <f t="shared" si="74"/>
        <v>533.19670080615367</v>
      </c>
      <c r="H102" s="267">
        <f t="shared" si="75"/>
        <v>1705.1348523461534</v>
      </c>
      <c r="I102" s="277">
        <f t="shared" si="97"/>
        <v>130413.91338666613</v>
      </c>
      <c r="J102" s="58">
        <f>IF((I102-H$105+(H$105/12*5))+K102&gt;$I$197,$I$197-K102,(I102-H$105+(H$105/12*5)))</f>
        <v>76000.758974384822</v>
      </c>
      <c r="K102" s="91">
        <f t="shared" si="76"/>
        <v>8719.2410256151761</v>
      </c>
      <c r="L102" s="284">
        <f t="shared" si="81"/>
        <v>84720</v>
      </c>
      <c r="M102" s="57">
        <f t="shared" si="82"/>
        <v>72200.721025665582</v>
      </c>
      <c r="N102" s="91">
        <f t="shared" si="83"/>
        <v>8283.2789743344165</v>
      </c>
      <c r="O102" s="60">
        <f t="shared" si="84"/>
        <v>80484</v>
      </c>
      <c r="P102" s="58">
        <f t="shared" si="98"/>
        <v>68400.683076946341</v>
      </c>
      <c r="Q102" s="91">
        <f t="shared" si="86"/>
        <v>7847.3169230536587</v>
      </c>
      <c r="R102" s="59">
        <f>P102+Q102</f>
        <v>76248</v>
      </c>
      <c r="S102" s="57">
        <f t="shared" si="88"/>
        <v>60800.607179507861</v>
      </c>
      <c r="T102" s="91">
        <f t="shared" si="89"/>
        <v>6975.3928204921413</v>
      </c>
      <c r="U102" s="60">
        <f t="shared" si="90"/>
        <v>67776</v>
      </c>
      <c r="V102" s="58">
        <f t="shared" si="91"/>
        <v>53200.531282069373</v>
      </c>
      <c r="W102" s="91">
        <f t="shared" si="92"/>
        <v>6103.4687179306229</v>
      </c>
      <c r="X102" s="59">
        <f t="shared" si="93"/>
        <v>59303.999999999993</v>
      </c>
      <c r="Y102" s="57">
        <f t="shared" si="94"/>
        <v>45600.455384630892</v>
      </c>
      <c r="Z102" s="91">
        <f t="shared" si="95"/>
        <v>5231.5446153691055</v>
      </c>
      <c r="AA102" s="59">
        <f t="shared" si="96"/>
        <v>50832</v>
      </c>
      <c r="AB102" s="32"/>
      <c r="AC102" s="32"/>
      <c r="AD102" s="32"/>
      <c r="AE102" s="32"/>
      <c r="AF102" s="32"/>
      <c r="AG102" s="33"/>
      <c r="AH102" s="32"/>
      <c r="AI102" s="32"/>
    </row>
    <row r="103" spans="1:35" ht="13.5" customHeight="1">
      <c r="A103" s="187">
        <v>76</v>
      </c>
      <c r="B103" s="50">
        <v>42979</v>
      </c>
      <c r="C103" s="61">
        <f>VLOOKUP(B103,'base(indices)'!$A$16:$C$183,3,FALSE)</f>
        <v>937</v>
      </c>
      <c r="D103" s="192">
        <f>'base(indices)'!G96</f>
        <v>1.24637211</v>
      </c>
      <c r="E103" s="63">
        <f t="shared" si="80"/>
        <v>1167.8506670700001</v>
      </c>
      <c r="F103" s="82">
        <f>'base(indices)'!I96</f>
        <v>0.44996999999999998</v>
      </c>
      <c r="G103" s="63">
        <f t="shared" si="74"/>
        <v>525.49776466148796</v>
      </c>
      <c r="H103" s="268">
        <f t="shared" si="75"/>
        <v>1693.3484317314881</v>
      </c>
      <c r="I103" s="278">
        <f t="shared" si="97"/>
        <v>128708.77853431998</v>
      </c>
      <c r="J103" s="45">
        <f>IF((I103-H$105+(H$105/12*4))+K103&gt;$I$197,$I$197-K103,(I103-H$105+(H$105/12*4)))</f>
        <v>76000.758974384822</v>
      </c>
      <c r="K103" s="108">
        <f t="shared" si="76"/>
        <v>8719.2410256151761</v>
      </c>
      <c r="L103" s="46">
        <f t="shared" si="81"/>
        <v>84720</v>
      </c>
      <c r="M103" s="43">
        <f t="shared" si="82"/>
        <v>72200.721025665582</v>
      </c>
      <c r="N103" s="108">
        <f t="shared" si="83"/>
        <v>8283.2789743344165</v>
      </c>
      <c r="O103" s="47">
        <f t="shared" si="84"/>
        <v>80484</v>
      </c>
      <c r="P103" s="119">
        <f t="shared" si="98"/>
        <v>68400.683076946341</v>
      </c>
      <c r="Q103" s="108">
        <f t="shared" si="86"/>
        <v>7847.3169230536587</v>
      </c>
      <c r="R103" s="46">
        <f t="shared" ref="R103:R121" si="99">P103+Q103</f>
        <v>76248</v>
      </c>
      <c r="S103" s="43">
        <f t="shared" si="88"/>
        <v>60800.607179507861</v>
      </c>
      <c r="T103" s="108">
        <f t="shared" si="89"/>
        <v>6975.3928204921413</v>
      </c>
      <c r="U103" s="47">
        <f t="shared" si="90"/>
        <v>67776</v>
      </c>
      <c r="V103" s="45">
        <f t="shared" si="91"/>
        <v>53200.531282069373</v>
      </c>
      <c r="W103" s="108">
        <f t="shared" si="92"/>
        <v>6103.4687179306229</v>
      </c>
      <c r="X103" s="46">
        <f t="shared" si="93"/>
        <v>59303.999999999993</v>
      </c>
      <c r="Y103" s="43">
        <f t="shared" si="94"/>
        <v>45600.455384630892</v>
      </c>
      <c r="Z103" s="108">
        <f t="shared" si="95"/>
        <v>5231.5446153691055</v>
      </c>
      <c r="AA103" s="46">
        <f t="shared" si="96"/>
        <v>50832</v>
      </c>
      <c r="AB103" s="16"/>
      <c r="AC103" s="16"/>
      <c r="AD103" s="16"/>
      <c r="AE103" s="16"/>
      <c r="AF103" s="16"/>
      <c r="AG103" s="17"/>
      <c r="AH103" s="16"/>
      <c r="AI103" s="16"/>
    </row>
    <row r="104" spans="1:35" s="26" customFormat="1" ht="13.5" customHeight="1">
      <c r="A104" s="187">
        <v>75</v>
      </c>
      <c r="B104" s="50">
        <v>43009</v>
      </c>
      <c r="C104" s="61">
        <f>VLOOKUP(B104,'base(indices)'!$A$16:$C$183,3,FALSE)</f>
        <v>937</v>
      </c>
      <c r="D104" s="192">
        <f>'base(indices)'!G97</f>
        <v>1.24500261</v>
      </c>
      <c r="E104" s="54">
        <f t="shared" si="80"/>
        <v>1166.56744557</v>
      </c>
      <c r="F104" s="82">
        <f>'base(indices)'!I97</f>
        <v>0.44496999999999998</v>
      </c>
      <c r="G104" s="54">
        <f t="shared" si="74"/>
        <v>519.08751625528294</v>
      </c>
      <c r="H104" s="267">
        <f t="shared" si="75"/>
        <v>1685.654961825283</v>
      </c>
      <c r="I104" s="277">
        <f t="shared" si="97"/>
        <v>127015.43010258849</v>
      </c>
      <c r="J104" s="58">
        <f>IF((I104-H$105+(H$105/12*3))+K104&gt;$I$197,$I$197-K104,(I104-H$105+(H$105/12*3)))</f>
        <v>76000.758974384822</v>
      </c>
      <c r="K104" s="91">
        <f t="shared" si="76"/>
        <v>8719.2410256151761</v>
      </c>
      <c r="L104" s="284">
        <f t="shared" si="81"/>
        <v>84720</v>
      </c>
      <c r="M104" s="57">
        <f t="shared" si="82"/>
        <v>72200.721025665582</v>
      </c>
      <c r="N104" s="91">
        <f t="shared" si="83"/>
        <v>8283.2789743344165</v>
      </c>
      <c r="O104" s="60">
        <f t="shared" si="84"/>
        <v>80484</v>
      </c>
      <c r="P104" s="58">
        <f t="shared" si="98"/>
        <v>68400.683076946341</v>
      </c>
      <c r="Q104" s="91">
        <f t="shared" si="86"/>
        <v>7847.3169230536587</v>
      </c>
      <c r="R104" s="59">
        <f t="shared" si="99"/>
        <v>76248</v>
      </c>
      <c r="S104" s="57">
        <f t="shared" si="88"/>
        <v>60800.607179507861</v>
      </c>
      <c r="T104" s="91">
        <f t="shared" si="89"/>
        <v>6975.3928204921413</v>
      </c>
      <c r="U104" s="60">
        <f t="shared" si="90"/>
        <v>67776</v>
      </c>
      <c r="V104" s="58">
        <f t="shared" si="91"/>
        <v>53200.531282069373</v>
      </c>
      <c r="W104" s="91">
        <f t="shared" si="92"/>
        <v>6103.4687179306229</v>
      </c>
      <c r="X104" s="59">
        <f t="shared" si="93"/>
        <v>59303.999999999993</v>
      </c>
      <c r="Y104" s="57">
        <f t="shared" si="94"/>
        <v>45600.455384630892</v>
      </c>
      <c r="Z104" s="91">
        <f t="shared" si="95"/>
        <v>5231.5446153691055</v>
      </c>
      <c r="AA104" s="59">
        <f t="shared" si="96"/>
        <v>50832</v>
      </c>
      <c r="AB104" s="32"/>
      <c r="AC104" s="32"/>
      <c r="AD104" s="32"/>
      <c r="AE104" s="32"/>
      <c r="AF104" s="32"/>
      <c r="AG104" s="33"/>
      <c r="AH104" s="32"/>
      <c r="AI104" s="32"/>
    </row>
    <row r="105" spans="1:35" ht="13.5" customHeight="1">
      <c r="A105" s="187">
        <v>74</v>
      </c>
      <c r="B105" s="50">
        <v>43040</v>
      </c>
      <c r="C105" s="61">
        <f>VLOOKUP(B105,'base(indices)'!$A$16:$C$183,3,FALSE)</f>
        <v>937</v>
      </c>
      <c r="D105" s="192">
        <f>'base(indices)'!G98</f>
        <v>1.24078394</v>
      </c>
      <c r="E105" s="63">
        <f t="shared" si="80"/>
        <v>1162.6145517800001</v>
      </c>
      <c r="F105" s="82">
        <f>'base(indices)'!I98</f>
        <v>0.44028</v>
      </c>
      <c r="G105" s="63">
        <f t="shared" si="74"/>
        <v>511.87593485769844</v>
      </c>
      <c r="H105" s="268">
        <f t="shared" si="75"/>
        <v>1674.4904866376985</v>
      </c>
      <c r="I105" s="278">
        <f t="shared" si="97"/>
        <v>125329.7751407632</v>
      </c>
      <c r="J105" s="45">
        <f>IF((I105-H$105+(H$105/12*2))+K105&gt;$I$197,$I$197-K105,(I105-H$105+(H$105/12*2)))</f>
        <v>76000.758974384822</v>
      </c>
      <c r="K105" s="108">
        <f t="shared" si="76"/>
        <v>8719.2410256151761</v>
      </c>
      <c r="L105" s="46">
        <f t="shared" si="81"/>
        <v>84720</v>
      </c>
      <c r="M105" s="43">
        <f t="shared" si="82"/>
        <v>72200.721025665582</v>
      </c>
      <c r="N105" s="108">
        <f t="shared" si="83"/>
        <v>8283.2789743344165</v>
      </c>
      <c r="O105" s="47">
        <f t="shared" si="84"/>
        <v>80484</v>
      </c>
      <c r="P105" s="119">
        <f t="shared" si="98"/>
        <v>68400.683076946341</v>
      </c>
      <c r="Q105" s="108">
        <f t="shared" si="86"/>
        <v>7847.3169230536587</v>
      </c>
      <c r="R105" s="46">
        <f t="shared" si="99"/>
        <v>76248</v>
      </c>
      <c r="S105" s="43">
        <f t="shared" si="88"/>
        <v>60800.607179507861</v>
      </c>
      <c r="T105" s="108">
        <f t="shared" si="89"/>
        <v>6975.3928204921413</v>
      </c>
      <c r="U105" s="47">
        <f t="shared" si="90"/>
        <v>67776</v>
      </c>
      <c r="V105" s="45">
        <f t="shared" si="91"/>
        <v>53200.531282069373</v>
      </c>
      <c r="W105" s="108">
        <f t="shared" si="92"/>
        <v>6103.4687179306229</v>
      </c>
      <c r="X105" s="46">
        <f t="shared" si="93"/>
        <v>59303.999999999993</v>
      </c>
      <c r="Y105" s="43">
        <f t="shared" si="94"/>
        <v>45600.455384630892</v>
      </c>
      <c r="Z105" s="108">
        <f t="shared" si="95"/>
        <v>5231.5446153691055</v>
      </c>
      <c r="AA105" s="46">
        <f t="shared" si="96"/>
        <v>50832</v>
      </c>
      <c r="AB105" s="16"/>
      <c r="AC105" s="16"/>
      <c r="AD105" s="16"/>
      <c r="AE105" s="16"/>
      <c r="AF105" s="16"/>
      <c r="AG105" s="17"/>
      <c r="AH105" s="16"/>
      <c r="AI105" s="16"/>
    </row>
    <row r="106" spans="1:35" s="26" customFormat="1" ht="13.5" customHeight="1" thickBot="1">
      <c r="A106" s="188">
        <v>73</v>
      </c>
      <c r="B106" s="247">
        <v>43070</v>
      </c>
      <c r="C106" s="69">
        <f>VLOOKUP(B106,'base(indices)'!$A$16:$C$183,3,FALSE)*2</f>
        <v>1874</v>
      </c>
      <c r="D106" s="335">
        <f>'base(indices)'!G99</f>
        <v>1.2368261</v>
      </c>
      <c r="E106" s="163">
        <f t="shared" si="80"/>
        <v>2317.8121114</v>
      </c>
      <c r="F106" s="304">
        <f>'base(indices)'!I99</f>
        <v>0.43600699999999998</v>
      </c>
      <c r="G106" s="163">
        <f t="shared" si="74"/>
        <v>1010.5823052551798</v>
      </c>
      <c r="H106" s="355">
        <f t="shared" si="75"/>
        <v>3328.3944166551801</v>
      </c>
      <c r="I106" s="280">
        <f t="shared" si="97"/>
        <v>123655.2846541255</v>
      </c>
      <c r="J106" s="175">
        <f>IF((I106-H$105+(H$105/12*1))+K106&gt;$I$197,$I$197-K106,(I106-H$105+(H$105/12*1)))</f>
        <v>76000.758974384822</v>
      </c>
      <c r="K106" s="86">
        <f t="shared" si="76"/>
        <v>8719.2410256151761</v>
      </c>
      <c r="L106" s="287">
        <f t="shared" si="81"/>
        <v>84720</v>
      </c>
      <c r="M106" s="85">
        <f t="shared" si="82"/>
        <v>72200.721025665582</v>
      </c>
      <c r="N106" s="86">
        <f t="shared" si="83"/>
        <v>8283.2789743344165</v>
      </c>
      <c r="O106" s="107">
        <f t="shared" si="84"/>
        <v>80484</v>
      </c>
      <c r="P106" s="175">
        <f t="shared" si="98"/>
        <v>68400.683076946341</v>
      </c>
      <c r="Q106" s="86">
        <f t="shared" si="86"/>
        <v>7847.3169230536587</v>
      </c>
      <c r="R106" s="165">
        <f t="shared" si="99"/>
        <v>76248</v>
      </c>
      <c r="S106" s="85">
        <f t="shared" si="88"/>
        <v>60800.607179507861</v>
      </c>
      <c r="T106" s="86">
        <f t="shared" si="89"/>
        <v>6975.3928204921413</v>
      </c>
      <c r="U106" s="107">
        <f t="shared" si="90"/>
        <v>67776</v>
      </c>
      <c r="V106" s="175">
        <f t="shared" si="91"/>
        <v>53200.531282069373</v>
      </c>
      <c r="W106" s="86">
        <f t="shared" si="92"/>
        <v>6103.4687179306229</v>
      </c>
      <c r="X106" s="165">
        <f t="shared" si="93"/>
        <v>59303.999999999993</v>
      </c>
      <c r="Y106" s="85">
        <f t="shared" si="94"/>
        <v>45600.455384630892</v>
      </c>
      <c r="Z106" s="86">
        <f t="shared" si="95"/>
        <v>5231.5446153691055</v>
      </c>
      <c r="AA106" s="165">
        <f t="shared" si="96"/>
        <v>50832</v>
      </c>
      <c r="AB106" s="32"/>
      <c r="AC106" s="32"/>
      <c r="AD106" s="32"/>
      <c r="AE106" s="32"/>
      <c r="AF106" s="32"/>
      <c r="AG106" s="33"/>
      <c r="AH106" s="32"/>
      <c r="AI106" s="32"/>
    </row>
    <row r="107" spans="1:35" ht="13.5" customHeight="1">
      <c r="A107" s="217">
        <v>72</v>
      </c>
      <c r="B107" s="136">
        <v>43101</v>
      </c>
      <c r="C107" s="41">
        <f>VLOOKUP(B107,'base(indices)'!$A$16:$C$183,3,FALSE)</f>
        <v>954</v>
      </c>
      <c r="D107" s="193">
        <f>'base(indices)'!G100</f>
        <v>1.2325123099999999</v>
      </c>
      <c r="E107" s="78">
        <f>C107*D107</f>
        <v>1175.81674374</v>
      </c>
      <c r="F107" s="79">
        <f>'base(indices)'!I100</f>
        <v>0.43173400000000001</v>
      </c>
      <c r="G107" s="78">
        <f t="shared" si="74"/>
        <v>507.64006604184516</v>
      </c>
      <c r="H107" s="266">
        <f t="shared" si="75"/>
        <v>1683.4568097818451</v>
      </c>
      <c r="I107" s="281">
        <f t="shared" si="97"/>
        <v>120326.89023747032</v>
      </c>
      <c r="J107" s="288">
        <f>IF((I107-H$117+(H$117))+K107&gt;I197,I197-K107,(I107-H$117+(H$117)))</f>
        <v>76000.758974384822</v>
      </c>
      <c r="K107" s="156">
        <f t="shared" si="76"/>
        <v>8719.2410256151761</v>
      </c>
      <c r="L107" s="150">
        <f t="shared" si="81"/>
        <v>84720</v>
      </c>
      <c r="M107" s="283">
        <f t="shared" si="82"/>
        <v>72200.721025665582</v>
      </c>
      <c r="N107" s="156">
        <f t="shared" si="83"/>
        <v>8283.2789743344165</v>
      </c>
      <c r="O107" s="290">
        <f t="shared" si="84"/>
        <v>80484</v>
      </c>
      <c r="P107" s="292">
        <f t="shared" si="98"/>
        <v>68400.683076946341</v>
      </c>
      <c r="Q107" s="156">
        <f t="shared" si="86"/>
        <v>7847.3169230536587</v>
      </c>
      <c r="R107" s="150">
        <f t="shared" si="99"/>
        <v>76248</v>
      </c>
      <c r="S107" s="283">
        <f t="shared" si="88"/>
        <v>60800.607179507861</v>
      </c>
      <c r="T107" s="156">
        <f t="shared" si="89"/>
        <v>6975.3928204921413</v>
      </c>
      <c r="U107" s="290">
        <f t="shared" si="90"/>
        <v>67776</v>
      </c>
      <c r="V107" s="288">
        <f t="shared" si="91"/>
        <v>53200.531282069373</v>
      </c>
      <c r="W107" s="156">
        <f t="shared" si="92"/>
        <v>6103.4687179306229</v>
      </c>
      <c r="X107" s="150">
        <f t="shared" si="93"/>
        <v>59303.999999999993</v>
      </c>
      <c r="Y107" s="283">
        <f t="shared" si="94"/>
        <v>45600.455384630892</v>
      </c>
      <c r="Z107" s="156">
        <f t="shared" si="95"/>
        <v>5231.5446153691055</v>
      </c>
      <c r="AA107" s="150">
        <f t="shared" si="96"/>
        <v>50832</v>
      </c>
      <c r="AB107" s="16"/>
      <c r="AC107" s="16"/>
      <c r="AD107" s="16"/>
      <c r="AE107" s="16"/>
      <c r="AF107" s="16"/>
      <c r="AG107" s="17"/>
      <c r="AH107" s="16"/>
      <c r="AI107" s="16"/>
    </row>
    <row r="108" spans="1:35" s="26" customFormat="1" ht="13.5" customHeight="1">
      <c r="A108" s="187">
        <v>71</v>
      </c>
      <c r="B108" s="50">
        <v>43132</v>
      </c>
      <c r="C108" s="61">
        <f>VLOOKUP(B108,'base(indices)'!$A$16:$C$183,3,FALSE)</f>
        <v>954</v>
      </c>
      <c r="D108" s="192">
        <f>'base(indices)'!G101</f>
        <v>1.2277241800000001</v>
      </c>
      <c r="E108" s="54">
        <f t="shared" ref="E108:E118" si="100">C108*D108</f>
        <v>1171.2488677200001</v>
      </c>
      <c r="F108" s="82">
        <f>'base(indices)'!I101</f>
        <v>0.42774000000000001</v>
      </c>
      <c r="G108" s="54">
        <f t="shared" si="74"/>
        <v>500.98999067855289</v>
      </c>
      <c r="H108" s="267">
        <f t="shared" si="75"/>
        <v>1672.238858398553</v>
      </c>
      <c r="I108" s="277">
        <f t="shared" si="97"/>
        <v>118643.43342768848</v>
      </c>
      <c r="J108" s="58">
        <f>IF((I108-H$117+(H$117/12*11))+K108&gt;I197,I197-K108,(I108-H$117+(H$117/12*11)))</f>
        <v>76000.758974384822</v>
      </c>
      <c r="K108" s="91">
        <f t="shared" si="76"/>
        <v>8719.2410256151761</v>
      </c>
      <c r="L108" s="284">
        <f t="shared" si="81"/>
        <v>84720</v>
      </c>
      <c r="M108" s="57">
        <f t="shared" si="82"/>
        <v>72200.721025665582</v>
      </c>
      <c r="N108" s="91">
        <f t="shared" si="83"/>
        <v>8283.2789743344165</v>
      </c>
      <c r="O108" s="60">
        <f t="shared" si="84"/>
        <v>80484</v>
      </c>
      <c r="P108" s="58">
        <f t="shared" si="98"/>
        <v>68400.683076946341</v>
      </c>
      <c r="Q108" s="91">
        <f t="shared" si="86"/>
        <v>7847.3169230536587</v>
      </c>
      <c r="R108" s="59">
        <f t="shared" si="99"/>
        <v>76248</v>
      </c>
      <c r="S108" s="57">
        <f t="shared" si="88"/>
        <v>60800.607179507861</v>
      </c>
      <c r="T108" s="91">
        <f t="shared" si="89"/>
        <v>6975.3928204921413</v>
      </c>
      <c r="U108" s="60">
        <f t="shared" si="90"/>
        <v>67776</v>
      </c>
      <c r="V108" s="58">
        <f t="shared" si="91"/>
        <v>53200.531282069373</v>
      </c>
      <c r="W108" s="91">
        <f t="shared" si="92"/>
        <v>6103.4687179306229</v>
      </c>
      <c r="X108" s="59">
        <f t="shared" si="93"/>
        <v>59303.999999999993</v>
      </c>
      <c r="Y108" s="57">
        <f t="shared" si="94"/>
        <v>45600.455384630892</v>
      </c>
      <c r="Z108" s="91">
        <f t="shared" si="95"/>
        <v>5231.5446153691055</v>
      </c>
      <c r="AA108" s="59">
        <f t="shared" si="96"/>
        <v>50832</v>
      </c>
      <c r="AB108" s="32"/>
      <c r="AC108" s="32"/>
      <c r="AD108" s="32"/>
      <c r="AE108" s="32"/>
      <c r="AF108" s="32"/>
      <c r="AG108" s="33"/>
      <c r="AH108" s="32"/>
      <c r="AI108" s="32"/>
    </row>
    <row r="109" spans="1:35" ht="13.5" customHeight="1">
      <c r="A109" s="187">
        <v>70</v>
      </c>
      <c r="B109" s="50">
        <v>43160</v>
      </c>
      <c r="C109" s="61">
        <f>VLOOKUP(B109,'base(indices)'!$A$16:$C$183,3,FALSE)</f>
        <v>954</v>
      </c>
      <c r="D109" s="192">
        <f>'base(indices)'!G102</f>
        <v>1.22307649</v>
      </c>
      <c r="E109" s="63">
        <f t="shared" si="100"/>
        <v>1166.8149714599999</v>
      </c>
      <c r="F109" s="82">
        <f>'base(indices)'!I102</f>
        <v>0.42374600000000001</v>
      </c>
      <c r="G109" s="63">
        <f t="shared" si="74"/>
        <v>494.43317689628913</v>
      </c>
      <c r="H109" s="268">
        <f t="shared" si="75"/>
        <v>1661.248148356289</v>
      </c>
      <c r="I109" s="278">
        <f t="shared" si="97"/>
        <v>116971.19456928992</v>
      </c>
      <c r="J109" s="45">
        <f>IF((I109-H$117+(H$117/12*10))+K109&gt;I197,I197-K109,(I109-H$117+(H$117/12*10)))</f>
        <v>76000.758974384822</v>
      </c>
      <c r="K109" s="108">
        <f t="shared" si="76"/>
        <v>8719.2410256151761</v>
      </c>
      <c r="L109" s="46">
        <f t="shared" si="81"/>
        <v>84720</v>
      </c>
      <c r="M109" s="43">
        <f t="shared" si="82"/>
        <v>72200.721025665582</v>
      </c>
      <c r="N109" s="108">
        <f t="shared" si="83"/>
        <v>8283.2789743344165</v>
      </c>
      <c r="O109" s="47">
        <f t="shared" si="84"/>
        <v>80484</v>
      </c>
      <c r="P109" s="119">
        <f t="shared" si="98"/>
        <v>68400.683076946341</v>
      </c>
      <c r="Q109" s="108">
        <f t="shared" si="86"/>
        <v>7847.3169230536587</v>
      </c>
      <c r="R109" s="46">
        <f t="shared" si="99"/>
        <v>76248</v>
      </c>
      <c r="S109" s="43">
        <f t="shared" si="88"/>
        <v>60800.607179507861</v>
      </c>
      <c r="T109" s="108">
        <f t="shared" si="89"/>
        <v>6975.3928204921413</v>
      </c>
      <c r="U109" s="47">
        <f t="shared" si="90"/>
        <v>67776</v>
      </c>
      <c r="V109" s="45">
        <f t="shared" si="91"/>
        <v>53200.531282069373</v>
      </c>
      <c r="W109" s="108">
        <f t="shared" si="92"/>
        <v>6103.4687179306229</v>
      </c>
      <c r="X109" s="46">
        <f t="shared" si="93"/>
        <v>59303.999999999993</v>
      </c>
      <c r="Y109" s="43">
        <f t="shared" si="94"/>
        <v>45600.455384630892</v>
      </c>
      <c r="Z109" s="108">
        <f t="shared" si="95"/>
        <v>5231.5446153691055</v>
      </c>
      <c r="AA109" s="46">
        <f t="shared" si="96"/>
        <v>50832</v>
      </c>
      <c r="AB109" s="16"/>
      <c r="AC109" s="16"/>
      <c r="AD109" s="16"/>
      <c r="AE109" s="16"/>
      <c r="AF109" s="16"/>
      <c r="AG109" s="17"/>
      <c r="AH109" s="16"/>
      <c r="AI109" s="16"/>
    </row>
    <row r="110" spans="1:35" s="26" customFormat="1" ht="13.5" customHeight="1">
      <c r="A110" s="187">
        <v>69</v>
      </c>
      <c r="B110" s="50">
        <v>43191</v>
      </c>
      <c r="C110" s="61">
        <f>VLOOKUP(B110,'base(indices)'!$A$16:$C$183,3,FALSE)</f>
        <v>954</v>
      </c>
      <c r="D110" s="192">
        <f>'base(indices)'!G103</f>
        <v>1.2218546400000001</v>
      </c>
      <c r="E110" s="54">
        <f t="shared" si="100"/>
        <v>1165.6493265600002</v>
      </c>
      <c r="F110" s="82">
        <f>'base(indices)'!I103</f>
        <v>0.41989100000000001</v>
      </c>
      <c r="G110" s="54">
        <f t="shared" si="74"/>
        <v>489.44566137860505</v>
      </c>
      <c r="H110" s="267">
        <f t="shared" si="75"/>
        <v>1655.0949879386053</v>
      </c>
      <c r="I110" s="277">
        <f t="shared" si="97"/>
        <v>115309.94642093363</v>
      </c>
      <c r="J110" s="58">
        <f>IF((I110-H$117+(H$117/12*9))+K110&gt;I197,I197-K110,(I110-H$117+(H$117/12*9)))</f>
        <v>76000.758974384822</v>
      </c>
      <c r="K110" s="91">
        <f t="shared" si="76"/>
        <v>8719.2410256151761</v>
      </c>
      <c r="L110" s="284">
        <f t="shared" si="81"/>
        <v>84720</v>
      </c>
      <c r="M110" s="57">
        <f t="shared" si="82"/>
        <v>72200.721025665582</v>
      </c>
      <c r="N110" s="91">
        <f t="shared" si="83"/>
        <v>8283.2789743344165</v>
      </c>
      <c r="O110" s="60">
        <f t="shared" si="84"/>
        <v>80484</v>
      </c>
      <c r="P110" s="58">
        <f t="shared" si="98"/>
        <v>68400.683076946341</v>
      </c>
      <c r="Q110" s="91">
        <f t="shared" si="86"/>
        <v>7847.3169230536587</v>
      </c>
      <c r="R110" s="59">
        <f t="shared" si="99"/>
        <v>76248</v>
      </c>
      <c r="S110" s="57">
        <f t="shared" si="88"/>
        <v>60800.607179507861</v>
      </c>
      <c r="T110" s="91">
        <f t="shared" si="89"/>
        <v>6975.3928204921413</v>
      </c>
      <c r="U110" s="60">
        <f t="shared" si="90"/>
        <v>67776</v>
      </c>
      <c r="V110" s="58">
        <f t="shared" si="91"/>
        <v>53200.531282069373</v>
      </c>
      <c r="W110" s="91">
        <f t="shared" si="92"/>
        <v>6103.4687179306229</v>
      </c>
      <c r="X110" s="59">
        <f t="shared" si="93"/>
        <v>59303.999999999993</v>
      </c>
      <c r="Y110" s="57">
        <f t="shared" si="94"/>
        <v>45600.455384630892</v>
      </c>
      <c r="Z110" s="91">
        <f t="shared" si="95"/>
        <v>5231.5446153691055</v>
      </c>
      <c r="AA110" s="59">
        <f t="shared" si="96"/>
        <v>50832</v>
      </c>
      <c r="AB110" s="32"/>
      <c r="AC110" s="32"/>
      <c r="AD110" s="32"/>
      <c r="AE110" s="32"/>
      <c r="AF110" s="32"/>
      <c r="AG110" s="33"/>
      <c r="AH110" s="32"/>
      <c r="AI110" s="32"/>
    </row>
    <row r="111" spans="1:35" ht="13.5" customHeight="1">
      <c r="A111" s="187">
        <v>68</v>
      </c>
      <c r="B111" s="50">
        <v>43221</v>
      </c>
      <c r="C111" s="61">
        <f>VLOOKUP(B111,'base(indices)'!$A$16:$C$183,3,FALSE)</f>
        <v>954</v>
      </c>
      <c r="D111" s="192">
        <f>'base(indices)'!G104</f>
        <v>1.21929412</v>
      </c>
      <c r="E111" s="63">
        <f t="shared" si="100"/>
        <v>1163.2065904799999</v>
      </c>
      <c r="F111" s="82">
        <f>'base(indices)'!I104</f>
        <v>0.41617599999999999</v>
      </c>
      <c r="G111" s="63">
        <f t="shared" si="74"/>
        <v>484.09866599960446</v>
      </c>
      <c r="H111" s="268">
        <f t="shared" si="75"/>
        <v>1647.3052564796044</v>
      </c>
      <c r="I111" s="278">
        <f t="shared" si="97"/>
        <v>113654.85143299503</v>
      </c>
      <c r="J111" s="45">
        <f>IF((I111-H$117+(H$117/12*8))+K111&gt;I197,I197-K111,(I111-H$117+(H$117/12*8)))</f>
        <v>76000.758974384822</v>
      </c>
      <c r="K111" s="108">
        <f t="shared" si="76"/>
        <v>8719.2410256151761</v>
      </c>
      <c r="L111" s="46">
        <f t="shared" si="81"/>
        <v>84720</v>
      </c>
      <c r="M111" s="43">
        <f t="shared" si="82"/>
        <v>72200.721025665582</v>
      </c>
      <c r="N111" s="108">
        <f t="shared" si="83"/>
        <v>8283.2789743344165</v>
      </c>
      <c r="O111" s="47">
        <f t="shared" si="84"/>
        <v>80484</v>
      </c>
      <c r="P111" s="119">
        <f t="shared" si="98"/>
        <v>68400.683076946341</v>
      </c>
      <c r="Q111" s="108">
        <f t="shared" si="86"/>
        <v>7847.3169230536587</v>
      </c>
      <c r="R111" s="46">
        <f t="shared" si="99"/>
        <v>76248</v>
      </c>
      <c r="S111" s="43">
        <f t="shared" si="88"/>
        <v>60800.607179507861</v>
      </c>
      <c r="T111" s="108">
        <f t="shared" si="89"/>
        <v>6975.3928204921413</v>
      </c>
      <c r="U111" s="47">
        <f t="shared" si="90"/>
        <v>67776</v>
      </c>
      <c r="V111" s="45">
        <f t="shared" si="91"/>
        <v>53200.531282069373</v>
      </c>
      <c r="W111" s="108">
        <f t="shared" si="92"/>
        <v>6103.4687179306229</v>
      </c>
      <c r="X111" s="46">
        <f t="shared" si="93"/>
        <v>59303.999999999993</v>
      </c>
      <c r="Y111" s="43">
        <f t="shared" si="94"/>
        <v>45600.455384630892</v>
      </c>
      <c r="Z111" s="108">
        <f t="shared" si="95"/>
        <v>5231.5446153691055</v>
      </c>
      <c r="AA111" s="46">
        <f t="shared" si="96"/>
        <v>50832</v>
      </c>
      <c r="AB111" s="16"/>
      <c r="AC111" s="16"/>
      <c r="AD111" s="16"/>
      <c r="AE111" s="16"/>
      <c r="AF111" s="16"/>
      <c r="AG111" s="17"/>
      <c r="AH111" s="16"/>
      <c r="AI111" s="16"/>
    </row>
    <row r="112" spans="1:35" s="26" customFormat="1" ht="13.5" customHeight="1">
      <c r="A112" s="187">
        <v>67</v>
      </c>
      <c r="B112" s="50">
        <v>43252</v>
      </c>
      <c r="C112" s="61">
        <f>VLOOKUP(B112,'base(indices)'!$A$16:$C$183,3,FALSE)</f>
        <v>954</v>
      </c>
      <c r="D112" s="192">
        <f>'base(indices)'!G105</f>
        <v>1.2175895000000001</v>
      </c>
      <c r="E112" s="54">
        <f t="shared" si="100"/>
        <v>1161.5803830000002</v>
      </c>
      <c r="F112" s="82">
        <f>'base(indices)'!I105</f>
        <v>0.41246100000000002</v>
      </c>
      <c r="G112" s="54">
        <f t="shared" si="74"/>
        <v>479.10660635256312</v>
      </c>
      <c r="H112" s="267">
        <f t="shared" si="75"/>
        <v>1640.6869893525634</v>
      </c>
      <c r="I112" s="277">
        <f t="shared" si="97"/>
        <v>112007.54617651542</v>
      </c>
      <c r="J112" s="58">
        <f>IF((I112-H$117+(H$117/12*7))+K112&gt;I197,I197-K112,(I112-H$117+(H$117/12*7)))</f>
        <v>76000.758974384822</v>
      </c>
      <c r="K112" s="91">
        <f t="shared" si="76"/>
        <v>8719.2410256151761</v>
      </c>
      <c r="L112" s="284">
        <f t="shared" si="81"/>
        <v>84720</v>
      </c>
      <c r="M112" s="57">
        <f t="shared" si="82"/>
        <v>72200.721025665582</v>
      </c>
      <c r="N112" s="91">
        <f t="shared" si="83"/>
        <v>8283.2789743344165</v>
      </c>
      <c r="O112" s="60">
        <f t="shared" si="84"/>
        <v>80484</v>
      </c>
      <c r="P112" s="58">
        <f t="shared" si="98"/>
        <v>68400.683076946341</v>
      </c>
      <c r="Q112" s="91">
        <f t="shared" si="86"/>
        <v>7847.3169230536587</v>
      </c>
      <c r="R112" s="59">
        <f t="shared" si="99"/>
        <v>76248</v>
      </c>
      <c r="S112" s="57">
        <f t="shared" si="88"/>
        <v>60800.607179507861</v>
      </c>
      <c r="T112" s="91">
        <f t="shared" si="89"/>
        <v>6975.3928204921413</v>
      </c>
      <c r="U112" s="60">
        <f t="shared" si="90"/>
        <v>67776</v>
      </c>
      <c r="V112" s="58">
        <f t="shared" si="91"/>
        <v>53200.531282069373</v>
      </c>
      <c r="W112" s="91">
        <f t="shared" si="92"/>
        <v>6103.4687179306229</v>
      </c>
      <c r="X112" s="59">
        <f t="shared" si="93"/>
        <v>59303.999999999993</v>
      </c>
      <c r="Y112" s="57">
        <f t="shared" si="94"/>
        <v>45600.455384630892</v>
      </c>
      <c r="Z112" s="91">
        <f t="shared" si="95"/>
        <v>5231.5446153691055</v>
      </c>
      <c r="AA112" s="59">
        <f t="shared" si="96"/>
        <v>50832</v>
      </c>
      <c r="AB112" s="32"/>
      <c r="AC112" s="32"/>
      <c r="AD112" s="32"/>
      <c r="AE112" s="32"/>
      <c r="AF112" s="32"/>
      <c r="AG112" s="33"/>
      <c r="AH112" s="32"/>
      <c r="AI112" s="32"/>
    </row>
    <row r="113" spans="1:35" ht="13.5" customHeight="1">
      <c r="A113" s="187">
        <v>66</v>
      </c>
      <c r="B113" s="50">
        <v>43282</v>
      </c>
      <c r="C113" s="61">
        <f>VLOOKUP(B113,'base(indices)'!$A$16:$C$183,3,FALSE)</f>
        <v>954</v>
      </c>
      <c r="D113" s="192">
        <f>'base(indices)'!G106</f>
        <v>1.2042226199999999</v>
      </c>
      <c r="E113" s="63">
        <f t="shared" si="100"/>
        <v>1148.82837948</v>
      </c>
      <c r="F113" s="82">
        <f>'base(indices)'!I106</f>
        <v>0.408746</v>
      </c>
      <c r="G113" s="63">
        <f t="shared" si="74"/>
        <v>469.57900479893209</v>
      </c>
      <c r="H113" s="268">
        <f t="shared" si="75"/>
        <v>1618.4073842789321</v>
      </c>
      <c r="I113" s="278">
        <f t="shared" si="97"/>
        <v>110366.85918716286</v>
      </c>
      <c r="J113" s="45">
        <f>IF((I113-H$117+(H$117/12*6))+K113&gt;I197,I197-K113,(I113-H$117+(H$117/12*6)))</f>
        <v>76000.758974384822</v>
      </c>
      <c r="K113" s="108">
        <f t="shared" si="76"/>
        <v>8719.2410256151761</v>
      </c>
      <c r="L113" s="46">
        <f t="shared" si="81"/>
        <v>84720</v>
      </c>
      <c r="M113" s="43">
        <f t="shared" si="82"/>
        <v>72200.721025665582</v>
      </c>
      <c r="N113" s="108">
        <f t="shared" si="83"/>
        <v>8283.2789743344165</v>
      </c>
      <c r="O113" s="47">
        <f t="shared" si="84"/>
        <v>80484</v>
      </c>
      <c r="P113" s="119">
        <f t="shared" si="98"/>
        <v>68400.683076946341</v>
      </c>
      <c r="Q113" s="108">
        <f t="shared" si="86"/>
        <v>7847.3169230536587</v>
      </c>
      <c r="R113" s="46">
        <f t="shared" si="99"/>
        <v>76248</v>
      </c>
      <c r="S113" s="43">
        <f t="shared" si="88"/>
        <v>60800.607179507861</v>
      </c>
      <c r="T113" s="108">
        <f t="shared" si="89"/>
        <v>6975.3928204921413</v>
      </c>
      <c r="U113" s="47">
        <f t="shared" si="90"/>
        <v>67776</v>
      </c>
      <c r="V113" s="45">
        <f t="shared" si="91"/>
        <v>53200.531282069373</v>
      </c>
      <c r="W113" s="108">
        <f t="shared" si="92"/>
        <v>6103.4687179306229</v>
      </c>
      <c r="X113" s="46">
        <f t="shared" si="93"/>
        <v>59303.999999999993</v>
      </c>
      <c r="Y113" s="43">
        <f t="shared" si="94"/>
        <v>45600.455384630892</v>
      </c>
      <c r="Z113" s="108">
        <f t="shared" si="95"/>
        <v>5231.5446153691055</v>
      </c>
      <c r="AA113" s="46">
        <f t="shared" si="96"/>
        <v>50832</v>
      </c>
      <c r="AB113" s="16"/>
      <c r="AC113" s="16"/>
      <c r="AD113" s="16"/>
      <c r="AE113" s="16"/>
      <c r="AF113" s="16"/>
      <c r="AG113" s="17"/>
      <c r="AH113" s="16"/>
      <c r="AI113" s="16"/>
    </row>
    <row r="114" spans="1:35" s="26" customFormat="1" ht="13.5" customHeight="1">
      <c r="A114" s="187">
        <v>65</v>
      </c>
      <c r="B114" s="50">
        <v>43313</v>
      </c>
      <c r="C114" s="61">
        <f>VLOOKUP(B114,'base(indices)'!$A$16:$C$183,3,FALSE)</f>
        <v>954</v>
      </c>
      <c r="D114" s="192">
        <f>'base(indices)'!G107</f>
        <v>1.19656461</v>
      </c>
      <c r="E114" s="54">
        <f t="shared" si="100"/>
        <v>1141.5226379400001</v>
      </c>
      <c r="F114" s="82">
        <f>'base(indices)'!I107</f>
        <v>0.40503099999999997</v>
      </c>
      <c r="G114" s="54">
        <f t="shared" si="74"/>
        <v>462.35205556747616</v>
      </c>
      <c r="H114" s="267">
        <f t="shared" si="75"/>
        <v>1603.8746935074762</v>
      </c>
      <c r="I114" s="277">
        <f t="shared" si="97"/>
        <v>108748.45180288392</v>
      </c>
      <c r="J114" s="58">
        <f>IF((I114-H$117+(H$117/12*5))+K114&gt;I197,I197-K114,(I114-H$117+(H$117/12*5)))</f>
        <v>76000.758974384822</v>
      </c>
      <c r="K114" s="91">
        <f t="shared" si="76"/>
        <v>8719.2410256151761</v>
      </c>
      <c r="L114" s="284">
        <f t="shared" si="81"/>
        <v>84720</v>
      </c>
      <c r="M114" s="57">
        <f t="shared" si="82"/>
        <v>72200.721025665582</v>
      </c>
      <c r="N114" s="91">
        <f t="shared" si="83"/>
        <v>8283.2789743344165</v>
      </c>
      <c r="O114" s="60">
        <f t="shared" si="84"/>
        <v>80484</v>
      </c>
      <c r="P114" s="58">
        <f t="shared" si="98"/>
        <v>68400.683076946341</v>
      </c>
      <c r="Q114" s="91">
        <f t="shared" si="86"/>
        <v>7847.3169230536587</v>
      </c>
      <c r="R114" s="59">
        <f t="shared" si="99"/>
        <v>76248</v>
      </c>
      <c r="S114" s="57">
        <f t="shared" si="88"/>
        <v>60800.607179507861</v>
      </c>
      <c r="T114" s="91">
        <f t="shared" si="89"/>
        <v>6975.3928204921413</v>
      </c>
      <c r="U114" s="60">
        <f t="shared" si="90"/>
        <v>67776</v>
      </c>
      <c r="V114" s="58">
        <f t="shared" si="91"/>
        <v>53200.531282069373</v>
      </c>
      <c r="W114" s="91">
        <f t="shared" si="92"/>
        <v>6103.4687179306229</v>
      </c>
      <c r="X114" s="59">
        <f t="shared" si="93"/>
        <v>59303.999999999993</v>
      </c>
      <c r="Y114" s="57">
        <f t="shared" si="94"/>
        <v>45600.455384630892</v>
      </c>
      <c r="Z114" s="91">
        <f t="shared" si="95"/>
        <v>5231.5446153691055</v>
      </c>
      <c r="AA114" s="59">
        <f t="shared" si="96"/>
        <v>50832</v>
      </c>
      <c r="AB114" s="32"/>
      <c r="AC114" s="32"/>
      <c r="AD114" s="32"/>
      <c r="AE114" s="32"/>
      <c r="AF114" s="32"/>
      <c r="AG114" s="33"/>
      <c r="AH114" s="32"/>
      <c r="AI114" s="32"/>
    </row>
    <row r="115" spans="1:35" ht="13.5" customHeight="1">
      <c r="A115" s="187">
        <v>64</v>
      </c>
      <c r="B115" s="50">
        <v>43344</v>
      </c>
      <c r="C115" s="61">
        <f>VLOOKUP(B115,'base(indices)'!$A$16:$C$183,3,FALSE)</f>
        <v>954</v>
      </c>
      <c r="D115" s="192">
        <f>'base(indices)'!G108</f>
        <v>1.1950111000000001</v>
      </c>
      <c r="E115" s="63">
        <f t="shared" si="100"/>
        <v>1140.0405894</v>
      </c>
      <c r="F115" s="82">
        <f>'base(indices)'!I108</f>
        <v>0.40131600000000001</v>
      </c>
      <c r="G115" s="63">
        <f t="shared" si="74"/>
        <v>457.51652917565042</v>
      </c>
      <c r="H115" s="268">
        <f t="shared" si="75"/>
        <v>1597.5571185756505</v>
      </c>
      <c r="I115" s="278">
        <f t="shared" si="97"/>
        <v>107144.57710937645</v>
      </c>
      <c r="J115" s="45">
        <f>IF((I115-H$117+(H$117/12*4))+K115&gt;I197,I197-K115,(I115-H$117+(H$117/12*4)))</f>
        <v>76000.758974384822</v>
      </c>
      <c r="K115" s="108">
        <f t="shared" si="76"/>
        <v>8719.2410256151761</v>
      </c>
      <c r="L115" s="46">
        <f t="shared" si="81"/>
        <v>84720</v>
      </c>
      <c r="M115" s="43">
        <f t="shared" si="82"/>
        <v>72200.721025665582</v>
      </c>
      <c r="N115" s="108">
        <f t="shared" si="83"/>
        <v>8283.2789743344165</v>
      </c>
      <c r="O115" s="47">
        <f t="shared" si="84"/>
        <v>80484</v>
      </c>
      <c r="P115" s="119">
        <f t="shared" si="98"/>
        <v>68400.683076946341</v>
      </c>
      <c r="Q115" s="108">
        <f t="shared" si="86"/>
        <v>7847.3169230536587</v>
      </c>
      <c r="R115" s="46">
        <f t="shared" si="99"/>
        <v>76248</v>
      </c>
      <c r="S115" s="43">
        <f t="shared" si="88"/>
        <v>60800.607179507861</v>
      </c>
      <c r="T115" s="108">
        <f t="shared" si="89"/>
        <v>6975.3928204921413</v>
      </c>
      <c r="U115" s="47">
        <f t="shared" si="90"/>
        <v>67776</v>
      </c>
      <c r="V115" s="45">
        <f t="shared" si="91"/>
        <v>53200.531282069373</v>
      </c>
      <c r="W115" s="108">
        <f t="shared" si="92"/>
        <v>6103.4687179306229</v>
      </c>
      <c r="X115" s="46">
        <f t="shared" si="93"/>
        <v>59303.999999999993</v>
      </c>
      <c r="Y115" s="43">
        <f t="shared" si="94"/>
        <v>45600.455384630892</v>
      </c>
      <c r="Z115" s="108">
        <f t="shared" si="95"/>
        <v>5231.5446153691055</v>
      </c>
      <c r="AA115" s="46">
        <f t="shared" si="96"/>
        <v>50832</v>
      </c>
      <c r="AB115" s="16"/>
      <c r="AC115" s="16"/>
      <c r="AD115" s="16"/>
      <c r="AE115" s="16"/>
      <c r="AF115" s="16"/>
      <c r="AG115" s="17"/>
      <c r="AH115" s="16"/>
      <c r="AI115" s="16"/>
    </row>
    <row r="116" spans="1:35" s="26" customFormat="1" ht="13.5" customHeight="1">
      <c r="A116" s="187">
        <v>63</v>
      </c>
      <c r="B116" s="50">
        <v>43374</v>
      </c>
      <c r="C116" s="61">
        <f>VLOOKUP(B116,'base(indices)'!$A$16:$C$183,3,FALSE)</f>
        <v>954</v>
      </c>
      <c r="D116" s="192">
        <f>'base(indices)'!G109</f>
        <v>1.1939365500000001</v>
      </c>
      <c r="E116" s="54">
        <f t="shared" si="100"/>
        <v>1139.0154687000002</v>
      </c>
      <c r="F116" s="82">
        <f>'base(indices)'!I109</f>
        <v>0.39760099999999998</v>
      </c>
      <c r="G116" s="54">
        <f t="shared" si="74"/>
        <v>452.87368937058875</v>
      </c>
      <c r="H116" s="267">
        <f t="shared" si="75"/>
        <v>1591.889158070589</v>
      </c>
      <c r="I116" s="277">
        <f t="shared" si="97"/>
        <v>105547.01999080079</v>
      </c>
      <c r="J116" s="58">
        <f>IF((I116-H$117+(H$117/12*3))+K116&gt;I197,I197-K116,(I116-H$117+(H$117/12*3)))</f>
        <v>76000.758974384822</v>
      </c>
      <c r="K116" s="91">
        <f t="shared" si="76"/>
        <v>8719.2410256151761</v>
      </c>
      <c r="L116" s="284">
        <f t="shared" si="81"/>
        <v>84720</v>
      </c>
      <c r="M116" s="57">
        <f t="shared" si="82"/>
        <v>72200.721025665582</v>
      </c>
      <c r="N116" s="91">
        <f t="shared" si="83"/>
        <v>8283.2789743344165</v>
      </c>
      <c r="O116" s="60">
        <f t="shared" si="84"/>
        <v>80484</v>
      </c>
      <c r="P116" s="58">
        <f t="shared" si="98"/>
        <v>68400.683076946341</v>
      </c>
      <c r="Q116" s="91">
        <f t="shared" si="86"/>
        <v>7847.3169230536587</v>
      </c>
      <c r="R116" s="59">
        <f t="shared" si="99"/>
        <v>76248</v>
      </c>
      <c r="S116" s="57">
        <f t="shared" si="88"/>
        <v>60800.607179507861</v>
      </c>
      <c r="T116" s="91">
        <f t="shared" si="89"/>
        <v>6975.3928204921413</v>
      </c>
      <c r="U116" s="60">
        <f t="shared" si="90"/>
        <v>67776</v>
      </c>
      <c r="V116" s="58">
        <f t="shared" si="91"/>
        <v>53200.531282069373</v>
      </c>
      <c r="W116" s="91">
        <f t="shared" si="92"/>
        <v>6103.4687179306229</v>
      </c>
      <c r="X116" s="59">
        <f t="shared" si="93"/>
        <v>59303.999999999993</v>
      </c>
      <c r="Y116" s="57">
        <f t="shared" si="94"/>
        <v>45600.455384630892</v>
      </c>
      <c r="Z116" s="91">
        <f t="shared" si="95"/>
        <v>5231.5446153691055</v>
      </c>
      <c r="AA116" s="59">
        <f t="shared" si="96"/>
        <v>50832</v>
      </c>
      <c r="AB116" s="32"/>
      <c r="AC116" s="32"/>
      <c r="AD116" s="32"/>
      <c r="AE116" s="32"/>
      <c r="AF116" s="32"/>
      <c r="AG116" s="33"/>
      <c r="AH116" s="32"/>
      <c r="AI116" s="32"/>
    </row>
    <row r="117" spans="1:35" ht="13.5" customHeight="1">
      <c r="A117" s="187">
        <v>62</v>
      </c>
      <c r="B117" s="50">
        <v>43405</v>
      </c>
      <c r="C117" s="61">
        <f>VLOOKUP(B117,'base(indices)'!$A$16:$C$183,3,FALSE)</f>
        <v>954</v>
      </c>
      <c r="D117" s="192">
        <f>'base(indices)'!G110</f>
        <v>1.1870516499999999</v>
      </c>
      <c r="E117" s="63">
        <f t="shared" si="100"/>
        <v>1132.4472741</v>
      </c>
      <c r="F117" s="82">
        <f>'base(indices)'!I110</f>
        <v>0.39388600000000001</v>
      </c>
      <c r="G117" s="63">
        <f t="shared" si="74"/>
        <v>446.05512700615259</v>
      </c>
      <c r="H117" s="268">
        <f t="shared" si="75"/>
        <v>1578.5024011061525</v>
      </c>
      <c r="I117" s="278">
        <f t="shared" si="97"/>
        <v>103955.13083273021</v>
      </c>
      <c r="J117" s="45">
        <f>IF((I117-H$117+(H$117/12*2))+K117&gt;I197,I197-K117,(I117-H$117+(H$117/12*2)))</f>
        <v>76000.758974384822</v>
      </c>
      <c r="K117" s="108">
        <f t="shared" si="76"/>
        <v>8719.2410256151761</v>
      </c>
      <c r="L117" s="46">
        <f t="shared" si="81"/>
        <v>84720</v>
      </c>
      <c r="M117" s="43">
        <f t="shared" si="82"/>
        <v>72200.721025665582</v>
      </c>
      <c r="N117" s="108">
        <f>K117*M$9</f>
        <v>8283.2789743344165</v>
      </c>
      <c r="O117" s="47">
        <f t="shared" si="84"/>
        <v>80484</v>
      </c>
      <c r="P117" s="119">
        <f t="shared" si="98"/>
        <v>68400.683076946341</v>
      </c>
      <c r="Q117" s="108">
        <f t="shared" si="86"/>
        <v>7847.3169230536587</v>
      </c>
      <c r="R117" s="46">
        <f t="shared" si="99"/>
        <v>76248</v>
      </c>
      <c r="S117" s="43">
        <f t="shared" si="88"/>
        <v>60800.607179507861</v>
      </c>
      <c r="T117" s="108">
        <f t="shared" si="89"/>
        <v>6975.3928204921413</v>
      </c>
      <c r="U117" s="47">
        <f t="shared" si="90"/>
        <v>67776</v>
      </c>
      <c r="V117" s="45">
        <f t="shared" si="91"/>
        <v>53200.531282069373</v>
      </c>
      <c r="W117" s="108">
        <f t="shared" si="92"/>
        <v>6103.4687179306229</v>
      </c>
      <c r="X117" s="46">
        <f t="shared" si="93"/>
        <v>59303.999999999993</v>
      </c>
      <c r="Y117" s="43">
        <f t="shared" si="94"/>
        <v>45600.455384630892</v>
      </c>
      <c r="Z117" s="108">
        <f t="shared" si="95"/>
        <v>5231.5446153691055</v>
      </c>
      <c r="AA117" s="46">
        <f t="shared" si="96"/>
        <v>50832</v>
      </c>
      <c r="AB117" s="16"/>
      <c r="AC117" s="16"/>
      <c r="AD117" s="16"/>
      <c r="AE117" s="16"/>
      <c r="AF117" s="16"/>
      <c r="AG117" s="17"/>
      <c r="AH117" s="16"/>
      <c r="AI117" s="16"/>
    </row>
    <row r="118" spans="1:35" s="26" customFormat="1" ht="13.5" customHeight="1" thickBot="1">
      <c r="A118" s="188">
        <v>61</v>
      </c>
      <c r="B118" s="247">
        <v>43435</v>
      </c>
      <c r="C118" s="69">
        <f>VLOOKUP(B118,'base(indices)'!$A$16:$C$183,3,FALSE)*2</f>
        <v>1908</v>
      </c>
      <c r="D118" s="335">
        <f>'base(indices)'!G111</f>
        <v>1.18480053</v>
      </c>
      <c r="E118" s="163">
        <f t="shared" si="100"/>
        <v>2260.5994112399999</v>
      </c>
      <c r="F118" s="304">
        <f>'base(indices)'!I111</f>
        <v>0.39017099999999999</v>
      </c>
      <c r="G118" s="163">
        <f t="shared" si="74"/>
        <v>882.02033288292193</v>
      </c>
      <c r="H118" s="355">
        <f t="shared" si="75"/>
        <v>3142.6197441229219</v>
      </c>
      <c r="I118" s="279">
        <f t="shared" si="97"/>
        <v>102376.62843162406</v>
      </c>
      <c r="J118" s="285">
        <f>IF((I118-H$117+(H$117/12*1))+K118&gt;I197,I197-K118,(I118-H$117+(H$117/12*1)))</f>
        <v>76000.758974384822</v>
      </c>
      <c r="K118" s="202">
        <f t="shared" si="76"/>
        <v>8719.2410256151761</v>
      </c>
      <c r="L118" s="286">
        <f t="shared" si="81"/>
        <v>84720</v>
      </c>
      <c r="M118" s="282">
        <f t="shared" si="82"/>
        <v>72200.721025665582</v>
      </c>
      <c r="N118" s="202">
        <f t="shared" si="83"/>
        <v>8283.2789743344165</v>
      </c>
      <c r="O118" s="289">
        <f t="shared" si="84"/>
        <v>80484</v>
      </c>
      <c r="P118" s="285">
        <f t="shared" si="98"/>
        <v>68400.683076946341</v>
      </c>
      <c r="Q118" s="202">
        <f t="shared" si="86"/>
        <v>7847.3169230536587</v>
      </c>
      <c r="R118" s="203">
        <f t="shared" si="99"/>
        <v>76248</v>
      </c>
      <c r="S118" s="282">
        <f t="shared" si="88"/>
        <v>60800.607179507861</v>
      </c>
      <c r="T118" s="202">
        <f t="shared" si="89"/>
        <v>6975.3928204921413</v>
      </c>
      <c r="U118" s="289">
        <f t="shared" si="90"/>
        <v>67776</v>
      </c>
      <c r="V118" s="285">
        <f t="shared" si="91"/>
        <v>53200.531282069373</v>
      </c>
      <c r="W118" s="202">
        <f t="shared" si="92"/>
        <v>6103.4687179306229</v>
      </c>
      <c r="X118" s="203">
        <f t="shared" si="93"/>
        <v>59303.999999999993</v>
      </c>
      <c r="Y118" s="282">
        <f t="shared" si="94"/>
        <v>45600.455384630892</v>
      </c>
      <c r="Z118" s="202">
        <f t="shared" si="95"/>
        <v>5231.5446153691055</v>
      </c>
      <c r="AA118" s="203">
        <f t="shared" si="96"/>
        <v>50832</v>
      </c>
      <c r="AB118" s="32"/>
      <c r="AC118" s="32"/>
      <c r="AD118" s="32"/>
      <c r="AE118" s="32"/>
      <c r="AF118" s="32"/>
      <c r="AG118" s="33"/>
      <c r="AH118" s="32"/>
      <c r="AI118" s="32"/>
    </row>
    <row r="119" spans="1:35" ht="13.5" customHeight="1">
      <c r="A119" s="190">
        <v>60</v>
      </c>
      <c r="B119" s="136">
        <v>43466</v>
      </c>
      <c r="C119" s="41">
        <f>VLOOKUP(B119,'base(indices)'!$A$16:$C$183,3,FALSE)</f>
        <v>998</v>
      </c>
      <c r="D119" s="193">
        <f>'base(indices)'!G112</f>
        <v>1.18669925</v>
      </c>
      <c r="E119" s="78">
        <f>C119*D119</f>
        <v>1184.3258515</v>
      </c>
      <c r="F119" s="79">
        <f>'base(indices)'!I112</f>
        <v>0.38645600000000002</v>
      </c>
      <c r="G119" s="78">
        <f t="shared" si="74"/>
        <v>457.68983126728403</v>
      </c>
      <c r="H119" s="266">
        <f t="shared" si="75"/>
        <v>1642.015682767284</v>
      </c>
      <c r="I119" s="276">
        <f t="shared" si="97"/>
        <v>99234.008687501148</v>
      </c>
      <c r="J119" s="48">
        <f>IF((I119-H$129+(H$129))+K119&gt;I197,I197-K119,(I119-H$129+(H$129)))</f>
        <v>76000.758974384822</v>
      </c>
      <c r="K119" s="109">
        <f t="shared" si="76"/>
        <v>8719.2410256151761</v>
      </c>
      <c r="L119" s="49">
        <f t="shared" si="81"/>
        <v>84720</v>
      </c>
      <c r="M119" s="138">
        <f t="shared" si="82"/>
        <v>72200.721025665582</v>
      </c>
      <c r="N119" s="109">
        <f t="shared" si="83"/>
        <v>8283.2789743344165</v>
      </c>
      <c r="O119" s="139">
        <f t="shared" si="84"/>
        <v>80484</v>
      </c>
      <c r="P119" s="291">
        <f t="shared" si="98"/>
        <v>68400.683076946341</v>
      </c>
      <c r="Q119" s="109">
        <f t="shared" si="86"/>
        <v>7847.3169230536587</v>
      </c>
      <c r="R119" s="49">
        <f t="shared" si="99"/>
        <v>76248</v>
      </c>
      <c r="S119" s="138">
        <f t="shared" si="88"/>
        <v>60800.607179507861</v>
      </c>
      <c r="T119" s="109">
        <f t="shared" si="89"/>
        <v>6975.3928204921413</v>
      </c>
      <c r="U119" s="139">
        <f t="shared" si="90"/>
        <v>67776</v>
      </c>
      <c r="V119" s="48">
        <f t="shared" si="91"/>
        <v>53200.531282069373</v>
      </c>
      <c r="W119" s="109">
        <f t="shared" si="92"/>
        <v>6103.4687179306229</v>
      </c>
      <c r="X119" s="49">
        <f t="shared" si="93"/>
        <v>59303.999999999993</v>
      </c>
      <c r="Y119" s="138">
        <f t="shared" si="94"/>
        <v>45600.455384630892</v>
      </c>
      <c r="Z119" s="109">
        <f t="shared" si="95"/>
        <v>5231.5446153691055</v>
      </c>
      <c r="AA119" s="49">
        <f t="shared" si="96"/>
        <v>50832</v>
      </c>
      <c r="AB119" s="16"/>
      <c r="AC119" s="16"/>
      <c r="AD119" s="16"/>
      <c r="AE119" s="16"/>
      <c r="AF119" s="16"/>
      <c r="AG119" s="17"/>
      <c r="AH119" s="16"/>
      <c r="AI119" s="16"/>
    </row>
    <row r="120" spans="1:35" s="26" customFormat="1" ht="13.5" customHeight="1">
      <c r="A120" s="187">
        <v>59</v>
      </c>
      <c r="B120" s="50">
        <v>43497</v>
      </c>
      <c r="C120" s="61">
        <f>VLOOKUP(B120,'base(indices)'!$A$16:$C$183,3,FALSE)</f>
        <v>998</v>
      </c>
      <c r="D120" s="192">
        <f>'base(indices)'!G113</f>
        <v>1.1831498</v>
      </c>
      <c r="E120" s="54">
        <f t="shared" ref="E120:E130" si="101">C120*D120</f>
        <v>1180.7835004000001</v>
      </c>
      <c r="F120" s="82">
        <f>'base(indices)'!I113</f>
        <v>0.382741</v>
      </c>
      <c r="G120" s="54">
        <f t="shared" si="74"/>
        <v>451.93425772659646</v>
      </c>
      <c r="H120" s="267">
        <f t="shared" si="75"/>
        <v>1632.7177581265964</v>
      </c>
      <c r="I120" s="277">
        <f t="shared" si="97"/>
        <v>97591.993004733857</v>
      </c>
      <c r="J120" s="58">
        <f>IF((I120-H$129+(H$129/12*11))+K120&gt;I197,I197-K120,(I120-H$129+(H$129/12*11)))</f>
        <v>76000.758974384822</v>
      </c>
      <c r="K120" s="91">
        <f t="shared" si="76"/>
        <v>8719.2410256151761</v>
      </c>
      <c r="L120" s="284">
        <f t="shared" si="81"/>
        <v>84720</v>
      </c>
      <c r="M120" s="57">
        <f t="shared" si="82"/>
        <v>72200.721025665582</v>
      </c>
      <c r="N120" s="91">
        <f t="shared" si="83"/>
        <v>8283.2789743344165</v>
      </c>
      <c r="O120" s="60">
        <f t="shared" si="84"/>
        <v>80484</v>
      </c>
      <c r="P120" s="58">
        <f>J120*$P$9</f>
        <v>68400.683076946341</v>
      </c>
      <c r="Q120" s="91">
        <f t="shared" si="86"/>
        <v>7847.3169230536587</v>
      </c>
      <c r="R120" s="59">
        <f t="shared" si="99"/>
        <v>76248</v>
      </c>
      <c r="S120" s="57">
        <f t="shared" si="88"/>
        <v>60800.607179507861</v>
      </c>
      <c r="T120" s="91">
        <f t="shared" si="89"/>
        <v>6975.3928204921413</v>
      </c>
      <c r="U120" s="60">
        <f t="shared" si="90"/>
        <v>67776</v>
      </c>
      <c r="V120" s="58">
        <f t="shared" si="91"/>
        <v>53200.531282069373</v>
      </c>
      <c r="W120" s="91">
        <f t="shared" si="92"/>
        <v>6103.4687179306229</v>
      </c>
      <c r="X120" s="59">
        <f t="shared" si="93"/>
        <v>59303.999999999993</v>
      </c>
      <c r="Y120" s="57">
        <f t="shared" si="94"/>
        <v>45600.455384630892</v>
      </c>
      <c r="Z120" s="91">
        <f t="shared" si="95"/>
        <v>5231.5446153691055</v>
      </c>
      <c r="AA120" s="59">
        <f t="shared" si="96"/>
        <v>50832</v>
      </c>
      <c r="AB120" s="32"/>
      <c r="AC120" s="32"/>
      <c r="AD120" s="32"/>
      <c r="AE120" s="32"/>
      <c r="AF120" s="32"/>
      <c r="AG120" s="33"/>
      <c r="AH120" s="32"/>
      <c r="AI120" s="32"/>
    </row>
    <row r="121" spans="1:35" ht="13.5" customHeight="1">
      <c r="A121" s="187">
        <v>58</v>
      </c>
      <c r="B121" s="50">
        <v>43525</v>
      </c>
      <c r="C121" s="61">
        <f>VLOOKUP(B121,'base(indices)'!$A$16:$C$183,3,FALSE)</f>
        <v>998</v>
      </c>
      <c r="D121" s="192">
        <f>'base(indices)'!G114</f>
        <v>1.1791407199999999</v>
      </c>
      <c r="E121" s="63">
        <f t="shared" si="101"/>
        <v>1176.7824385599999</v>
      </c>
      <c r="F121" s="82">
        <f>'base(indices)'!I114</f>
        <v>0.37902599999999997</v>
      </c>
      <c r="G121" s="63">
        <f t="shared" si="74"/>
        <v>446.03114055764252</v>
      </c>
      <c r="H121" s="268">
        <f t="shared" si="75"/>
        <v>1622.8135791176423</v>
      </c>
      <c r="I121" s="278">
        <f t="shared" si="97"/>
        <v>95959.275246607256</v>
      </c>
      <c r="J121" s="45">
        <f>IF((I121-H$129+(H$129/12*10))+K121&gt;I197,I197-K121,(I121-H$129+(H$129/12*10)))</f>
        <v>76000.758974384822</v>
      </c>
      <c r="K121" s="108">
        <f t="shared" si="76"/>
        <v>8719.2410256151761</v>
      </c>
      <c r="L121" s="46">
        <f t="shared" si="81"/>
        <v>84720</v>
      </c>
      <c r="M121" s="43">
        <f t="shared" si="82"/>
        <v>72200.721025665582</v>
      </c>
      <c r="N121" s="108">
        <f t="shared" si="83"/>
        <v>8283.2789743344165</v>
      </c>
      <c r="O121" s="47">
        <f t="shared" si="84"/>
        <v>80484</v>
      </c>
      <c r="P121" s="119">
        <f>J121*$P$9</f>
        <v>68400.683076946341</v>
      </c>
      <c r="Q121" s="108">
        <f t="shared" si="86"/>
        <v>7847.3169230536587</v>
      </c>
      <c r="R121" s="46">
        <f t="shared" si="99"/>
        <v>76248</v>
      </c>
      <c r="S121" s="43">
        <f t="shared" si="88"/>
        <v>60800.607179507861</v>
      </c>
      <c r="T121" s="108">
        <f t="shared" si="89"/>
        <v>6975.3928204921413</v>
      </c>
      <c r="U121" s="47">
        <f t="shared" si="90"/>
        <v>67776</v>
      </c>
      <c r="V121" s="45">
        <f t="shared" si="91"/>
        <v>53200.531282069373</v>
      </c>
      <c r="W121" s="108">
        <f t="shared" si="92"/>
        <v>6103.4687179306229</v>
      </c>
      <c r="X121" s="46">
        <f t="shared" si="93"/>
        <v>59303.999999999993</v>
      </c>
      <c r="Y121" s="43">
        <f t="shared" si="94"/>
        <v>45600.455384630892</v>
      </c>
      <c r="Z121" s="108">
        <f t="shared" si="95"/>
        <v>5231.5446153691055</v>
      </c>
      <c r="AA121" s="46">
        <f t="shared" si="96"/>
        <v>50832</v>
      </c>
      <c r="AB121" s="16"/>
      <c r="AC121" s="16"/>
      <c r="AD121" s="16"/>
      <c r="AE121" s="16"/>
      <c r="AF121" s="16"/>
      <c r="AG121" s="17"/>
      <c r="AH121" s="16"/>
      <c r="AI121" s="16"/>
    </row>
    <row r="122" spans="1:35" s="26" customFormat="1" ht="13.5" customHeight="1">
      <c r="A122" s="187">
        <v>57</v>
      </c>
      <c r="B122" s="50">
        <v>43556</v>
      </c>
      <c r="C122" s="61">
        <f>VLOOKUP(B122,'base(indices)'!$A$16:$C$183,3,FALSE)</f>
        <v>998</v>
      </c>
      <c r="D122" s="192">
        <f>'base(indices)'!G115</f>
        <v>1.1728075600000001</v>
      </c>
      <c r="E122" s="54">
        <f t="shared" si="101"/>
        <v>1170.4619448800001</v>
      </c>
      <c r="F122" s="82">
        <f>'base(indices)'!I115</f>
        <v>0.37531100000000001</v>
      </c>
      <c r="G122" s="54">
        <f t="shared" si="74"/>
        <v>439.28724299485776</v>
      </c>
      <c r="H122" s="267">
        <f t="shared" si="75"/>
        <v>1609.7491878748579</v>
      </c>
      <c r="I122" s="277">
        <f t="shared" si="97"/>
        <v>94336.46166748961</v>
      </c>
      <c r="J122" s="58">
        <f>IF((I122-H$129+(H$129/12*9))+K122&gt;I197,I197-K122,(I122-H$129+(H$129/12*9)))</f>
        <v>76000.758974384822</v>
      </c>
      <c r="K122" s="91">
        <f t="shared" si="76"/>
        <v>8719.2410256151761</v>
      </c>
      <c r="L122" s="284">
        <f t="shared" si="81"/>
        <v>84720</v>
      </c>
      <c r="M122" s="57">
        <f t="shared" si="82"/>
        <v>72200.721025665582</v>
      </c>
      <c r="N122" s="91">
        <f t="shared" si="83"/>
        <v>8283.2789743344165</v>
      </c>
      <c r="O122" s="60">
        <f t="shared" si="84"/>
        <v>80484</v>
      </c>
      <c r="P122" s="58">
        <f t="shared" ref="P122:P178" si="102">J122*$P$9</f>
        <v>68400.683076946341</v>
      </c>
      <c r="Q122" s="91">
        <f t="shared" si="86"/>
        <v>7847.3169230536587</v>
      </c>
      <c r="R122" s="59">
        <f>P122+Q122</f>
        <v>76248</v>
      </c>
      <c r="S122" s="57">
        <f t="shared" si="88"/>
        <v>60800.607179507861</v>
      </c>
      <c r="T122" s="91">
        <f t="shared" si="89"/>
        <v>6975.3928204921413</v>
      </c>
      <c r="U122" s="60">
        <f t="shared" si="90"/>
        <v>67776</v>
      </c>
      <c r="V122" s="58">
        <f t="shared" si="91"/>
        <v>53200.531282069373</v>
      </c>
      <c r="W122" s="91">
        <f t="shared" si="92"/>
        <v>6103.4687179306229</v>
      </c>
      <c r="X122" s="59">
        <f t="shared" si="93"/>
        <v>59303.999999999993</v>
      </c>
      <c r="Y122" s="57">
        <f t="shared" si="94"/>
        <v>45600.455384630892</v>
      </c>
      <c r="Z122" s="91">
        <f t="shared" si="95"/>
        <v>5231.5446153691055</v>
      </c>
      <c r="AA122" s="59">
        <f t="shared" si="96"/>
        <v>50832</v>
      </c>
      <c r="AB122" s="32"/>
      <c r="AC122" s="32"/>
      <c r="AD122" s="32"/>
      <c r="AE122" s="32"/>
      <c r="AF122" s="32"/>
      <c r="AG122" s="33"/>
      <c r="AH122" s="32"/>
      <c r="AI122" s="32"/>
    </row>
    <row r="123" spans="1:35" ht="13.5" customHeight="1">
      <c r="A123" s="187">
        <v>56</v>
      </c>
      <c r="B123" s="50">
        <v>43586</v>
      </c>
      <c r="C123" s="61">
        <f>VLOOKUP(B123,'base(indices)'!$A$16:$C$183,3,FALSE)</f>
        <v>998</v>
      </c>
      <c r="D123" s="192">
        <f>'base(indices)'!G116</f>
        <v>1.1644237099999999</v>
      </c>
      <c r="E123" s="63">
        <f t="shared" si="101"/>
        <v>1162.0948625799999</v>
      </c>
      <c r="F123" s="82">
        <f>'base(indices)'!I116</f>
        <v>0.37159599999999998</v>
      </c>
      <c r="G123" s="63">
        <f t="shared" si="74"/>
        <v>431.82980255527764</v>
      </c>
      <c r="H123" s="268">
        <f t="shared" si="75"/>
        <v>1593.9246651352776</v>
      </c>
      <c r="I123" s="278">
        <f t="shared" si="97"/>
        <v>92726.712479614755</v>
      </c>
      <c r="J123" s="45">
        <f>IF((I123-H$129+(H$129/12*8))+K123&gt;I197,I197-K123,(I123-H$129+(H$129/12*8)))</f>
        <v>76000.758974384822</v>
      </c>
      <c r="K123" s="108">
        <f t="shared" ref="K123:K178" si="103">I$196</f>
        <v>8719.2410256151761</v>
      </c>
      <c r="L123" s="46">
        <f t="shared" si="81"/>
        <v>84720</v>
      </c>
      <c r="M123" s="43">
        <f t="shared" si="82"/>
        <v>72200.721025665582</v>
      </c>
      <c r="N123" s="108">
        <f t="shared" si="83"/>
        <v>8283.2789743344165</v>
      </c>
      <c r="O123" s="47">
        <f t="shared" si="84"/>
        <v>80484</v>
      </c>
      <c r="P123" s="119">
        <f t="shared" si="102"/>
        <v>68400.683076946341</v>
      </c>
      <c r="Q123" s="108">
        <f t="shared" si="86"/>
        <v>7847.3169230536587</v>
      </c>
      <c r="R123" s="46">
        <f t="shared" ref="R123:R178" si="104">P123+Q123</f>
        <v>76248</v>
      </c>
      <c r="S123" s="43">
        <f t="shared" si="88"/>
        <v>60800.607179507861</v>
      </c>
      <c r="T123" s="108">
        <f t="shared" si="89"/>
        <v>6975.3928204921413</v>
      </c>
      <c r="U123" s="47">
        <f t="shared" si="90"/>
        <v>67776</v>
      </c>
      <c r="V123" s="45">
        <f t="shared" si="91"/>
        <v>53200.531282069373</v>
      </c>
      <c r="W123" s="108">
        <f t="shared" si="92"/>
        <v>6103.4687179306229</v>
      </c>
      <c r="X123" s="46">
        <f t="shared" si="93"/>
        <v>59303.999999999993</v>
      </c>
      <c r="Y123" s="43">
        <f t="shared" si="94"/>
        <v>45600.455384630892</v>
      </c>
      <c r="Z123" s="108">
        <f t="shared" si="95"/>
        <v>5231.5446153691055</v>
      </c>
      <c r="AA123" s="46">
        <f t="shared" si="96"/>
        <v>50832</v>
      </c>
      <c r="AB123" s="16"/>
      <c r="AC123" s="16"/>
      <c r="AD123" s="16"/>
      <c r="AE123" s="16"/>
      <c r="AF123" s="16"/>
      <c r="AG123" s="17"/>
      <c r="AH123" s="16"/>
      <c r="AI123" s="16"/>
    </row>
    <row r="124" spans="1:35" s="26" customFormat="1" ht="13.5" customHeight="1">
      <c r="A124" s="187">
        <v>55</v>
      </c>
      <c r="B124" s="50">
        <v>43617</v>
      </c>
      <c r="C124" s="61">
        <f>VLOOKUP(B124,'base(indices)'!$A$16:$C$183,3,FALSE)</f>
        <v>998</v>
      </c>
      <c r="D124" s="192">
        <f>'base(indices)'!G117</f>
        <v>1.1603624400000001</v>
      </c>
      <c r="E124" s="54">
        <f t="shared" si="101"/>
        <v>1158.0417151200002</v>
      </c>
      <c r="F124" s="82">
        <f>'base(indices)'!I117</f>
        <v>0.36788100000000001</v>
      </c>
      <c r="G124" s="54">
        <f t="shared" si="74"/>
        <v>426.02154420006082</v>
      </c>
      <c r="H124" s="267">
        <f t="shared" si="75"/>
        <v>1584.063259320061</v>
      </c>
      <c r="I124" s="277">
        <f t="shared" si="97"/>
        <v>91132.787814479481</v>
      </c>
      <c r="J124" s="58">
        <f>IF((I124-H$129+(H$129/12*7))+K124&gt;I197,I197-K124,(I124-H$129+(H$129/12*7)))</f>
        <v>76000.758974384822</v>
      </c>
      <c r="K124" s="91">
        <f t="shared" si="103"/>
        <v>8719.2410256151761</v>
      </c>
      <c r="L124" s="284">
        <f t="shared" si="81"/>
        <v>84720</v>
      </c>
      <c r="M124" s="57">
        <f t="shared" si="82"/>
        <v>72200.721025665582</v>
      </c>
      <c r="N124" s="91">
        <f t="shared" si="83"/>
        <v>8283.2789743344165</v>
      </c>
      <c r="O124" s="60">
        <f t="shared" si="84"/>
        <v>80484</v>
      </c>
      <c r="P124" s="58">
        <f t="shared" si="102"/>
        <v>68400.683076946341</v>
      </c>
      <c r="Q124" s="91">
        <f t="shared" si="86"/>
        <v>7847.3169230536587</v>
      </c>
      <c r="R124" s="59">
        <f t="shared" si="104"/>
        <v>76248</v>
      </c>
      <c r="S124" s="57">
        <f t="shared" si="88"/>
        <v>60800.607179507861</v>
      </c>
      <c r="T124" s="91">
        <f t="shared" si="89"/>
        <v>6975.3928204921413</v>
      </c>
      <c r="U124" s="60">
        <f t="shared" si="90"/>
        <v>67776</v>
      </c>
      <c r="V124" s="58">
        <f t="shared" si="91"/>
        <v>53200.531282069373</v>
      </c>
      <c r="W124" s="91">
        <f t="shared" si="92"/>
        <v>6103.4687179306229</v>
      </c>
      <c r="X124" s="59">
        <f t="shared" si="93"/>
        <v>59303.999999999993</v>
      </c>
      <c r="Y124" s="57">
        <f t="shared" si="94"/>
        <v>45600.455384630892</v>
      </c>
      <c r="Z124" s="91">
        <f t="shared" si="95"/>
        <v>5231.5446153691055</v>
      </c>
      <c r="AA124" s="59">
        <f t="shared" si="96"/>
        <v>50832</v>
      </c>
      <c r="AB124" s="32"/>
      <c r="AC124" s="32"/>
      <c r="AD124" s="32"/>
      <c r="AE124" s="32"/>
      <c r="AF124" s="32"/>
      <c r="AG124" s="33"/>
      <c r="AH124" s="32"/>
      <c r="AI124" s="32"/>
    </row>
    <row r="125" spans="1:35" ht="13.5" customHeight="1">
      <c r="A125" s="187">
        <v>54</v>
      </c>
      <c r="B125" s="50">
        <v>43647</v>
      </c>
      <c r="C125" s="61">
        <f>VLOOKUP(B125,'base(indices)'!$A$16:$C$183,3,FALSE)</f>
        <v>998</v>
      </c>
      <c r="D125" s="192">
        <f>'base(indices)'!G118</f>
        <v>1.15966664</v>
      </c>
      <c r="E125" s="63">
        <f t="shared" si="101"/>
        <v>1157.34730672</v>
      </c>
      <c r="F125" s="82">
        <f>'base(indices)'!I118</f>
        <v>0.36416599999999999</v>
      </c>
      <c r="G125" s="63">
        <f t="shared" si="74"/>
        <v>421.46653929899549</v>
      </c>
      <c r="H125" s="268">
        <f t="shared" si="75"/>
        <v>1578.8138460189955</v>
      </c>
      <c r="I125" s="278">
        <f t="shared" si="97"/>
        <v>89548.724555159424</v>
      </c>
      <c r="J125" s="45">
        <f>IF((I125-H$129+(H$129/12*6))+K125&gt;I197,I197-K125,(I125-H$129+(H$129/12*6)))</f>
        <v>76000.758974384822</v>
      </c>
      <c r="K125" s="108">
        <f t="shared" si="103"/>
        <v>8719.2410256151761</v>
      </c>
      <c r="L125" s="46">
        <f t="shared" si="81"/>
        <v>84720</v>
      </c>
      <c r="M125" s="43">
        <f t="shared" si="82"/>
        <v>72200.721025665582</v>
      </c>
      <c r="N125" s="108">
        <f t="shared" si="83"/>
        <v>8283.2789743344165</v>
      </c>
      <c r="O125" s="47">
        <f t="shared" si="84"/>
        <v>80484</v>
      </c>
      <c r="P125" s="119">
        <f t="shared" si="102"/>
        <v>68400.683076946341</v>
      </c>
      <c r="Q125" s="108">
        <f t="shared" si="86"/>
        <v>7847.3169230536587</v>
      </c>
      <c r="R125" s="46">
        <f t="shared" si="104"/>
        <v>76248</v>
      </c>
      <c r="S125" s="43">
        <f t="shared" si="88"/>
        <v>60800.607179507861</v>
      </c>
      <c r="T125" s="108">
        <f t="shared" si="89"/>
        <v>6975.3928204921413</v>
      </c>
      <c r="U125" s="47">
        <f t="shared" si="90"/>
        <v>67776</v>
      </c>
      <c r="V125" s="45">
        <f t="shared" si="91"/>
        <v>53200.531282069373</v>
      </c>
      <c r="W125" s="108">
        <f t="shared" si="92"/>
        <v>6103.4687179306229</v>
      </c>
      <c r="X125" s="46">
        <f t="shared" si="93"/>
        <v>59303.999999999993</v>
      </c>
      <c r="Y125" s="43">
        <f t="shared" si="94"/>
        <v>45600.455384630892</v>
      </c>
      <c r="Z125" s="108">
        <f t="shared" si="95"/>
        <v>5231.5446153691055</v>
      </c>
      <c r="AA125" s="46">
        <f t="shared" si="96"/>
        <v>50832</v>
      </c>
      <c r="AB125" s="16"/>
      <c r="AC125" s="16"/>
      <c r="AD125" s="16"/>
      <c r="AE125" s="16"/>
      <c r="AF125" s="16"/>
      <c r="AG125" s="17"/>
      <c r="AH125" s="16"/>
      <c r="AI125" s="16"/>
    </row>
    <row r="126" spans="1:35" s="26" customFormat="1" ht="13.5" customHeight="1">
      <c r="A126" s="187">
        <v>53</v>
      </c>
      <c r="B126" s="50">
        <v>43678</v>
      </c>
      <c r="C126" s="61">
        <f>VLOOKUP(B126,'base(indices)'!$A$16:$C$183,3,FALSE)</f>
        <v>998</v>
      </c>
      <c r="D126" s="192">
        <f>'base(indices)'!G119</f>
        <v>1.1586238799999999</v>
      </c>
      <c r="E126" s="54">
        <f t="shared" si="101"/>
        <v>1156.30663224</v>
      </c>
      <c r="F126" s="82">
        <f>'base(indices)'!I119</f>
        <v>0.36045100000000002</v>
      </c>
      <c r="G126" s="54">
        <f t="shared" si="74"/>
        <v>416.79188189754024</v>
      </c>
      <c r="H126" s="267">
        <f t="shared" si="75"/>
        <v>1573.0985141375402</v>
      </c>
      <c r="I126" s="277">
        <f t="shared" si="97"/>
        <v>87969.910709140429</v>
      </c>
      <c r="J126" s="58">
        <f>IF((I126-H$129+(H$129/12*5))+K126&gt;I197,I197-K126,(I126-H$129+(H$129/12*5)))</f>
        <v>76000.758974384822</v>
      </c>
      <c r="K126" s="91">
        <f t="shared" si="103"/>
        <v>8719.2410256151761</v>
      </c>
      <c r="L126" s="284">
        <f t="shared" si="81"/>
        <v>84720</v>
      </c>
      <c r="M126" s="57">
        <f t="shared" si="82"/>
        <v>72200.721025665582</v>
      </c>
      <c r="N126" s="91">
        <f t="shared" si="83"/>
        <v>8283.2789743344165</v>
      </c>
      <c r="O126" s="60">
        <f t="shared" si="84"/>
        <v>80484</v>
      </c>
      <c r="P126" s="58">
        <f t="shared" si="102"/>
        <v>68400.683076946341</v>
      </c>
      <c r="Q126" s="91">
        <f t="shared" si="86"/>
        <v>7847.3169230536587</v>
      </c>
      <c r="R126" s="59">
        <f t="shared" si="104"/>
        <v>76248</v>
      </c>
      <c r="S126" s="57">
        <f t="shared" si="88"/>
        <v>60800.607179507861</v>
      </c>
      <c r="T126" s="91">
        <f t="shared" si="89"/>
        <v>6975.3928204921413</v>
      </c>
      <c r="U126" s="60">
        <f t="shared" si="90"/>
        <v>67776</v>
      </c>
      <c r="V126" s="58">
        <f t="shared" si="91"/>
        <v>53200.531282069373</v>
      </c>
      <c r="W126" s="91">
        <f t="shared" si="92"/>
        <v>6103.4687179306229</v>
      </c>
      <c r="X126" s="59">
        <f t="shared" si="93"/>
        <v>59303.999999999993</v>
      </c>
      <c r="Y126" s="57">
        <f t="shared" si="94"/>
        <v>45600.455384630892</v>
      </c>
      <c r="Z126" s="91">
        <f t="shared" si="95"/>
        <v>5231.5446153691055</v>
      </c>
      <c r="AA126" s="59">
        <f t="shared" si="96"/>
        <v>50832</v>
      </c>
      <c r="AB126" s="32"/>
      <c r="AC126" s="32"/>
      <c r="AD126" s="32"/>
      <c r="AE126" s="32"/>
      <c r="AF126" s="32"/>
      <c r="AG126" s="33"/>
      <c r="AH126" s="32"/>
      <c r="AI126" s="32"/>
    </row>
    <row r="127" spans="1:35" ht="13.5" customHeight="1">
      <c r="A127" s="187">
        <v>52</v>
      </c>
      <c r="B127" s="50">
        <v>43709</v>
      </c>
      <c r="C127" s="61">
        <f>VLOOKUP(B127,'base(indices)'!$A$16:$C$183,3,FALSE)</f>
        <v>998</v>
      </c>
      <c r="D127" s="192">
        <f>'base(indices)'!G120</f>
        <v>1.15769772</v>
      </c>
      <c r="E127" s="63">
        <f t="shared" si="101"/>
        <v>1155.3823245600001</v>
      </c>
      <c r="F127" s="82">
        <f>'base(indices)'!I120</f>
        <v>0.35701699999999997</v>
      </c>
      <c r="G127" s="63">
        <f t="shared" si="74"/>
        <v>412.49113136743756</v>
      </c>
      <c r="H127" s="268">
        <f t="shared" si="75"/>
        <v>1567.8734559274376</v>
      </c>
      <c r="I127" s="278">
        <f t="shared" si="97"/>
        <v>86396.812195002887</v>
      </c>
      <c r="J127" s="45">
        <f>IF((I127-H$129+(H$129/12*4))+K127&gt;I197,I197-K127,(I127-H$129+(H$129/12*4)))</f>
        <v>76000.758974384822</v>
      </c>
      <c r="K127" s="108">
        <f t="shared" si="103"/>
        <v>8719.2410256151761</v>
      </c>
      <c r="L127" s="46">
        <f t="shared" si="81"/>
        <v>84720</v>
      </c>
      <c r="M127" s="43">
        <f t="shared" si="82"/>
        <v>72200.721025665582</v>
      </c>
      <c r="N127" s="108">
        <f t="shared" si="83"/>
        <v>8283.2789743344165</v>
      </c>
      <c r="O127" s="47">
        <f t="shared" si="84"/>
        <v>80484</v>
      </c>
      <c r="P127" s="119">
        <f t="shared" si="102"/>
        <v>68400.683076946341</v>
      </c>
      <c r="Q127" s="108">
        <f t="shared" si="86"/>
        <v>7847.3169230536587</v>
      </c>
      <c r="R127" s="46">
        <f t="shared" si="104"/>
        <v>76248</v>
      </c>
      <c r="S127" s="43">
        <f t="shared" si="88"/>
        <v>60800.607179507861</v>
      </c>
      <c r="T127" s="108">
        <f t="shared" si="89"/>
        <v>6975.3928204921413</v>
      </c>
      <c r="U127" s="47">
        <f t="shared" si="90"/>
        <v>67776</v>
      </c>
      <c r="V127" s="45">
        <f t="shared" si="91"/>
        <v>53200.531282069373</v>
      </c>
      <c r="W127" s="108">
        <f t="shared" si="92"/>
        <v>6103.4687179306229</v>
      </c>
      <c r="X127" s="46">
        <f t="shared" si="93"/>
        <v>59303.999999999993</v>
      </c>
      <c r="Y127" s="43">
        <f t="shared" si="94"/>
        <v>45600.455384630892</v>
      </c>
      <c r="Z127" s="108">
        <f t="shared" si="95"/>
        <v>5231.5446153691055</v>
      </c>
      <c r="AA127" s="46">
        <f t="shared" si="96"/>
        <v>50832</v>
      </c>
      <c r="AB127" s="16"/>
      <c r="AC127" s="16"/>
      <c r="AD127" s="16"/>
      <c r="AE127" s="16"/>
      <c r="AF127" s="16"/>
      <c r="AG127" s="17"/>
      <c r="AH127" s="16"/>
      <c r="AI127" s="16"/>
    </row>
    <row r="128" spans="1:35" s="26" customFormat="1" ht="13.5" customHeight="1">
      <c r="A128" s="187">
        <v>51</v>
      </c>
      <c r="B128" s="50">
        <v>43739</v>
      </c>
      <c r="C128" s="61">
        <f>VLOOKUP(B128,'base(indices)'!$A$16:$C$183,3,FALSE)</f>
        <v>998</v>
      </c>
      <c r="D128" s="192">
        <f>'base(indices)'!G121</f>
        <v>1.1566567299999999</v>
      </c>
      <c r="E128" s="54">
        <f t="shared" si="101"/>
        <v>1154.3434165399999</v>
      </c>
      <c r="F128" s="82">
        <f>'base(indices)'!I121</f>
        <v>0.35358299999999998</v>
      </c>
      <c r="G128" s="54">
        <f t="shared" si="74"/>
        <v>408.15620825046278</v>
      </c>
      <c r="H128" s="267">
        <f t="shared" si="75"/>
        <v>1562.4996247904628</v>
      </c>
      <c r="I128" s="277">
        <f t="shared" si="97"/>
        <v>84828.938739075456</v>
      </c>
      <c r="J128" s="58">
        <f>IF((I128-H$129+(H$129/12*3))+K128&gt;I197,I197-K128,(I128-H$129+(H$129/12*3)))</f>
        <v>76000.758974384822</v>
      </c>
      <c r="K128" s="91">
        <f t="shared" si="103"/>
        <v>8719.2410256151761</v>
      </c>
      <c r="L128" s="284">
        <f t="shared" si="81"/>
        <v>84720</v>
      </c>
      <c r="M128" s="57">
        <f t="shared" si="82"/>
        <v>72200.721025665582</v>
      </c>
      <c r="N128" s="91">
        <f t="shared" si="83"/>
        <v>8283.2789743344165</v>
      </c>
      <c r="O128" s="60">
        <f t="shared" si="84"/>
        <v>80484</v>
      </c>
      <c r="P128" s="58">
        <f t="shared" si="102"/>
        <v>68400.683076946341</v>
      </c>
      <c r="Q128" s="91">
        <f t="shared" si="86"/>
        <v>7847.3169230536587</v>
      </c>
      <c r="R128" s="59">
        <f t="shared" si="104"/>
        <v>76248</v>
      </c>
      <c r="S128" s="57">
        <f t="shared" si="88"/>
        <v>60800.607179507861</v>
      </c>
      <c r="T128" s="91">
        <f t="shared" si="89"/>
        <v>6975.3928204921413</v>
      </c>
      <c r="U128" s="60">
        <f t="shared" si="90"/>
        <v>67776</v>
      </c>
      <c r="V128" s="58">
        <f t="shared" si="91"/>
        <v>53200.531282069373</v>
      </c>
      <c r="W128" s="91">
        <f t="shared" si="92"/>
        <v>6103.4687179306229</v>
      </c>
      <c r="X128" s="59">
        <f t="shared" si="93"/>
        <v>59303.999999999993</v>
      </c>
      <c r="Y128" s="57">
        <f t="shared" si="94"/>
        <v>45600.455384630892</v>
      </c>
      <c r="Z128" s="91">
        <f t="shared" si="95"/>
        <v>5231.5446153691055</v>
      </c>
      <c r="AA128" s="59">
        <f t="shared" si="96"/>
        <v>50832</v>
      </c>
      <c r="AB128" s="32"/>
      <c r="AC128" s="32"/>
      <c r="AD128" s="32"/>
      <c r="AE128" s="32"/>
      <c r="AF128" s="32"/>
      <c r="AG128" s="33"/>
      <c r="AH128" s="32"/>
      <c r="AI128" s="32"/>
    </row>
    <row r="129" spans="1:35" ht="13.5" customHeight="1">
      <c r="A129" s="187">
        <v>50</v>
      </c>
      <c r="B129" s="50">
        <v>43770</v>
      </c>
      <c r="C129" s="61">
        <f>VLOOKUP(B129,'base(indices)'!$A$16:$C$183,3,FALSE)</f>
        <v>998</v>
      </c>
      <c r="D129" s="192">
        <f>'base(indices)'!G122</f>
        <v>1.1556166800000001</v>
      </c>
      <c r="E129" s="63">
        <f t="shared" si="101"/>
        <v>1153.3054466400001</v>
      </c>
      <c r="F129" s="82">
        <f>'base(indices)'!I122</f>
        <v>0.35043000000000002</v>
      </c>
      <c r="G129" s="63">
        <f t="shared" si="74"/>
        <v>404.15282766605526</v>
      </c>
      <c r="H129" s="268">
        <f t="shared" si="75"/>
        <v>1557.4582743060555</v>
      </c>
      <c r="I129" s="278">
        <f t="shared" si="97"/>
        <v>83266.439114284993</v>
      </c>
      <c r="J129" s="45">
        <f>IF((I129-H$129+(H$129/12*2))+K129&gt;I197,I197-K129,(I129-H$129+(H$129/12*2)))</f>
        <v>76000.758974384822</v>
      </c>
      <c r="K129" s="108">
        <f t="shared" si="103"/>
        <v>8719.2410256151761</v>
      </c>
      <c r="L129" s="46">
        <f t="shared" si="81"/>
        <v>84720</v>
      </c>
      <c r="M129" s="43">
        <f t="shared" si="82"/>
        <v>72200.721025665582</v>
      </c>
      <c r="N129" s="108">
        <f t="shared" si="83"/>
        <v>8283.2789743344165</v>
      </c>
      <c r="O129" s="47">
        <f t="shared" si="84"/>
        <v>80484</v>
      </c>
      <c r="P129" s="119">
        <f t="shared" si="102"/>
        <v>68400.683076946341</v>
      </c>
      <c r="Q129" s="108">
        <f t="shared" si="86"/>
        <v>7847.3169230536587</v>
      </c>
      <c r="R129" s="46">
        <f t="shared" si="104"/>
        <v>76248</v>
      </c>
      <c r="S129" s="43">
        <f t="shared" si="88"/>
        <v>60800.607179507861</v>
      </c>
      <c r="T129" s="108">
        <f t="shared" si="89"/>
        <v>6975.3928204921413</v>
      </c>
      <c r="U129" s="47">
        <f t="shared" si="90"/>
        <v>67776</v>
      </c>
      <c r="V129" s="45">
        <f t="shared" si="91"/>
        <v>53200.531282069373</v>
      </c>
      <c r="W129" s="108">
        <f t="shared" si="92"/>
        <v>6103.4687179306229</v>
      </c>
      <c r="X129" s="46">
        <f t="shared" si="93"/>
        <v>59303.999999999993</v>
      </c>
      <c r="Y129" s="43">
        <f t="shared" si="94"/>
        <v>45600.455384630892</v>
      </c>
      <c r="Z129" s="108">
        <f t="shared" si="95"/>
        <v>5231.5446153691055</v>
      </c>
      <c r="AA129" s="46">
        <f t="shared" si="96"/>
        <v>50832</v>
      </c>
      <c r="AB129" s="16"/>
      <c r="AC129" s="16"/>
      <c r="AD129" s="16"/>
      <c r="AE129" s="16"/>
      <c r="AF129" s="16"/>
      <c r="AG129" s="17"/>
      <c r="AH129" s="16"/>
      <c r="AI129" s="16"/>
    </row>
    <row r="130" spans="1:35" s="26" customFormat="1" ht="13.5" customHeight="1" thickBot="1">
      <c r="A130" s="305">
        <v>49</v>
      </c>
      <c r="B130" s="68">
        <v>43800</v>
      </c>
      <c r="C130" s="69">
        <f>VLOOKUP(B130,'base(indices)'!$A$16:$C$183,3,FALSE)*2</f>
        <v>1996</v>
      </c>
      <c r="D130" s="335">
        <f>'base(indices)'!G123</f>
        <v>1.15400108</v>
      </c>
      <c r="E130" s="163">
        <f t="shared" si="101"/>
        <v>2303.3861556800002</v>
      </c>
      <c r="F130" s="304">
        <f>'base(indices)'!I123</f>
        <v>0.34755900000000001</v>
      </c>
      <c r="G130" s="163">
        <f t="shared" si="74"/>
        <v>800.56258888198522</v>
      </c>
      <c r="H130" s="355">
        <f t="shared" si="75"/>
        <v>3103.9487445619852</v>
      </c>
      <c r="I130" s="279">
        <f t="shared" si="97"/>
        <v>81708.980839978933</v>
      </c>
      <c r="J130" s="285">
        <f>IF((I130-H$129+(H$129/12*1))+K130&gt;I197,I197-K130,(I130-H$129+(H$129/12*1)))</f>
        <v>76000.758974384822</v>
      </c>
      <c r="K130" s="202">
        <f t="shared" si="103"/>
        <v>8719.2410256151761</v>
      </c>
      <c r="L130" s="286">
        <f t="shared" si="81"/>
        <v>84720</v>
      </c>
      <c r="M130" s="282">
        <f t="shared" si="82"/>
        <v>72200.721025665582</v>
      </c>
      <c r="N130" s="202">
        <f t="shared" si="83"/>
        <v>8283.2789743344165</v>
      </c>
      <c r="O130" s="289">
        <f t="shared" si="84"/>
        <v>80484</v>
      </c>
      <c r="P130" s="285">
        <f t="shared" si="102"/>
        <v>68400.683076946341</v>
      </c>
      <c r="Q130" s="202">
        <f t="shared" si="86"/>
        <v>7847.3169230536587</v>
      </c>
      <c r="R130" s="203">
        <f t="shared" si="104"/>
        <v>76248</v>
      </c>
      <c r="S130" s="282">
        <f t="shared" si="88"/>
        <v>60800.607179507861</v>
      </c>
      <c r="T130" s="202">
        <f t="shared" si="89"/>
        <v>6975.3928204921413</v>
      </c>
      <c r="U130" s="289">
        <f t="shared" si="90"/>
        <v>67776</v>
      </c>
      <c r="V130" s="285">
        <f t="shared" si="91"/>
        <v>53200.531282069373</v>
      </c>
      <c r="W130" s="202">
        <f t="shared" si="92"/>
        <v>6103.4687179306229</v>
      </c>
      <c r="X130" s="203">
        <f t="shared" si="93"/>
        <v>59303.999999999993</v>
      </c>
      <c r="Y130" s="282">
        <f t="shared" si="94"/>
        <v>45600.455384630892</v>
      </c>
      <c r="Z130" s="202">
        <f t="shared" si="95"/>
        <v>5231.5446153691055</v>
      </c>
      <c r="AA130" s="203">
        <f t="shared" si="96"/>
        <v>50832</v>
      </c>
      <c r="AB130" s="32"/>
      <c r="AC130" s="32"/>
      <c r="AD130" s="32"/>
      <c r="AE130" s="32"/>
      <c r="AF130" s="32"/>
      <c r="AG130" s="33"/>
      <c r="AH130" s="32"/>
      <c r="AI130" s="32"/>
    </row>
    <row r="131" spans="1:35" ht="13.5" customHeight="1">
      <c r="A131" s="190">
        <v>48</v>
      </c>
      <c r="B131" s="246">
        <v>43831</v>
      </c>
      <c r="C131" s="41">
        <f>VLOOKUP(B131,'base(indices)'!$A$16:$C$183,3,FALSE)</f>
        <v>1039</v>
      </c>
      <c r="D131" s="193">
        <f>'base(indices)'!G124</f>
        <v>1.1420099699999999</v>
      </c>
      <c r="E131" s="78">
        <f>C131*D131</f>
        <v>1186.5483588299999</v>
      </c>
      <c r="F131" s="79">
        <f>'base(indices)'!I124</f>
        <v>0.34468799999999999</v>
      </c>
      <c r="G131" s="78">
        <f t="shared" si="74"/>
        <v>408.98898070839499</v>
      </c>
      <c r="H131" s="266">
        <f t="shared" si="75"/>
        <v>1595.5373395383949</v>
      </c>
      <c r="I131" s="276">
        <f t="shared" si="97"/>
        <v>78605.032095416944</v>
      </c>
      <c r="J131" s="48">
        <f>IF((I131-H$141+(H$141))+K131&gt;I197,I197-K131,(I131-H$141+(H$141)))</f>
        <v>76000.758974384822</v>
      </c>
      <c r="K131" s="109">
        <f t="shared" si="103"/>
        <v>8719.2410256151761</v>
      </c>
      <c r="L131" s="49">
        <f t="shared" si="81"/>
        <v>84720</v>
      </c>
      <c r="M131" s="138">
        <f t="shared" si="82"/>
        <v>72200.721025665582</v>
      </c>
      <c r="N131" s="109">
        <f t="shared" si="83"/>
        <v>8283.2789743344165</v>
      </c>
      <c r="O131" s="139">
        <f t="shared" si="84"/>
        <v>80484</v>
      </c>
      <c r="P131" s="291">
        <f t="shared" si="102"/>
        <v>68400.683076946341</v>
      </c>
      <c r="Q131" s="109">
        <f t="shared" si="86"/>
        <v>7847.3169230536587</v>
      </c>
      <c r="R131" s="49">
        <f t="shared" si="104"/>
        <v>76248</v>
      </c>
      <c r="S131" s="138">
        <f t="shared" si="88"/>
        <v>60800.607179507861</v>
      </c>
      <c r="T131" s="109">
        <f t="shared" si="89"/>
        <v>6975.3928204921413</v>
      </c>
      <c r="U131" s="139">
        <f t="shared" si="90"/>
        <v>67776</v>
      </c>
      <c r="V131" s="48">
        <f t="shared" si="91"/>
        <v>53200.531282069373</v>
      </c>
      <c r="W131" s="109">
        <f t="shared" si="92"/>
        <v>6103.4687179306229</v>
      </c>
      <c r="X131" s="49">
        <f t="shared" si="93"/>
        <v>59303.999999999993</v>
      </c>
      <c r="Y131" s="138">
        <f t="shared" si="94"/>
        <v>45600.455384630892</v>
      </c>
      <c r="Z131" s="109">
        <f t="shared" si="95"/>
        <v>5231.5446153691055</v>
      </c>
      <c r="AA131" s="49">
        <f t="shared" si="96"/>
        <v>50832</v>
      </c>
      <c r="AB131" s="16"/>
      <c r="AC131" s="16"/>
      <c r="AD131" s="16"/>
      <c r="AE131" s="16"/>
      <c r="AF131" s="16"/>
      <c r="AG131" s="17"/>
      <c r="AH131" s="16"/>
      <c r="AI131" s="16"/>
    </row>
    <row r="132" spans="1:35" s="26" customFormat="1" ht="13.5" customHeight="1">
      <c r="A132" s="187">
        <v>47</v>
      </c>
      <c r="B132" s="50">
        <v>43862</v>
      </c>
      <c r="C132" s="61">
        <f>VLOOKUP(B132,'base(indices)'!$A$16:$C$183,3,FALSE)</f>
        <v>1045</v>
      </c>
      <c r="D132" s="192">
        <f>'base(indices)'!G125</f>
        <v>1.1339588599999999</v>
      </c>
      <c r="E132" s="54">
        <f t="shared" ref="E132:E142" si="105">C132*D132</f>
        <v>1184.9870086999999</v>
      </c>
      <c r="F132" s="82">
        <f>'base(indices)'!I125</f>
        <v>0.34210000000000002</v>
      </c>
      <c r="G132" s="54">
        <f t="shared" si="74"/>
        <v>405.38405567627001</v>
      </c>
      <c r="H132" s="267">
        <f t="shared" si="75"/>
        <v>1590.3710643762699</v>
      </c>
      <c r="I132" s="277">
        <f t="shared" si="97"/>
        <v>77009.49475587855</v>
      </c>
      <c r="J132" s="58">
        <f>IF((I132-H$141+(H$141/12*11))+K132&gt;I197,I197-K132,(I132-H$141+(H$141/12*11)))</f>
        <v>76000.758974384822</v>
      </c>
      <c r="K132" s="91">
        <f t="shared" si="103"/>
        <v>8719.2410256151761</v>
      </c>
      <c r="L132" s="284">
        <f t="shared" si="81"/>
        <v>84720</v>
      </c>
      <c r="M132" s="57">
        <f t="shared" si="82"/>
        <v>72200.721025665582</v>
      </c>
      <c r="N132" s="91">
        <f t="shared" si="83"/>
        <v>8283.2789743344165</v>
      </c>
      <c r="O132" s="60">
        <f t="shared" si="84"/>
        <v>80484</v>
      </c>
      <c r="P132" s="58">
        <f t="shared" si="102"/>
        <v>68400.683076946341</v>
      </c>
      <c r="Q132" s="91">
        <f t="shared" si="86"/>
        <v>7847.3169230536587</v>
      </c>
      <c r="R132" s="59">
        <f t="shared" si="104"/>
        <v>76248</v>
      </c>
      <c r="S132" s="57">
        <f t="shared" si="88"/>
        <v>60800.607179507861</v>
      </c>
      <c r="T132" s="91">
        <f t="shared" si="89"/>
        <v>6975.3928204921413</v>
      </c>
      <c r="U132" s="60">
        <f t="shared" si="90"/>
        <v>67776</v>
      </c>
      <c r="V132" s="58">
        <f t="shared" si="91"/>
        <v>53200.531282069373</v>
      </c>
      <c r="W132" s="91">
        <f t="shared" si="92"/>
        <v>6103.4687179306229</v>
      </c>
      <c r="X132" s="59">
        <f t="shared" si="93"/>
        <v>59303.999999999993</v>
      </c>
      <c r="Y132" s="57">
        <f t="shared" si="94"/>
        <v>45600.455384630892</v>
      </c>
      <c r="Z132" s="91">
        <f t="shared" si="95"/>
        <v>5231.5446153691055</v>
      </c>
      <c r="AA132" s="59">
        <f t="shared" si="96"/>
        <v>50832</v>
      </c>
      <c r="AB132" s="32"/>
      <c r="AC132" s="32"/>
      <c r="AD132" s="32"/>
      <c r="AE132" s="32"/>
      <c r="AF132" s="32"/>
      <c r="AG132" s="33"/>
      <c r="AH132" s="32"/>
      <c r="AI132" s="32"/>
    </row>
    <row r="133" spans="1:35" ht="13.5" customHeight="1">
      <c r="A133" s="187">
        <v>46</v>
      </c>
      <c r="B133" s="50">
        <v>43891</v>
      </c>
      <c r="C133" s="61">
        <f>VLOOKUP(B133,'base(indices)'!$A$16:$C$183,3,FALSE)</f>
        <v>1045</v>
      </c>
      <c r="D133" s="192">
        <f>'base(indices)'!G126</f>
        <v>1.13146963</v>
      </c>
      <c r="E133" s="63">
        <f t="shared" si="105"/>
        <v>1182.3857633499999</v>
      </c>
      <c r="F133" s="82">
        <f>'base(indices)'!I126</f>
        <v>0.33951199999999998</v>
      </c>
      <c r="G133" s="63">
        <f t="shared" si="74"/>
        <v>401.43415528648518</v>
      </c>
      <c r="H133" s="268">
        <f t="shared" si="75"/>
        <v>1583.819918636485</v>
      </c>
      <c r="I133" s="278">
        <f t="shared" si="97"/>
        <v>75419.123691502275</v>
      </c>
      <c r="J133" s="45">
        <f>IF((I133-H$141+(H$141/12*10))+K133&gt;I197,I197-K133,(I133-H$141+(H$141/12*10)))</f>
        <v>75161.30935944985</v>
      </c>
      <c r="K133" s="108">
        <f t="shared" si="103"/>
        <v>8719.2410256151761</v>
      </c>
      <c r="L133" s="46">
        <f t="shared" si="81"/>
        <v>83880.550385065028</v>
      </c>
      <c r="M133" s="43">
        <f t="shared" si="82"/>
        <v>71403.243891477352</v>
      </c>
      <c r="N133" s="108">
        <f t="shared" si="83"/>
        <v>8283.2789743344165</v>
      </c>
      <c r="O133" s="47">
        <f t="shared" si="84"/>
        <v>79686.52286581177</v>
      </c>
      <c r="P133" s="119">
        <f t="shared" si="102"/>
        <v>67645.178423504869</v>
      </c>
      <c r="Q133" s="108">
        <f t="shared" si="86"/>
        <v>7847.3169230536587</v>
      </c>
      <c r="R133" s="46">
        <f t="shared" si="104"/>
        <v>75492.495346558528</v>
      </c>
      <c r="S133" s="43">
        <f t="shared" si="88"/>
        <v>60129.047487559881</v>
      </c>
      <c r="T133" s="108">
        <f t="shared" si="89"/>
        <v>6975.3928204921413</v>
      </c>
      <c r="U133" s="47">
        <f t="shared" si="90"/>
        <v>67104.440308052028</v>
      </c>
      <c r="V133" s="45">
        <f t="shared" si="91"/>
        <v>52612.916551614893</v>
      </c>
      <c r="W133" s="108">
        <f t="shared" si="92"/>
        <v>6103.4687179306229</v>
      </c>
      <c r="X133" s="46">
        <f t="shared" si="93"/>
        <v>58716.385269545513</v>
      </c>
      <c r="Y133" s="43">
        <f t="shared" si="94"/>
        <v>45096.785615669905</v>
      </c>
      <c r="Z133" s="108">
        <f t="shared" si="95"/>
        <v>5231.5446153691055</v>
      </c>
      <c r="AA133" s="46">
        <f t="shared" si="96"/>
        <v>50328.330231039014</v>
      </c>
      <c r="AB133" s="16"/>
      <c r="AC133" s="16"/>
      <c r="AD133" s="16"/>
      <c r="AE133" s="16"/>
      <c r="AF133" s="16"/>
      <c r="AG133" s="17"/>
      <c r="AH133" s="16"/>
      <c r="AI133" s="16"/>
    </row>
    <row r="134" spans="1:35" s="26" customFormat="1" ht="13.5" customHeight="1">
      <c r="A134" s="187">
        <v>45</v>
      </c>
      <c r="B134" s="50">
        <v>43922</v>
      </c>
      <c r="C134" s="61">
        <f>VLOOKUP(B134,'base(indices)'!$A$16:$C$183,3,FALSE)</f>
        <v>1045</v>
      </c>
      <c r="D134" s="192">
        <f>'base(indices)'!G127</f>
        <v>1.1312433799999999</v>
      </c>
      <c r="E134" s="54">
        <f t="shared" si="105"/>
        <v>1182.1493320999998</v>
      </c>
      <c r="F134" s="82">
        <f>'base(indices)'!I127</f>
        <v>0.33706599999999998</v>
      </c>
      <c r="G134" s="54">
        <f t="shared" si="74"/>
        <v>398.46234677361849</v>
      </c>
      <c r="H134" s="267">
        <f t="shared" si="75"/>
        <v>1580.6116788736183</v>
      </c>
      <c r="I134" s="277">
        <f t="shared" si="97"/>
        <v>73835.303772865795</v>
      </c>
      <c r="J134" s="58">
        <f>IF((I134-H$141+(H$141/12*9))+K134&gt;I197,I197-K134,(I134-H$141+(H$141/12*9)))</f>
        <v>73448.582274787157</v>
      </c>
      <c r="K134" s="91">
        <f t="shared" si="103"/>
        <v>8719.2410256151761</v>
      </c>
      <c r="L134" s="284">
        <f t="shared" si="81"/>
        <v>82167.823300402335</v>
      </c>
      <c r="M134" s="57">
        <f t="shared" si="82"/>
        <v>69776.153161047798</v>
      </c>
      <c r="N134" s="91">
        <f t="shared" si="83"/>
        <v>8283.2789743344165</v>
      </c>
      <c r="O134" s="60">
        <f t="shared" si="84"/>
        <v>78059.432135382216</v>
      </c>
      <c r="P134" s="58">
        <f t="shared" si="102"/>
        <v>66103.724047308438</v>
      </c>
      <c r="Q134" s="91">
        <f t="shared" si="86"/>
        <v>7847.3169230536587</v>
      </c>
      <c r="R134" s="59">
        <f t="shared" si="104"/>
        <v>73951.040970362097</v>
      </c>
      <c r="S134" s="57">
        <f t="shared" si="88"/>
        <v>58758.865819829727</v>
      </c>
      <c r="T134" s="91">
        <f t="shared" si="89"/>
        <v>6975.3928204921413</v>
      </c>
      <c r="U134" s="60">
        <f t="shared" si="90"/>
        <v>65734.258640321874</v>
      </c>
      <c r="V134" s="58">
        <f t="shared" si="91"/>
        <v>51414.007592351008</v>
      </c>
      <c r="W134" s="91">
        <f t="shared" si="92"/>
        <v>6103.4687179306229</v>
      </c>
      <c r="X134" s="59">
        <f t="shared" si="93"/>
        <v>57517.476310281629</v>
      </c>
      <c r="Y134" s="57">
        <f t="shared" si="94"/>
        <v>44069.14936487229</v>
      </c>
      <c r="Z134" s="91">
        <f t="shared" si="95"/>
        <v>5231.5446153691055</v>
      </c>
      <c r="AA134" s="59">
        <f t="shared" si="96"/>
        <v>49300.693980241398</v>
      </c>
      <c r="AB134" s="32"/>
      <c r="AC134" s="32"/>
      <c r="AD134" s="32"/>
      <c r="AE134" s="32"/>
      <c r="AF134" s="32"/>
      <c r="AG134" s="33"/>
      <c r="AH134" s="32"/>
      <c r="AI134" s="32"/>
    </row>
    <row r="135" spans="1:35" ht="13.5" customHeight="1">
      <c r="A135" s="187">
        <v>44</v>
      </c>
      <c r="B135" s="50">
        <v>43952</v>
      </c>
      <c r="C135" s="61">
        <f>VLOOKUP(B135,'base(indices)'!$A$16:$C$183,3,FALSE)</f>
        <v>1045</v>
      </c>
      <c r="D135" s="192">
        <f>'base(indices)'!G128</f>
        <v>1.13135652</v>
      </c>
      <c r="E135" s="63">
        <f t="shared" si="105"/>
        <v>1182.2675634</v>
      </c>
      <c r="F135" s="82">
        <f>'base(indices)'!I128</f>
        <v>0.33490399999999998</v>
      </c>
      <c r="G135" s="63">
        <f t="shared" si="74"/>
        <v>395.94613605291357</v>
      </c>
      <c r="H135" s="268">
        <f t="shared" si="75"/>
        <v>1578.2136994529135</v>
      </c>
      <c r="I135" s="278">
        <f t="shared" si="97"/>
        <v>72254.692093992169</v>
      </c>
      <c r="J135" s="45">
        <f>IF((I135-H$141+(H$141/12*8))+K135&gt;I197,I197-K135,(I135-H$141+(H$141/12*8)))</f>
        <v>71739.063429887334</v>
      </c>
      <c r="K135" s="108">
        <f t="shared" si="103"/>
        <v>8719.2410256151761</v>
      </c>
      <c r="L135" s="46">
        <f t="shared" si="81"/>
        <v>80458.304455502512</v>
      </c>
      <c r="M135" s="43">
        <f t="shared" si="82"/>
        <v>68152.110258392961</v>
      </c>
      <c r="N135" s="108">
        <f t="shared" si="83"/>
        <v>8283.2789743344165</v>
      </c>
      <c r="O135" s="47">
        <f t="shared" si="84"/>
        <v>76435.389232727379</v>
      </c>
      <c r="P135" s="119">
        <f t="shared" si="102"/>
        <v>64565.157086898602</v>
      </c>
      <c r="Q135" s="108">
        <f t="shared" si="86"/>
        <v>7847.3169230536587</v>
      </c>
      <c r="R135" s="46">
        <f t="shared" si="104"/>
        <v>72412.474009952261</v>
      </c>
      <c r="S135" s="43">
        <f t="shared" si="88"/>
        <v>57391.25074390987</v>
      </c>
      <c r="T135" s="108">
        <f t="shared" si="89"/>
        <v>6975.3928204921413</v>
      </c>
      <c r="U135" s="47">
        <f t="shared" si="90"/>
        <v>64366.643564402009</v>
      </c>
      <c r="V135" s="45">
        <f t="shared" si="91"/>
        <v>50217.344400921131</v>
      </c>
      <c r="W135" s="108">
        <f t="shared" si="92"/>
        <v>6103.4687179306229</v>
      </c>
      <c r="X135" s="46">
        <f t="shared" si="93"/>
        <v>56320.813118851751</v>
      </c>
      <c r="Y135" s="43">
        <f t="shared" si="94"/>
        <v>43043.438057932399</v>
      </c>
      <c r="Z135" s="108">
        <f t="shared" si="95"/>
        <v>5231.5446153691055</v>
      </c>
      <c r="AA135" s="46">
        <f t="shared" si="96"/>
        <v>48274.982673301507</v>
      </c>
      <c r="AB135" s="16"/>
      <c r="AC135" s="16"/>
      <c r="AD135" s="16"/>
      <c r="AE135" s="16"/>
      <c r="AF135" s="16"/>
      <c r="AG135" s="17"/>
      <c r="AH135" s="16"/>
      <c r="AI135" s="16"/>
    </row>
    <row r="136" spans="1:35" s="26" customFormat="1" ht="13.5" customHeight="1">
      <c r="A136" s="187">
        <v>43</v>
      </c>
      <c r="B136" s="50">
        <v>43983</v>
      </c>
      <c r="C136" s="61">
        <f>VLOOKUP(B136,'base(indices)'!$A$16:$C$183,3,FALSE)</f>
        <v>1045</v>
      </c>
      <c r="D136" s="192">
        <f>'base(indices)'!G129</f>
        <v>1.1380711400000001</v>
      </c>
      <c r="E136" s="54">
        <f t="shared" si="105"/>
        <v>1189.2843413000001</v>
      </c>
      <c r="F136" s="82">
        <f>'base(indices)'!I129</f>
        <v>0.33274199999999998</v>
      </c>
      <c r="G136" s="54">
        <f t="shared" si="74"/>
        <v>395.72485029284462</v>
      </c>
      <c r="H136" s="267">
        <f t="shared" si="75"/>
        <v>1585.0091915928447</v>
      </c>
      <c r="I136" s="277">
        <f t="shared" si="97"/>
        <v>70676.478394539256</v>
      </c>
      <c r="J136" s="58">
        <f>IF((I136-H$141+(H$141/12*7))+K136&gt;I197,I197-K136,(I136-H$141+(H$141/12*7)))</f>
        <v>70031.942564408208</v>
      </c>
      <c r="K136" s="91">
        <f t="shared" si="103"/>
        <v>8719.2410256151761</v>
      </c>
      <c r="L136" s="284">
        <f t="shared" si="81"/>
        <v>78751.183590023385</v>
      </c>
      <c r="M136" s="57">
        <f t="shared" si="82"/>
        <v>66530.345436187796</v>
      </c>
      <c r="N136" s="91">
        <f t="shared" si="83"/>
        <v>8283.2789743344165</v>
      </c>
      <c r="O136" s="60">
        <f t="shared" si="84"/>
        <v>74813.624410522214</v>
      </c>
      <c r="P136" s="58">
        <f t="shared" si="102"/>
        <v>63028.748307967391</v>
      </c>
      <c r="Q136" s="91">
        <f t="shared" si="86"/>
        <v>7847.3169230536587</v>
      </c>
      <c r="R136" s="59">
        <f t="shared" si="104"/>
        <v>70876.065231021057</v>
      </c>
      <c r="S136" s="57">
        <f t="shared" si="88"/>
        <v>56025.554051526567</v>
      </c>
      <c r="T136" s="91">
        <f t="shared" si="89"/>
        <v>6975.3928204921413</v>
      </c>
      <c r="U136" s="60">
        <f t="shared" si="90"/>
        <v>63000.946872018707</v>
      </c>
      <c r="V136" s="58">
        <f t="shared" si="91"/>
        <v>49022.359795085744</v>
      </c>
      <c r="W136" s="91">
        <f t="shared" si="92"/>
        <v>6103.4687179306229</v>
      </c>
      <c r="X136" s="59">
        <f t="shared" si="93"/>
        <v>55125.828513016364</v>
      </c>
      <c r="Y136" s="57">
        <f t="shared" si="94"/>
        <v>42019.16553864492</v>
      </c>
      <c r="Z136" s="91">
        <f t="shared" si="95"/>
        <v>5231.5446153691055</v>
      </c>
      <c r="AA136" s="59">
        <f t="shared" si="96"/>
        <v>47250.710154014028</v>
      </c>
      <c r="AB136" s="32"/>
      <c r="AC136" s="32"/>
      <c r="AD136" s="32"/>
      <c r="AE136" s="32"/>
      <c r="AF136" s="32"/>
      <c r="AG136" s="33"/>
      <c r="AH136" s="32"/>
      <c r="AI136" s="32"/>
    </row>
    <row r="137" spans="1:35" ht="13.5" customHeight="1">
      <c r="A137" s="187">
        <v>42</v>
      </c>
      <c r="B137" s="50">
        <v>44013</v>
      </c>
      <c r="C137" s="61">
        <f>VLOOKUP(B137,'base(indices)'!$A$16:$C$183,3,FALSE)</f>
        <v>1045</v>
      </c>
      <c r="D137" s="192">
        <f>'base(indices)'!G130</f>
        <v>1.13784357</v>
      </c>
      <c r="E137" s="63">
        <f t="shared" si="105"/>
        <v>1189.04653065</v>
      </c>
      <c r="F137" s="82">
        <f>'base(indices)'!I130</f>
        <v>0.331009</v>
      </c>
      <c r="G137" s="63">
        <f t="shared" si="74"/>
        <v>393.58510306392583</v>
      </c>
      <c r="H137" s="268">
        <f t="shared" si="75"/>
        <v>1582.6316337139258</v>
      </c>
      <c r="I137" s="278">
        <f t="shared" si="97"/>
        <v>69091.469202946406</v>
      </c>
      <c r="J137" s="45">
        <f>IF((I137-H$141+(H$141/12*6))+K137&gt;I197,I197-K137,(I137-H$141+(H$141/12*6)))</f>
        <v>68318.026206789145</v>
      </c>
      <c r="K137" s="108">
        <f t="shared" si="103"/>
        <v>8719.2410256151761</v>
      </c>
      <c r="L137" s="46">
        <f t="shared" si="81"/>
        <v>77037.267232404323</v>
      </c>
      <c r="M137" s="43">
        <f t="shared" si="82"/>
        <v>64902.124896449684</v>
      </c>
      <c r="N137" s="108">
        <f t="shared" si="83"/>
        <v>8283.2789743344165</v>
      </c>
      <c r="O137" s="47">
        <f t="shared" si="84"/>
        <v>73185.403870784095</v>
      </c>
      <c r="P137" s="119">
        <f t="shared" si="102"/>
        <v>61486.223586110231</v>
      </c>
      <c r="Q137" s="108">
        <f t="shared" si="86"/>
        <v>7847.3169230536587</v>
      </c>
      <c r="R137" s="46">
        <f t="shared" si="104"/>
        <v>69333.540509163897</v>
      </c>
      <c r="S137" s="43">
        <f t="shared" si="88"/>
        <v>54654.420965431316</v>
      </c>
      <c r="T137" s="108">
        <f t="shared" si="89"/>
        <v>6975.3928204921413</v>
      </c>
      <c r="U137" s="47">
        <f t="shared" si="90"/>
        <v>61629.813785923456</v>
      </c>
      <c r="V137" s="45">
        <f t="shared" si="91"/>
        <v>47822.618344752402</v>
      </c>
      <c r="W137" s="108">
        <f t="shared" si="92"/>
        <v>6103.4687179306229</v>
      </c>
      <c r="X137" s="46">
        <f t="shared" si="93"/>
        <v>53926.087062683022</v>
      </c>
      <c r="Y137" s="43">
        <f t="shared" si="94"/>
        <v>40990.815724073487</v>
      </c>
      <c r="Z137" s="108">
        <f t="shared" si="95"/>
        <v>5231.5446153691055</v>
      </c>
      <c r="AA137" s="46">
        <f t="shared" si="96"/>
        <v>46222.360339442595</v>
      </c>
      <c r="AB137" s="16"/>
      <c r="AC137" s="16"/>
      <c r="AD137" s="16"/>
      <c r="AE137" s="16"/>
      <c r="AF137" s="16"/>
      <c r="AG137" s="17"/>
      <c r="AH137" s="16"/>
      <c r="AI137" s="16"/>
    </row>
    <row r="138" spans="1:35" s="26" customFormat="1" ht="13.5" customHeight="1">
      <c r="A138" s="187">
        <v>41</v>
      </c>
      <c r="B138" s="50">
        <v>44044</v>
      </c>
      <c r="C138" s="61">
        <f>VLOOKUP(B138,'base(indices)'!$A$16:$C$183,3,FALSE)</f>
        <v>1045</v>
      </c>
      <c r="D138" s="192">
        <f>'base(indices)'!G131</f>
        <v>1.1344402499999999</v>
      </c>
      <c r="E138" s="54">
        <f t="shared" si="105"/>
        <v>1185.4900612499998</v>
      </c>
      <c r="F138" s="82">
        <f>'base(indices)'!I131</f>
        <v>0.329706</v>
      </c>
      <c r="G138" s="54">
        <f t="shared" si="74"/>
        <v>390.86318613449242</v>
      </c>
      <c r="H138" s="267">
        <f t="shared" si="75"/>
        <v>1576.3532473844923</v>
      </c>
      <c r="I138" s="277">
        <f t="shared" si="97"/>
        <v>67508.837569232477</v>
      </c>
      <c r="J138" s="58">
        <f>IF((I138-H$141+(H$141/12*5))+K138&gt;I197,I197-K138,(I138-H$141+(H$141/12*5)))</f>
        <v>66606.487407049004</v>
      </c>
      <c r="K138" s="91">
        <f t="shared" si="103"/>
        <v>8719.2410256151761</v>
      </c>
      <c r="L138" s="284">
        <f t="shared" si="81"/>
        <v>75325.728432664182</v>
      </c>
      <c r="M138" s="57">
        <f t="shared" si="82"/>
        <v>63276.163036696547</v>
      </c>
      <c r="N138" s="91">
        <f t="shared" si="83"/>
        <v>8283.2789743344165</v>
      </c>
      <c r="O138" s="60">
        <f t="shared" si="84"/>
        <v>71559.442011030958</v>
      </c>
      <c r="P138" s="58">
        <f t="shared" si="102"/>
        <v>59945.838666344105</v>
      </c>
      <c r="Q138" s="91">
        <f t="shared" si="86"/>
        <v>7847.3169230536587</v>
      </c>
      <c r="R138" s="59">
        <f t="shared" si="104"/>
        <v>67793.155589397764</v>
      </c>
      <c r="S138" s="57">
        <f t="shared" si="88"/>
        <v>53285.189925639206</v>
      </c>
      <c r="T138" s="91">
        <f t="shared" si="89"/>
        <v>6975.3928204921413</v>
      </c>
      <c r="U138" s="60">
        <f t="shared" si="90"/>
        <v>60260.582746131346</v>
      </c>
      <c r="V138" s="58">
        <f t="shared" si="91"/>
        <v>46624.5411849343</v>
      </c>
      <c r="W138" s="91">
        <f t="shared" si="92"/>
        <v>6103.4687179306229</v>
      </c>
      <c r="X138" s="59">
        <f t="shared" si="93"/>
        <v>52728.00990286492</v>
      </c>
      <c r="Y138" s="57">
        <f t="shared" si="94"/>
        <v>39963.892444229401</v>
      </c>
      <c r="Z138" s="91">
        <f t="shared" si="95"/>
        <v>5231.5446153691055</v>
      </c>
      <c r="AA138" s="59">
        <f t="shared" si="96"/>
        <v>45195.437059598509</v>
      </c>
      <c r="AB138" s="32"/>
      <c r="AC138" s="32"/>
      <c r="AD138" s="32"/>
      <c r="AE138" s="32"/>
      <c r="AF138" s="32"/>
      <c r="AG138" s="33"/>
      <c r="AH138" s="32"/>
      <c r="AI138" s="32"/>
    </row>
    <row r="139" spans="1:35" ht="13.5" customHeight="1">
      <c r="A139" s="187">
        <v>40</v>
      </c>
      <c r="B139" s="50">
        <v>44075</v>
      </c>
      <c r="C139" s="61">
        <f>VLOOKUP(B139,'base(indices)'!$A$16:$C$183,3,FALSE)</f>
        <v>1045</v>
      </c>
      <c r="D139" s="192">
        <f>'base(indices)'!G132</f>
        <v>1.1318370200000001</v>
      </c>
      <c r="E139" s="63">
        <f t="shared" si="105"/>
        <v>1182.7696859</v>
      </c>
      <c r="F139" s="82">
        <f>'base(indices)'!I132</f>
        <v>0.328403</v>
      </c>
      <c r="G139" s="63">
        <f t="shared" si="74"/>
        <v>388.42511315861771</v>
      </c>
      <c r="H139" s="268">
        <f t="shared" si="75"/>
        <v>1571.1947990586177</v>
      </c>
      <c r="I139" s="278">
        <f t="shared" si="97"/>
        <v>65932.48432184798</v>
      </c>
      <c r="J139" s="45">
        <f>IF((I139-H$141+(H$141/12*4))+K139&gt;I197,I197-K139,(I139-H$141+(H$141/12*4)))</f>
        <v>64901.226993638302</v>
      </c>
      <c r="K139" s="108">
        <f t="shared" si="103"/>
        <v>8719.2410256151761</v>
      </c>
      <c r="L139" s="46">
        <f t="shared" si="81"/>
        <v>73620.468019253472</v>
      </c>
      <c r="M139" s="43">
        <f t="shared" si="82"/>
        <v>61656.165643956381</v>
      </c>
      <c r="N139" s="108">
        <f t="shared" si="83"/>
        <v>8283.2789743344165</v>
      </c>
      <c r="O139" s="47">
        <f t="shared" si="84"/>
        <v>69939.4446182908</v>
      </c>
      <c r="P139" s="119">
        <f t="shared" si="102"/>
        <v>58411.104294274475</v>
      </c>
      <c r="Q139" s="108">
        <f t="shared" si="86"/>
        <v>7847.3169230536587</v>
      </c>
      <c r="R139" s="46">
        <f t="shared" si="104"/>
        <v>66258.421217328141</v>
      </c>
      <c r="S139" s="43">
        <f t="shared" si="88"/>
        <v>51920.981594910641</v>
      </c>
      <c r="T139" s="108">
        <f t="shared" si="89"/>
        <v>6975.3928204921413</v>
      </c>
      <c r="U139" s="47">
        <f t="shared" si="90"/>
        <v>58896.374415402781</v>
      </c>
      <c r="V139" s="45">
        <f t="shared" si="91"/>
        <v>45430.858895546808</v>
      </c>
      <c r="W139" s="108">
        <f t="shared" si="92"/>
        <v>6103.4687179306229</v>
      </c>
      <c r="X139" s="46">
        <f t="shared" si="93"/>
        <v>51534.327613477428</v>
      </c>
      <c r="Y139" s="43">
        <f t="shared" si="94"/>
        <v>38940.736196182981</v>
      </c>
      <c r="Z139" s="108">
        <f t="shared" si="95"/>
        <v>5231.5446153691055</v>
      </c>
      <c r="AA139" s="46">
        <f t="shared" si="96"/>
        <v>44172.280811552089</v>
      </c>
      <c r="AB139" s="16"/>
      <c r="AC139" s="16"/>
      <c r="AD139" s="16"/>
      <c r="AE139" s="16"/>
      <c r="AF139" s="16"/>
      <c r="AG139" s="17"/>
      <c r="AH139" s="16"/>
      <c r="AI139" s="16"/>
    </row>
    <row r="140" spans="1:35" s="26" customFormat="1" ht="13.5" customHeight="1">
      <c r="A140" s="187">
        <v>39</v>
      </c>
      <c r="B140" s="50">
        <v>44105</v>
      </c>
      <c r="C140" s="61">
        <f>VLOOKUP(B140,'base(indices)'!$A$16:$C$183,3,FALSE)</f>
        <v>1045</v>
      </c>
      <c r="D140" s="192">
        <f>'base(indices)'!G133</f>
        <v>1.12676657</v>
      </c>
      <c r="E140" s="54">
        <f t="shared" si="105"/>
        <v>1177.4710656500001</v>
      </c>
      <c r="F140" s="82">
        <f>'base(indices)'!I133</f>
        <v>0.32724399999999998</v>
      </c>
      <c r="G140" s="54">
        <f t="shared" si="74"/>
        <v>385.32034140756861</v>
      </c>
      <c r="H140" s="267">
        <f t="shared" si="75"/>
        <v>1562.7914070575687</v>
      </c>
      <c r="I140" s="277">
        <f t="shared" si="97"/>
        <v>64361.28952278936</v>
      </c>
      <c r="J140" s="58">
        <f>IF((I140-H$141+(H$141/12*3))+K140&gt;I197,I197-K140,(I140-H$141+(H$141/12*3)))</f>
        <v>63201.12502855347</v>
      </c>
      <c r="K140" s="91">
        <f t="shared" si="103"/>
        <v>8719.2410256151761</v>
      </c>
      <c r="L140" s="284">
        <f t="shared" si="81"/>
        <v>71920.36605416864</v>
      </c>
      <c r="M140" s="57">
        <f t="shared" si="82"/>
        <v>60041.068777125794</v>
      </c>
      <c r="N140" s="91">
        <f t="shared" si="83"/>
        <v>8283.2789743344165</v>
      </c>
      <c r="O140" s="60">
        <f t="shared" si="84"/>
        <v>68324.347751460213</v>
      </c>
      <c r="P140" s="58">
        <f t="shared" si="102"/>
        <v>56881.012525698126</v>
      </c>
      <c r="Q140" s="91">
        <f t="shared" si="86"/>
        <v>7847.3169230536587</v>
      </c>
      <c r="R140" s="59">
        <f t="shared" si="104"/>
        <v>64728.329448751785</v>
      </c>
      <c r="S140" s="57">
        <f t="shared" si="88"/>
        <v>50560.900022842776</v>
      </c>
      <c r="T140" s="91">
        <f t="shared" si="89"/>
        <v>6975.3928204921413</v>
      </c>
      <c r="U140" s="60">
        <f t="shared" si="90"/>
        <v>57536.292843334915</v>
      </c>
      <c r="V140" s="58">
        <f t="shared" si="91"/>
        <v>44240.787519987425</v>
      </c>
      <c r="W140" s="91">
        <f t="shared" si="92"/>
        <v>6103.4687179306229</v>
      </c>
      <c r="X140" s="59">
        <f t="shared" si="93"/>
        <v>50344.256237918045</v>
      </c>
      <c r="Y140" s="57">
        <f t="shared" si="94"/>
        <v>37920.675017132082</v>
      </c>
      <c r="Z140" s="91">
        <f t="shared" si="95"/>
        <v>5231.5446153691055</v>
      </c>
      <c r="AA140" s="59">
        <f t="shared" si="96"/>
        <v>43152.21963250119</v>
      </c>
      <c r="AB140" s="32"/>
      <c r="AC140" s="32"/>
      <c r="AD140" s="32"/>
      <c r="AE140" s="32"/>
      <c r="AF140" s="32"/>
      <c r="AG140" s="33"/>
      <c r="AH140" s="32"/>
      <c r="AI140" s="32"/>
    </row>
    <row r="141" spans="1:35" ht="13.5" customHeight="1">
      <c r="A141" s="187">
        <v>38</v>
      </c>
      <c r="B141" s="50">
        <v>44136</v>
      </c>
      <c r="C141" s="61">
        <f>VLOOKUP(B141,'base(indices)'!$A$16:$C$183,3,FALSE)</f>
        <v>1045</v>
      </c>
      <c r="D141" s="192">
        <f>'base(indices)'!G134</f>
        <v>1.1162736</v>
      </c>
      <c r="E141" s="63">
        <f t="shared" si="105"/>
        <v>1166.5059120000001</v>
      </c>
      <c r="F141" s="82">
        <f>'base(indices)'!I134</f>
        <v>0.32608500000000001</v>
      </c>
      <c r="G141" s="63">
        <f t="shared" si="74"/>
        <v>380.38008031452006</v>
      </c>
      <c r="H141" s="268">
        <f t="shared" si="75"/>
        <v>1546.8859923145201</v>
      </c>
      <c r="I141" s="278">
        <f t="shared" si="97"/>
        <v>62798.498115731789</v>
      </c>
      <c r="J141" s="45">
        <f>IF((I141-H$141+(H$141/12*2))+K141&gt;I197,I197-K141,(I141-H$141+(H$141/12*2)))</f>
        <v>61509.426455469686</v>
      </c>
      <c r="K141" s="108">
        <f t="shared" si="103"/>
        <v>8719.2410256151761</v>
      </c>
      <c r="L141" s="46">
        <f t="shared" si="81"/>
        <v>70228.667481084864</v>
      </c>
      <c r="M141" s="43">
        <f t="shared" si="82"/>
        <v>58433.955132696196</v>
      </c>
      <c r="N141" s="108">
        <f t="shared" si="83"/>
        <v>8283.2789743344165</v>
      </c>
      <c r="O141" s="47">
        <f t="shared" si="84"/>
        <v>66717.234107030614</v>
      </c>
      <c r="P141" s="119">
        <f t="shared" si="102"/>
        <v>55358.48380992272</v>
      </c>
      <c r="Q141" s="108">
        <f t="shared" si="86"/>
        <v>7847.3169230536587</v>
      </c>
      <c r="R141" s="46">
        <f t="shared" si="104"/>
        <v>63205.800732976379</v>
      </c>
      <c r="S141" s="43">
        <f t="shared" si="88"/>
        <v>49207.541164375754</v>
      </c>
      <c r="T141" s="108">
        <f t="shared" si="89"/>
        <v>6975.3928204921413</v>
      </c>
      <c r="U141" s="47">
        <f t="shared" si="90"/>
        <v>56182.933984867894</v>
      </c>
      <c r="V141" s="45">
        <f t="shared" si="91"/>
        <v>43056.598518828774</v>
      </c>
      <c r="W141" s="108">
        <f t="shared" si="92"/>
        <v>6103.4687179306229</v>
      </c>
      <c r="X141" s="46">
        <f t="shared" si="93"/>
        <v>49160.067236759394</v>
      </c>
      <c r="Y141" s="43">
        <f t="shared" si="94"/>
        <v>36905.655873281808</v>
      </c>
      <c r="Z141" s="108">
        <f t="shared" si="95"/>
        <v>5231.5446153691055</v>
      </c>
      <c r="AA141" s="46">
        <f t="shared" si="96"/>
        <v>42137.200488650917</v>
      </c>
      <c r="AB141" s="16"/>
      <c r="AC141" s="16"/>
      <c r="AD141" s="16"/>
      <c r="AE141" s="16"/>
      <c r="AF141" s="16"/>
      <c r="AG141" s="17"/>
      <c r="AH141" s="16"/>
      <c r="AI141" s="16"/>
    </row>
    <row r="142" spans="1:35" s="26" customFormat="1" ht="13.5" customHeight="1" thickBot="1">
      <c r="A142" s="188">
        <v>37</v>
      </c>
      <c r="B142" s="247">
        <v>44166</v>
      </c>
      <c r="C142" s="69">
        <f>VLOOKUP(B142,'base(indices)'!$A$16:$C$183,3,FALSE)*2</f>
        <v>2090</v>
      </c>
      <c r="D142" s="335">
        <f>'base(indices)'!G135</f>
        <v>1.1073044400000001</v>
      </c>
      <c r="E142" s="163">
        <f t="shared" si="105"/>
        <v>2314.2662796</v>
      </c>
      <c r="F142" s="304">
        <f>'base(indices)'!I135</f>
        <v>0.32492599999999999</v>
      </c>
      <c r="G142" s="163">
        <f t="shared" si="74"/>
        <v>751.96528516530952</v>
      </c>
      <c r="H142" s="355">
        <f t="shared" si="75"/>
        <v>3066.2315647653095</v>
      </c>
      <c r="I142" s="280">
        <f t="shared" si="97"/>
        <v>61251.612123417268</v>
      </c>
      <c r="J142" s="175">
        <f>IF((I142-H$141+(H$141/12*1))+K142&gt;I197,I197-K142,(I142-H$141+(H$141/12*1)))</f>
        <v>59833.633297128959</v>
      </c>
      <c r="K142" s="86">
        <f t="shared" si="103"/>
        <v>8719.2410256151761</v>
      </c>
      <c r="L142" s="287">
        <f t="shared" si="81"/>
        <v>68552.87432274413</v>
      </c>
      <c r="M142" s="85">
        <f t="shared" si="82"/>
        <v>56841.95163227251</v>
      </c>
      <c r="N142" s="86">
        <f t="shared" si="83"/>
        <v>8283.2789743344165</v>
      </c>
      <c r="O142" s="107">
        <f t="shared" si="84"/>
        <v>65125.230606606929</v>
      </c>
      <c r="P142" s="175">
        <f t="shared" si="102"/>
        <v>53850.269967416061</v>
      </c>
      <c r="Q142" s="86">
        <f t="shared" si="86"/>
        <v>7847.3169230536587</v>
      </c>
      <c r="R142" s="165">
        <f t="shared" si="104"/>
        <v>61697.58689046972</v>
      </c>
      <c r="S142" s="85">
        <f>J142*S$9</f>
        <v>47866.90663770317</v>
      </c>
      <c r="T142" s="86">
        <f t="shared" si="89"/>
        <v>6975.3928204921413</v>
      </c>
      <c r="U142" s="107">
        <f>S142+T142</f>
        <v>54842.29945819531</v>
      </c>
      <c r="V142" s="175">
        <f t="shared" si="91"/>
        <v>41883.543307990272</v>
      </c>
      <c r="W142" s="86">
        <f t="shared" si="92"/>
        <v>6103.4687179306229</v>
      </c>
      <c r="X142" s="165">
        <f t="shared" si="93"/>
        <v>47987.012025920892</v>
      </c>
      <c r="Y142" s="85">
        <f t="shared" si="94"/>
        <v>35900.179978277374</v>
      </c>
      <c r="Z142" s="86">
        <f t="shared" si="95"/>
        <v>5231.5446153691055</v>
      </c>
      <c r="AA142" s="165">
        <f t="shared" si="96"/>
        <v>41131.724593646482</v>
      </c>
      <c r="AB142" s="32"/>
      <c r="AC142" s="32"/>
      <c r="AD142" s="32"/>
      <c r="AE142" s="32"/>
      <c r="AF142" s="32"/>
      <c r="AG142" s="33"/>
      <c r="AH142" s="32"/>
      <c r="AI142" s="32"/>
    </row>
    <row r="143" spans="1:35" s="26" customFormat="1" ht="13.5" customHeight="1">
      <c r="A143" s="217">
        <v>36</v>
      </c>
      <c r="B143" s="136">
        <v>44197</v>
      </c>
      <c r="C143" s="41">
        <f>VLOOKUP(B143,'base(indices)'!$A$16:$C$183,3,FALSE)</f>
        <v>1100</v>
      </c>
      <c r="D143" s="193">
        <f>'base(indices)'!G136</f>
        <v>1.09569012</v>
      </c>
      <c r="E143" s="78">
        <f>C143*D143</f>
        <v>1205.2591319999999</v>
      </c>
      <c r="F143" s="79">
        <f>'base(indices)'!I136</f>
        <v>0.32376700000000003</v>
      </c>
      <c r="G143" s="78">
        <f t="shared" si="74"/>
        <v>390.22313339024402</v>
      </c>
      <c r="H143" s="266">
        <f t="shared" si="75"/>
        <v>1595.4822653902438</v>
      </c>
      <c r="I143" s="281">
        <f t="shared" si="97"/>
        <v>58185.380558651959</v>
      </c>
      <c r="J143" s="288">
        <f>IF((I143-H$153+(H$153))+K143&gt;$I$197,$I$197-K143,(I143-H$153+(H$153)))</f>
        <v>58185.380558651959</v>
      </c>
      <c r="K143" s="156">
        <f t="shared" si="103"/>
        <v>8719.2410256151761</v>
      </c>
      <c r="L143" s="150">
        <f t="shared" si="81"/>
        <v>66904.621584267137</v>
      </c>
      <c r="M143" s="283">
        <f t="shared" si="82"/>
        <v>55276.111530719361</v>
      </c>
      <c r="N143" s="156">
        <f t="shared" si="83"/>
        <v>8283.2789743344165</v>
      </c>
      <c r="O143" s="290">
        <f t="shared" si="84"/>
        <v>63559.39050505378</v>
      </c>
      <c r="P143" s="292">
        <f t="shared" si="102"/>
        <v>52366.842502786763</v>
      </c>
      <c r="Q143" s="156">
        <f t="shared" si="86"/>
        <v>7847.3169230536587</v>
      </c>
      <c r="R143" s="150">
        <f t="shared" si="104"/>
        <v>60214.159425840422</v>
      </c>
      <c r="S143" s="283">
        <f t="shared" ref="S143:S153" si="106">J143*S$9</f>
        <v>46548.304446921567</v>
      </c>
      <c r="T143" s="156">
        <f t="shared" si="89"/>
        <v>6975.3928204921413</v>
      </c>
      <c r="U143" s="290">
        <f t="shared" ref="U143:U153" si="107">S143+T143</f>
        <v>53523.697267413707</v>
      </c>
      <c r="V143" s="288">
        <f t="shared" si="91"/>
        <v>40729.766391056372</v>
      </c>
      <c r="W143" s="156">
        <f t="shared" si="92"/>
        <v>6103.4687179306229</v>
      </c>
      <c r="X143" s="150">
        <f t="shared" si="93"/>
        <v>46833.235108986992</v>
      </c>
      <c r="Y143" s="283">
        <f t="shared" si="94"/>
        <v>34911.228335191176</v>
      </c>
      <c r="Z143" s="156">
        <f t="shared" si="95"/>
        <v>5231.5446153691055</v>
      </c>
      <c r="AA143" s="150">
        <f t="shared" si="96"/>
        <v>40142.772950560284</v>
      </c>
      <c r="AB143" s="32"/>
      <c r="AC143" s="32"/>
      <c r="AD143" s="32"/>
      <c r="AE143" s="32"/>
      <c r="AF143" s="32"/>
      <c r="AG143" s="33"/>
      <c r="AH143" s="32"/>
      <c r="AI143" s="32"/>
    </row>
    <row r="144" spans="1:35" s="26" customFormat="1" ht="13.5" customHeight="1">
      <c r="A144" s="187">
        <v>35</v>
      </c>
      <c r="B144" s="50">
        <v>44228</v>
      </c>
      <c r="C144" s="61">
        <f>VLOOKUP(B144,'base(indices)'!$A$16:$C$183,3,FALSE)</f>
        <v>1100</v>
      </c>
      <c r="D144" s="192">
        <f>'base(indices)'!G137</f>
        <v>1.0872098800000001</v>
      </c>
      <c r="E144" s="54">
        <f t="shared" ref="E144:E154" si="108">C144*D144</f>
        <v>1195.9308680000001</v>
      </c>
      <c r="F144" s="82">
        <f>'base(indices)'!I137</f>
        <v>0.32260800000000001</v>
      </c>
      <c r="G144" s="54">
        <f t="shared" si="74"/>
        <v>385.81686546374408</v>
      </c>
      <c r="H144" s="267">
        <f t="shared" si="75"/>
        <v>1581.7477334637442</v>
      </c>
      <c r="I144" s="277">
        <f t="shared" si="97"/>
        <v>56589.898293261715</v>
      </c>
      <c r="J144" s="58">
        <f>IF((I144-H$153+(H$153/12*11))+K144&gt;$I$197,$I$197-K144,(I144-H$153+(H$153/12*11)))</f>
        <v>56469.002405115003</v>
      </c>
      <c r="K144" s="91">
        <f t="shared" si="103"/>
        <v>8719.2410256151761</v>
      </c>
      <c r="L144" s="284">
        <f t="shared" si="81"/>
        <v>65188.243430730181</v>
      </c>
      <c r="M144" s="57">
        <f t="shared" si="82"/>
        <v>53645.552284859252</v>
      </c>
      <c r="N144" s="91">
        <f t="shared" si="83"/>
        <v>8283.2789743344165</v>
      </c>
      <c r="O144" s="60">
        <f t="shared" si="84"/>
        <v>61928.83125919367</v>
      </c>
      <c r="P144" s="58">
        <f t="shared" si="102"/>
        <v>50822.102164603501</v>
      </c>
      <c r="Q144" s="91">
        <f t="shared" si="86"/>
        <v>7847.3169230536587</v>
      </c>
      <c r="R144" s="59">
        <f t="shared" si="104"/>
        <v>58669.419087657159</v>
      </c>
      <c r="S144" s="57">
        <f t="shared" si="106"/>
        <v>45175.201924092005</v>
      </c>
      <c r="T144" s="91">
        <f t="shared" si="89"/>
        <v>6975.3928204921413</v>
      </c>
      <c r="U144" s="60">
        <f t="shared" si="107"/>
        <v>52150.594744584145</v>
      </c>
      <c r="V144" s="58">
        <f t="shared" si="91"/>
        <v>39528.301683580503</v>
      </c>
      <c r="W144" s="91">
        <f t="shared" si="92"/>
        <v>6103.4687179306229</v>
      </c>
      <c r="X144" s="59">
        <f t="shared" si="93"/>
        <v>45631.770401511123</v>
      </c>
      <c r="Y144" s="57">
        <f t="shared" si="94"/>
        <v>33881.401443069</v>
      </c>
      <c r="Z144" s="91">
        <f t="shared" si="95"/>
        <v>5231.5446153691055</v>
      </c>
      <c r="AA144" s="59">
        <f t="shared" si="96"/>
        <v>39112.946058438109</v>
      </c>
      <c r="AB144" s="32"/>
      <c r="AC144" s="32"/>
      <c r="AD144" s="32"/>
      <c r="AE144" s="32"/>
      <c r="AF144" s="32"/>
      <c r="AG144" s="33"/>
      <c r="AH144" s="32"/>
      <c r="AI144" s="32"/>
    </row>
    <row r="145" spans="1:35" s="26" customFormat="1" ht="13.5" customHeight="1">
      <c r="A145" s="187">
        <v>34</v>
      </c>
      <c r="B145" s="50">
        <v>44256</v>
      </c>
      <c r="C145" s="61">
        <f>VLOOKUP(B145,'base(indices)'!$A$16:$C$183,3,FALSE)</f>
        <v>1100</v>
      </c>
      <c r="D145" s="192">
        <f>'base(indices)'!G138</f>
        <v>1.0820162099999999</v>
      </c>
      <c r="E145" s="63">
        <f t="shared" si="108"/>
        <v>1190.2178309999999</v>
      </c>
      <c r="F145" s="82">
        <f>'base(indices)'!I138</f>
        <v>0.32144899999999998</v>
      </c>
      <c r="G145" s="63">
        <f t="shared" si="74"/>
        <v>382.59433155711895</v>
      </c>
      <c r="H145" s="268">
        <f t="shared" si="75"/>
        <v>1572.8121625571189</v>
      </c>
      <c r="I145" s="278">
        <f t="shared" si="97"/>
        <v>55008.15055979797</v>
      </c>
      <c r="J145" s="45">
        <f>IF((I145-H$153+(H$153/12*10))+K145&gt;$I$197,$I$197-K145,(I145-H$153+(H$153/12*10)))</f>
        <v>54766.358783504547</v>
      </c>
      <c r="K145" s="108">
        <f t="shared" si="103"/>
        <v>8719.2410256151761</v>
      </c>
      <c r="L145" s="46">
        <f t="shared" si="81"/>
        <v>63485.599809119725</v>
      </c>
      <c r="M145" s="43">
        <f t="shared" si="82"/>
        <v>52028.04084432932</v>
      </c>
      <c r="N145" s="108">
        <f t="shared" si="83"/>
        <v>8283.2789743344165</v>
      </c>
      <c r="O145" s="47">
        <f t="shared" si="84"/>
        <v>60311.319818663738</v>
      </c>
      <c r="P145" s="119">
        <f t="shared" si="102"/>
        <v>49289.722905154093</v>
      </c>
      <c r="Q145" s="108">
        <f t="shared" si="86"/>
        <v>7847.3169230536587</v>
      </c>
      <c r="R145" s="46">
        <f t="shared" si="104"/>
        <v>57137.039828207751</v>
      </c>
      <c r="S145" s="43">
        <f t="shared" si="106"/>
        <v>43813.087026803638</v>
      </c>
      <c r="T145" s="108">
        <f t="shared" si="89"/>
        <v>6975.3928204921413</v>
      </c>
      <c r="U145" s="47">
        <f t="shared" si="107"/>
        <v>50788.479847295777</v>
      </c>
      <c r="V145" s="45">
        <f t="shared" si="91"/>
        <v>38336.451148453183</v>
      </c>
      <c r="W145" s="108">
        <f t="shared" si="92"/>
        <v>6103.4687179306229</v>
      </c>
      <c r="X145" s="46">
        <f t="shared" si="93"/>
        <v>44439.919866383803</v>
      </c>
      <c r="Y145" s="43">
        <f t="shared" si="94"/>
        <v>32859.815270102728</v>
      </c>
      <c r="Z145" s="108">
        <f t="shared" si="95"/>
        <v>5231.5446153691055</v>
      </c>
      <c r="AA145" s="46">
        <f t="shared" si="96"/>
        <v>38091.359885471837</v>
      </c>
      <c r="AB145" s="32"/>
      <c r="AC145" s="32"/>
      <c r="AD145" s="32"/>
      <c r="AE145" s="32"/>
      <c r="AF145" s="32"/>
      <c r="AG145" s="33"/>
      <c r="AH145" s="32"/>
      <c r="AI145" s="32"/>
    </row>
    <row r="146" spans="1:35" s="26" customFormat="1" ht="13.5" customHeight="1">
      <c r="A146" s="187">
        <v>33</v>
      </c>
      <c r="B146" s="50">
        <v>44287</v>
      </c>
      <c r="C146" s="61">
        <f>VLOOKUP(B146,'base(indices)'!$A$16:$C$183,3,FALSE)</f>
        <v>1100</v>
      </c>
      <c r="D146" s="192">
        <f>'base(indices)'!G139</f>
        <v>1.0720461800000001</v>
      </c>
      <c r="E146" s="54">
        <f t="shared" si="108"/>
        <v>1179.250798</v>
      </c>
      <c r="F146" s="82">
        <f>'base(indices)'!I139</f>
        <v>0.32029000000000002</v>
      </c>
      <c r="G146" s="54">
        <f t="shared" si="74"/>
        <v>377.70223809142004</v>
      </c>
      <c r="H146" s="267">
        <f t="shared" si="75"/>
        <v>1556.95303609142</v>
      </c>
      <c r="I146" s="277">
        <f t="shared" si="97"/>
        <v>53435.338397240848</v>
      </c>
      <c r="J146" s="58">
        <f>IF((I146-H$153+(H$153/12*9))+K146&gt;$I$197,$I$197-K146,(I146-H$153+(H$153/12*9)))</f>
        <v>53072.650732800714</v>
      </c>
      <c r="K146" s="91">
        <f t="shared" si="103"/>
        <v>8719.2410256151761</v>
      </c>
      <c r="L146" s="284">
        <f t="shared" si="81"/>
        <v>61791.891758415892</v>
      </c>
      <c r="M146" s="57">
        <f t="shared" si="82"/>
        <v>50419.018196160672</v>
      </c>
      <c r="N146" s="91">
        <f t="shared" si="83"/>
        <v>8283.2789743344165</v>
      </c>
      <c r="O146" s="60">
        <f t="shared" si="84"/>
        <v>58702.297170495091</v>
      </c>
      <c r="P146" s="58">
        <f t="shared" si="102"/>
        <v>47765.385659520645</v>
      </c>
      <c r="Q146" s="91">
        <f t="shared" si="86"/>
        <v>7847.3169230536587</v>
      </c>
      <c r="R146" s="59">
        <f t="shared" si="104"/>
        <v>55612.702582574304</v>
      </c>
      <c r="S146" s="57">
        <f t="shared" si="106"/>
        <v>42458.120586240577</v>
      </c>
      <c r="T146" s="91">
        <f t="shared" si="89"/>
        <v>6975.3928204921413</v>
      </c>
      <c r="U146" s="60">
        <f t="shared" si="107"/>
        <v>49433.513406732716</v>
      </c>
      <c r="V146" s="58">
        <f t="shared" si="91"/>
        <v>37150.855512960494</v>
      </c>
      <c r="W146" s="91">
        <f t="shared" si="92"/>
        <v>6103.4687179306229</v>
      </c>
      <c r="X146" s="59">
        <f t="shared" si="93"/>
        <v>43254.324230891114</v>
      </c>
      <c r="Y146" s="57">
        <f t="shared" si="94"/>
        <v>31843.590439680425</v>
      </c>
      <c r="Z146" s="91">
        <f t="shared" si="95"/>
        <v>5231.5446153691055</v>
      </c>
      <c r="AA146" s="59">
        <f t="shared" si="96"/>
        <v>37075.135055049534</v>
      </c>
      <c r="AB146" s="32"/>
      <c r="AC146" s="32"/>
      <c r="AD146" s="32"/>
      <c r="AE146" s="32"/>
      <c r="AF146" s="32"/>
      <c r="AG146" s="33"/>
      <c r="AH146" s="32"/>
      <c r="AI146" s="32"/>
    </row>
    <row r="147" spans="1:35" s="26" customFormat="1" ht="13.5" customHeight="1">
      <c r="A147" s="187">
        <v>32</v>
      </c>
      <c r="B147" s="50">
        <v>44317</v>
      </c>
      <c r="C147" s="61">
        <f>VLOOKUP(B147,'base(indices)'!$A$16:$C$183,3,FALSE)</f>
        <v>1100</v>
      </c>
      <c r="D147" s="192">
        <f>'base(indices)'!G140</f>
        <v>1.06565226</v>
      </c>
      <c r="E147" s="63">
        <f t="shared" si="108"/>
        <v>1172.217486</v>
      </c>
      <c r="F147" s="82">
        <f>'base(indices)'!I140</f>
        <v>0.31869999999999998</v>
      </c>
      <c r="G147" s="63">
        <f t="shared" si="74"/>
        <v>373.5857127882</v>
      </c>
      <c r="H147" s="268">
        <f t="shared" si="75"/>
        <v>1545.8031987882</v>
      </c>
      <c r="I147" s="278">
        <f t="shared" si="97"/>
        <v>51878.385361149427</v>
      </c>
      <c r="J147" s="45">
        <f>IF((I147-H$153+(H$153/12*8))+K147&gt;$I$197,$I$197-K147,(I147-H$153+(H$153/12*8)))</f>
        <v>51394.801808562581</v>
      </c>
      <c r="K147" s="108">
        <f t="shared" si="103"/>
        <v>8719.2410256151761</v>
      </c>
      <c r="L147" s="46">
        <f t="shared" si="81"/>
        <v>60114.042834177759</v>
      </c>
      <c r="M147" s="43">
        <f t="shared" si="82"/>
        <v>48825.06171813445</v>
      </c>
      <c r="N147" s="108">
        <f t="shared" si="83"/>
        <v>8283.2789743344165</v>
      </c>
      <c r="O147" s="47">
        <f t="shared" si="84"/>
        <v>57108.340692468868</v>
      </c>
      <c r="P147" s="119">
        <f t="shared" si="102"/>
        <v>46255.321627706326</v>
      </c>
      <c r="Q147" s="108">
        <f t="shared" si="86"/>
        <v>7847.3169230536587</v>
      </c>
      <c r="R147" s="46">
        <f t="shared" si="104"/>
        <v>54102.638550759984</v>
      </c>
      <c r="S147" s="43">
        <f t="shared" si="106"/>
        <v>41115.84144685007</v>
      </c>
      <c r="T147" s="108">
        <f t="shared" si="89"/>
        <v>6975.3928204921413</v>
      </c>
      <c r="U147" s="47">
        <f t="shared" si="107"/>
        <v>48091.23426734221</v>
      </c>
      <c r="V147" s="45">
        <f t="shared" si="91"/>
        <v>35976.361265993801</v>
      </c>
      <c r="W147" s="108">
        <f t="shared" si="92"/>
        <v>6103.4687179306229</v>
      </c>
      <c r="X147" s="46">
        <f t="shared" si="93"/>
        <v>42079.829983924421</v>
      </c>
      <c r="Y147" s="43">
        <f t="shared" si="94"/>
        <v>30836.881085137546</v>
      </c>
      <c r="Z147" s="108">
        <f t="shared" si="95"/>
        <v>5231.5446153691055</v>
      </c>
      <c r="AA147" s="46">
        <f t="shared" si="96"/>
        <v>36068.425700506654</v>
      </c>
      <c r="AB147" s="32"/>
      <c r="AC147" s="32"/>
      <c r="AD147" s="32"/>
      <c r="AE147" s="32"/>
      <c r="AF147" s="32"/>
      <c r="AG147" s="33"/>
      <c r="AH147" s="32"/>
      <c r="AI147" s="32"/>
    </row>
    <row r="148" spans="1:35" s="26" customFormat="1" ht="13.5" customHeight="1">
      <c r="A148" s="187">
        <v>31</v>
      </c>
      <c r="B148" s="50">
        <v>44348</v>
      </c>
      <c r="C148" s="61">
        <f>VLOOKUP(B148,'base(indices)'!$A$16:$C$183,3,FALSE)</f>
        <v>1100</v>
      </c>
      <c r="D148" s="192">
        <f>'base(indices)'!G141</f>
        <v>1.0609839299999999</v>
      </c>
      <c r="E148" s="54">
        <f t="shared" si="108"/>
        <v>1167.0823229999999</v>
      </c>
      <c r="F148" s="82">
        <f>'base(indices)'!I141</f>
        <v>0.31711</v>
      </c>
      <c r="G148" s="54">
        <f t="shared" si="74"/>
        <v>370.09347544652996</v>
      </c>
      <c r="H148" s="267">
        <f t="shared" si="75"/>
        <v>1537.1757984465298</v>
      </c>
      <c r="I148" s="277">
        <f t="shared" si="97"/>
        <v>50332.582162361228</v>
      </c>
      <c r="J148" s="58">
        <f>IF((I148-H$153+(H$153/12*7))+K148&gt;$I$197,$I$197-K148,(I148-H$153+(H$153/12*7)))</f>
        <v>49728.102721627671</v>
      </c>
      <c r="K148" s="91">
        <f t="shared" si="103"/>
        <v>8719.2410256151761</v>
      </c>
      <c r="L148" s="284">
        <f t="shared" si="81"/>
        <v>58447.343747242849</v>
      </c>
      <c r="M148" s="57">
        <f t="shared" si="82"/>
        <v>47241.697585546288</v>
      </c>
      <c r="N148" s="91">
        <f t="shared" si="83"/>
        <v>8283.2789743344165</v>
      </c>
      <c r="O148" s="60">
        <f t="shared" si="84"/>
        <v>55524.976559880706</v>
      </c>
      <c r="P148" s="58">
        <f t="shared" si="102"/>
        <v>44755.292449464905</v>
      </c>
      <c r="Q148" s="91">
        <f t="shared" si="86"/>
        <v>7847.3169230536587</v>
      </c>
      <c r="R148" s="59">
        <f t="shared" si="104"/>
        <v>52602.609372518564</v>
      </c>
      <c r="S148" s="57">
        <f t="shared" si="106"/>
        <v>39782.482177302139</v>
      </c>
      <c r="T148" s="91">
        <f t="shared" si="89"/>
        <v>6975.3928204921413</v>
      </c>
      <c r="U148" s="60">
        <f t="shared" si="107"/>
        <v>46757.874997794279</v>
      </c>
      <c r="V148" s="58">
        <f t="shared" si="91"/>
        <v>34809.671905139367</v>
      </c>
      <c r="W148" s="91">
        <f t="shared" si="92"/>
        <v>6103.4687179306229</v>
      </c>
      <c r="X148" s="59">
        <f t="shared" si="93"/>
        <v>40913.140623069987</v>
      </c>
      <c r="Y148" s="57">
        <f t="shared" si="94"/>
        <v>29836.861632976601</v>
      </c>
      <c r="Z148" s="91">
        <f t="shared" si="95"/>
        <v>5231.5446153691055</v>
      </c>
      <c r="AA148" s="59">
        <f t="shared" si="96"/>
        <v>35068.406248345709</v>
      </c>
      <c r="AB148" s="32"/>
      <c r="AC148" s="32"/>
      <c r="AD148" s="32"/>
      <c r="AE148" s="32"/>
      <c r="AF148" s="32"/>
      <c r="AG148" s="33"/>
      <c r="AH148" s="32"/>
      <c r="AI148" s="32"/>
    </row>
    <row r="149" spans="1:35" s="26" customFormat="1" ht="13.5" customHeight="1">
      <c r="A149" s="187">
        <v>30</v>
      </c>
      <c r="B149" s="50">
        <v>44378</v>
      </c>
      <c r="C149" s="61">
        <f>VLOOKUP(B149,'base(indices)'!$A$16:$C$183,3,FALSE)</f>
        <v>1100</v>
      </c>
      <c r="D149" s="192">
        <f>'base(indices)'!G142</f>
        <v>1.0522502600000001</v>
      </c>
      <c r="E149" s="63">
        <f t="shared" si="108"/>
        <v>1157.4752860000001</v>
      </c>
      <c r="F149" s="82">
        <f>'base(indices)'!I142</f>
        <v>0.31509100000000001</v>
      </c>
      <c r="G149" s="63">
        <f t="shared" si="74"/>
        <v>364.71004534102605</v>
      </c>
      <c r="H149" s="268">
        <f t="shared" si="75"/>
        <v>1522.1853313410261</v>
      </c>
      <c r="I149" s="278">
        <f t="shared" si="97"/>
        <v>48795.406363914699</v>
      </c>
      <c r="J149" s="45">
        <f>IF((I149-H$153+(H$153/12*6))+K149&gt;$I$197,$I$197-K149,(I149-H$153+(H$153/12*6)))</f>
        <v>48070.03103503443</v>
      </c>
      <c r="K149" s="108">
        <f t="shared" si="103"/>
        <v>8719.2410256151761</v>
      </c>
      <c r="L149" s="46">
        <f t="shared" si="81"/>
        <v>56789.272060649608</v>
      </c>
      <c r="M149" s="43">
        <f t="shared" si="82"/>
        <v>45666.529483282706</v>
      </c>
      <c r="N149" s="108">
        <f t="shared" si="83"/>
        <v>8283.2789743344165</v>
      </c>
      <c r="O149" s="47">
        <f t="shared" si="84"/>
        <v>53949.808457617124</v>
      </c>
      <c r="P149" s="119">
        <f t="shared" si="102"/>
        <v>43263.027931530989</v>
      </c>
      <c r="Q149" s="108">
        <f t="shared" si="86"/>
        <v>7847.3169230536587</v>
      </c>
      <c r="R149" s="46">
        <f t="shared" si="104"/>
        <v>51110.344854584648</v>
      </c>
      <c r="S149" s="43">
        <f t="shared" si="106"/>
        <v>38456.024828027548</v>
      </c>
      <c r="T149" s="108">
        <f t="shared" si="89"/>
        <v>6975.3928204921413</v>
      </c>
      <c r="U149" s="47">
        <f t="shared" si="107"/>
        <v>45431.417648519688</v>
      </c>
      <c r="V149" s="45">
        <f t="shared" si="91"/>
        <v>33649.0217245241</v>
      </c>
      <c r="W149" s="108">
        <f t="shared" si="92"/>
        <v>6103.4687179306229</v>
      </c>
      <c r="X149" s="46">
        <f t="shared" si="93"/>
        <v>39752.49044245472</v>
      </c>
      <c r="Y149" s="43">
        <f t="shared" si="94"/>
        <v>28842.018621020656</v>
      </c>
      <c r="Z149" s="108">
        <f t="shared" si="95"/>
        <v>5231.5446153691055</v>
      </c>
      <c r="AA149" s="46">
        <f t="shared" si="96"/>
        <v>34073.56323638976</v>
      </c>
      <c r="AB149" s="32"/>
      <c r="AC149" s="32"/>
      <c r="AD149" s="32"/>
      <c r="AE149" s="32"/>
      <c r="AF149" s="32"/>
      <c r="AG149" s="33"/>
      <c r="AH149" s="32"/>
      <c r="AI149" s="32"/>
    </row>
    <row r="150" spans="1:35" s="26" customFormat="1" ht="13.5" customHeight="1">
      <c r="A150" s="187">
        <v>29</v>
      </c>
      <c r="B150" s="50">
        <v>44409</v>
      </c>
      <c r="C150" s="61">
        <f>VLOOKUP(B150,'base(indices)'!$A$16:$C$183,3,FALSE)</f>
        <v>1100</v>
      </c>
      <c r="D150" s="192">
        <f>'base(indices)'!G143</f>
        <v>1.0447282099999999</v>
      </c>
      <c r="E150" s="54">
        <f t="shared" si="108"/>
        <v>1149.2010309999998</v>
      </c>
      <c r="F150" s="82">
        <f>'base(indices)'!I143</f>
        <v>0.31264500000000001</v>
      </c>
      <c r="G150" s="54">
        <f t="shared" si="74"/>
        <v>359.29195633699493</v>
      </c>
      <c r="H150" s="267">
        <f t="shared" si="75"/>
        <v>1508.4929873369947</v>
      </c>
      <c r="I150" s="277">
        <f t="shared" si="97"/>
        <v>47273.221032573674</v>
      </c>
      <c r="J150" s="58">
        <f>IF((I150-H$153+(H$153/12*5))+K150&gt;$I$197,$I$197-K150,(I150-H$153+(H$153/12*5)))</f>
        <v>46426.949815546694</v>
      </c>
      <c r="K150" s="91">
        <f t="shared" si="103"/>
        <v>8719.2410256151761</v>
      </c>
      <c r="L150" s="284">
        <f t="shared" si="81"/>
        <v>55146.190841161872</v>
      </c>
      <c r="M150" s="57">
        <f t="shared" si="82"/>
        <v>44105.602324769359</v>
      </c>
      <c r="N150" s="91">
        <f t="shared" si="83"/>
        <v>8283.2789743344165</v>
      </c>
      <c r="O150" s="60">
        <f t="shared" si="84"/>
        <v>52388.881299103778</v>
      </c>
      <c r="P150" s="58">
        <f t="shared" si="102"/>
        <v>41784.254833992025</v>
      </c>
      <c r="Q150" s="91">
        <f t="shared" si="86"/>
        <v>7847.3169230536587</v>
      </c>
      <c r="R150" s="59">
        <f t="shared" si="104"/>
        <v>49631.571757045684</v>
      </c>
      <c r="S150" s="57">
        <f t="shared" si="106"/>
        <v>37141.559852437356</v>
      </c>
      <c r="T150" s="91">
        <f t="shared" si="89"/>
        <v>6975.3928204921413</v>
      </c>
      <c r="U150" s="60">
        <f t="shared" si="107"/>
        <v>44116.952672929496</v>
      </c>
      <c r="V150" s="58">
        <f t="shared" si="91"/>
        <v>32498.864870882684</v>
      </c>
      <c r="W150" s="91">
        <f t="shared" si="92"/>
        <v>6103.4687179306229</v>
      </c>
      <c r="X150" s="59">
        <f t="shared" si="93"/>
        <v>38602.333588813308</v>
      </c>
      <c r="Y150" s="57">
        <f t="shared" si="94"/>
        <v>27856.169889328015</v>
      </c>
      <c r="Z150" s="91">
        <f t="shared" si="95"/>
        <v>5231.5446153691055</v>
      </c>
      <c r="AA150" s="59">
        <f t="shared" si="96"/>
        <v>33087.71450469712</v>
      </c>
      <c r="AB150" s="32"/>
      <c r="AC150" s="32"/>
      <c r="AD150" s="32"/>
      <c r="AE150" s="32"/>
      <c r="AF150" s="32"/>
      <c r="AG150" s="33"/>
      <c r="AH150" s="32"/>
      <c r="AI150" s="32"/>
    </row>
    <row r="151" spans="1:35" s="26" customFormat="1" ht="13.5" customHeight="1">
      <c r="A151" s="187">
        <v>28</v>
      </c>
      <c r="B151" s="50">
        <v>44440</v>
      </c>
      <c r="C151" s="61">
        <f>VLOOKUP(B151,'base(indices)'!$A$16:$C$183,3,FALSE)</f>
        <v>1100</v>
      </c>
      <c r="D151" s="192">
        <f>'base(indices)'!G144</f>
        <v>1.0355121599999999</v>
      </c>
      <c r="E151" s="63">
        <f t="shared" si="108"/>
        <v>1139.0633759999998</v>
      </c>
      <c r="F151" s="82">
        <f>'base(indices)'!I144</f>
        <v>0.310199</v>
      </c>
      <c r="G151" s="63">
        <f t="shared" ref="G151:G178" si="109">E151*F151</f>
        <v>353.33632017182396</v>
      </c>
      <c r="H151" s="268">
        <f t="shared" ref="H151:H178" si="110">E151+G151</f>
        <v>1492.3996961718237</v>
      </c>
      <c r="I151" s="278">
        <f t="shared" si="97"/>
        <v>45764.728045236683</v>
      </c>
      <c r="J151" s="45">
        <f>IF((I151-H$153+(H$153/12*4))+K151&gt;$I$197,$I$197-K151,(I151-H$153+(H$153/12*4)))</f>
        <v>44797.560940062991</v>
      </c>
      <c r="K151" s="108">
        <f t="shared" si="103"/>
        <v>8719.2410256151761</v>
      </c>
      <c r="L151" s="46">
        <f t="shared" si="81"/>
        <v>53516.801965678169</v>
      </c>
      <c r="M151" s="43">
        <f t="shared" si="82"/>
        <v>42557.682893059842</v>
      </c>
      <c r="N151" s="108">
        <f t="shared" si="83"/>
        <v>8283.2789743344165</v>
      </c>
      <c r="O151" s="47">
        <f t="shared" si="84"/>
        <v>50840.96186739426</v>
      </c>
      <c r="P151" s="119">
        <f t="shared" si="102"/>
        <v>40317.804846056693</v>
      </c>
      <c r="Q151" s="108">
        <f t="shared" si="86"/>
        <v>7847.3169230536587</v>
      </c>
      <c r="R151" s="46">
        <f t="shared" si="104"/>
        <v>48165.121769110352</v>
      </c>
      <c r="S151" s="43">
        <f t="shared" si="106"/>
        <v>35838.048752050396</v>
      </c>
      <c r="T151" s="108">
        <f t="shared" si="89"/>
        <v>6975.3928204921413</v>
      </c>
      <c r="U151" s="47">
        <f t="shared" si="107"/>
        <v>42813.441572542535</v>
      </c>
      <c r="V151" s="45">
        <f t="shared" si="91"/>
        <v>31358.292658044091</v>
      </c>
      <c r="W151" s="108">
        <f t="shared" si="92"/>
        <v>6103.4687179306229</v>
      </c>
      <c r="X151" s="46">
        <f t="shared" si="93"/>
        <v>37461.761375974711</v>
      </c>
      <c r="Y151" s="43">
        <f t="shared" si="94"/>
        <v>26878.536564037793</v>
      </c>
      <c r="Z151" s="108">
        <f t="shared" si="95"/>
        <v>5231.5446153691055</v>
      </c>
      <c r="AA151" s="46">
        <f t="shared" si="96"/>
        <v>32110.081179406898</v>
      </c>
      <c r="AB151" s="32"/>
      <c r="AC151" s="32"/>
      <c r="AD151" s="32"/>
      <c r="AE151" s="32"/>
      <c r="AF151" s="32"/>
      <c r="AG151" s="33"/>
      <c r="AH151" s="32"/>
      <c r="AI151" s="32"/>
    </row>
    <row r="152" spans="1:35" s="26" customFormat="1" ht="13.5" customHeight="1">
      <c r="A152" s="187">
        <v>27</v>
      </c>
      <c r="B152" s="50">
        <v>44470</v>
      </c>
      <c r="C152" s="61">
        <f>VLOOKUP(B152,'base(indices)'!$A$16:$C$183,3,FALSE)</f>
        <v>1100</v>
      </c>
      <c r="D152" s="192">
        <f>'base(indices)'!G145</f>
        <v>1.02384038</v>
      </c>
      <c r="E152" s="54">
        <f t="shared" si="108"/>
        <v>1126.224418</v>
      </c>
      <c r="F152" s="82">
        <f>'base(indices)'!I145</f>
        <v>0.30718699999999999</v>
      </c>
      <c r="G152" s="54">
        <f t="shared" si="109"/>
        <v>345.96150029216597</v>
      </c>
      <c r="H152" s="267">
        <f t="shared" si="110"/>
        <v>1472.185918292166</v>
      </c>
      <c r="I152" s="277">
        <f t="shared" si="97"/>
        <v>44272.328349064861</v>
      </c>
      <c r="J152" s="58">
        <f>IF((I152-H$153+(H$153/12*3))+K152&gt;$I$197,$I$197-K152,(I152-H$153+(H$153/12*3)))</f>
        <v>43184.265355744457</v>
      </c>
      <c r="K152" s="91">
        <f t="shared" si="103"/>
        <v>8719.2410256151761</v>
      </c>
      <c r="L152" s="284">
        <f t="shared" si="81"/>
        <v>51903.506381359635</v>
      </c>
      <c r="M152" s="57">
        <f t="shared" si="82"/>
        <v>41025.052087957236</v>
      </c>
      <c r="N152" s="91">
        <f t="shared" si="83"/>
        <v>8283.2789743344165</v>
      </c>
      <c r="O152" s="60">
        <f t="shared" si="84"/>
        <v>49308.331062291654</v>
      </c>
      <c r="P152" s="58">
        <f t="shared" si="102"/>
        <v>38865.838820170015</v>
      </c>
      <c r="Q152" s="91">
        <f t="shared" si="86"/>
        <v>7847.3169230536587</v>
      </c>
      <c r="R152" s="59">
        <f t="shared" si="104"/>
        <v>46713.155743223673</v>
      </c>
      <c r="S152" s="57">
        <f t="shared" si="106"/>
        <v>34547.412284595564</v>
      </c>
      <c r="T152" s="91">
        <f t="shared" si="89"/>
        <v>6975.3928204921413</v>
      </c>
      <c r="U152" s="60">
        <f t="shared" si="107"/>
        <v>41522.805105087704</v>
      </c>
      <c r="V152" s="58">
        <f t="shared" si="91"/>
        <v>30228.985749021118</v>
      </c>
      <c r="W152" s="91">
        <f t="shared" si="92"/>
        <v>6103.4687179306229</v>
      </c>
      <c r="X152" s="59">
        <f t="shared" si="93"/>
        <v>36332.454466951742</v>
      </c>
      <c r="Y152" s="57">
        <f t="shared" si="94"/>
        <v>25910.559213446675</v>
      </c>
      <c r="Z152" s="91">
        <f t="shared" si="95"/>
        <v>5231.5446153691055</v>
      </c>
      <c r="AA152" s="59">
        <f t="shared" si="96"/>
        <v>31142.10382881578</v>
      </c>
      <c r="AB152" s="32"/>
      <c r="AC152" s="32"/>
      <c r="AD152" s="32"/>
      <c r="AE152" s="32"/>
      <c r="AF152" s="32"/>
      <c r="AG152" s="33"/>
      <c r="AH152" s="32"/>
      <c r="AI152" s="32"/>
    </row>
    <row r="153" spans="1:35" s="26" customFormat="1" ht="13.5" customHeight="1">
      <c r="A153" s="187">
        <v>26</v>
      </c>
      <c r="B153" s="50">
        <v>44501</v>
      </c>
      <c r="C153" s="61">
        <f>VLOOKUP(B153,'base(indices)'!$A$16:$C$183,3,FALSE)</f>
        <v>1100</v>
      </c>
      <c r="D153" s="192">
        <f>'base(indices)'!G146</f>
        <v>1.0116999799999999</v>
      </c>
      <c r="E153" s="63">
        <f t="shared" si="108"/>
        <v>1112.8699779999999</v>
      </c>
      <c r="F153" s="82">
        <f>'base(indices)'!I146</f>
        <v>0.30361199999999999</v>
      </c>
      <c r="G153" s="63">
        <f t="shared" si="109"/>
        <v>337.880679760536</v>
      </c>
      <c r="H153" s="268">
        <f t="shared" si="110"/>
        <v>1450.7506577605359</v>
      </c>
      <c r="I153" s="278">
        <f t="shared" si="97"/>
        <v>42800.142430772692</v>
      </c>
      <c r="J153" s="45">
        <f>IF((I153-H$153+(H$153/12*2))+K153&gt;$I$197,$I$197-K153,(I153-H$153+(H$153/12*2)))</f>
        <v>41591.183549305577</v>
      </c>
      <c r="K153" s="108">
        <f t="shared" si="103"/>
        <v>8719.2410256151761</v>
      </c>
      <c r="L153" s="46">
        <f t="shared" si="81"/>
        <v>50310.424574920755</v>
      </c>
      <c r="M153" s="43">
        <f t="shared" si="82"/>
        <v>39511.624371840298</v>
      </c>
      <c r="N153" s="108">
        <f t="shared" si="83"/>
        <v>8283.2789743344165</v>
      </c>
      <c r="O153" s="47">
        <f t="shared" si="84"/>
        <v>47794.903346174717</v>
      </c>
      <c r="P153" s="119">
        <f t="shared" si="102"/>
        <v>37432.06519437502</v>
      </c>
      <c r="Q153" s="108">
        <f t="shared" si="86"/>
        <v>7847.3169230536587</v>
      </c>
      <c r="R153" s="46">
        <f t="shared" si="104"/>
        <v>45279.382117428679</v>
      </c>
      <c r="S153" s="43">
        <f t="shared" si="106"/>
        <v>33272.946839444463</v>
      </c>
      <c r="T153" s="108">
        <f t="shared" si="89"/>
        <v>6975.3928204921413</v>
      </c>
      <c r="U153" s="47">
        <f t="shared" si="107"/>
        <v>40248.339659936602</v>
      </c>
      <c r="V153" s="45">
        <f t="shared" si="91"/>
        <v>29113.828484513902</v>
      </c>
      <c r="W153" s="108">
        <f t="shared" si="92"/>
        <v>6103.4687179306229</v>
      </c>
      <c r="X153" s="46">
        <f t="shared" si="93"/>
        <v>35217.297202444526</v>
      </c>
      <c r="Y153" s="43">
        <f t="shared" si="94"/>
        <v>24954.710129583345</v>
      </c>
      <c r="Z153" s="108">
        <f t="shared" si="95"/>
        <v>5231.5446153691055</v>
      </c>
      <c r="AA153" s="46">
        <f t="shared" si="96"/>
        <v>30186.25474495245</v>
      </c>
      <c r="AB153" s="32"/>
      <c r="AC153" s="32"/>
      <c r="AD153" s="32"/>
      <c r="AE153" s="32"/>
      <c r="AF153" s="32"/>
      <c r="AG153" s="33"/>
      <c r="AH153" s="32"/>
      <c r="AI153" s="32"/>
    </row>
    <row r="154" spans="1:35" s="26" customFormat="1" ht="13.5" customHeight="1" thickBot="1">
      <c r="A154" s="305">
        <v>25</v>
      </c>
      <c r="B154" s="68">
        <v>44531</v>
      </c>
      <c r="C154" s="69">
        <f>VLOOKUP(B154,'base(indices)'!$A$16:$C$183,3,FALSE)*2</f>
        <v>2200</v>
      </c>
      <c r="D154" s="335">
        <f>'base(indices)'!G147</f>
        <v>0.99999998000000001</v>
      </c>
      <c r="E154" s="163">
        <f t="shared" si="108"/>
        <v>2199.9999560000001</v>
      </c>
      <c r="F154" s="304">
        <f>'base(indices)'!I147</f>
        <v>0.29920000000000002</v>
      </c>
      <c r="G154" s="163">
        <f t="shared" si="109"/>
        <v>658.23998683520006</v>
      </c>
      <c r="H154" s="355">
        <f t="shared" si="110"/>
        <v>2858.2399428352001</v>
      </c>
      <c r="I154" s="279">
        <f t="shared" si="97"/>
        <v>41349.391773012154</v>
      </c>
      <c r="J154" s="285">
        <f>IF((I154-H$153+(H$153/12*1))+K154&gt;$I$197,$I$197-K154,(I154-H$153+(H$153/12*1)))</f>
        <v>40019.537003398327</v>
      </c>
      <c r="K154" s="202">
        <f t="shared" si="103"/>
        <v>8719.2410256151761</v>
      </c>
      <c r="L154" s="286">
        <f t="shared" si="81"/>
        <v>48738.778029013505</v>
      </c>
      <c r="M154" s="282">
        <f t="shared" si="82"/>
        <v>38018.560153228413</v>
      </c>
      <c r="N154" s="202">
        <f t="shared" si="83"/>
        <v>8283.2789743344165</v>
      </c>
      <c r="O154" s="289">
        <f t="shared" si="84"/>
        <v>46301.839127562831</v>
      </c>
      <c r="P154" s="285">
        <f t="shared" si="102"/>
        <v>36017.583303058498</v>
      </c>
      <c r="Q154" s="202">
        <f t="shared" si="86"/>
        <v>7847.3169230536587</v>
      </c>
      <c r="R154" s="203">
        <f t="shared" si="104"/>
        <v>43864.900226112157</v>
      </c>
      <c r="S154" s="282">
        <f>J154*S$9</f>
        <v>32015.629602718662</v>
      </c>
      <c r="T154" s="202">
        <f t="shared" si="89"/>
        <v>6975.3928204921413</v>
      </c>
      <c r="U154" s="289">
        <f>S154+T154</f>
        <v>38991.022423210801</v>
      </c>
      <c r="V154" s="285">
        <f t="shared" si="91"/>
        <v>28013.675902378829</v>
      </c>
      <c r="W154" s="202">
        <f t="shared" si="92"/>
        <v>6103.4687179306229</v>
      </c>
      <c r="X154" s="203">
        <f t="shared" si="93"/>
        <v>34117.144620309453</v>
      </c>
      <c r="Y154" s="282">
        <f t="shared" si="94"/>
        <v>24011.722202038996</v>
      </c>
      <c r="Z154" s="202">
        <f t="shared" si="95"/>
        <v>5231.5446153691055</v>
      </c>
      <c r="AA154" s="203">
        <f t="shared" si="96"/>
        <v>29243.266817408101</v>
      </c>
      <c r="AB154" s="32"/>
      <c r="AC154" s="32"/>
      <c r="AD154" s="32"/>
      <c r="AE154" s="32"/>
      <c r="AF154" s="32"/>
      <c r="AG154" s="33"/>
      <c r="AH154" s="32"/>
      <c r="AI154" s="32"/>
    </row>
    <row r="155" spans="1:35" ht="13.5" customHeight="1">
      <c r="A155" s="190">
        <v>24</v>
      </c>
      <c r="B155" s="308">
        <v>44562</v>
      </c>
      <c r="C155" s="41">
        <f>VLOOKUP(B155,'base(indices)'!$A$16:$C$183,3,FALSE)</f>
        <v>1212</v>
      </c>
      <c r="D155" s="193">
        <f>'base(indices)'!G148</f>
        <v>0.99999998000000001</v>
      </c>
      <c r="E155" s="78">
        <f>C155*D155</f>
        <v>1211.9999757600001</v>
      </c>
      <c r="F155" s="79">
        <f>'base(indices)'!I148</f>
        <v>0.29149999999999998</v>
      </c>
      <c r="G155" s="78">
        <f t="shared" si="109"/>
        <v>353.29799293404</v>
      </c>
      <c r="H155" s="266">
        <f t="shared" si="110"/>
        <v>1565.29796869404</v>
      </c>
      <c r="I155" s="276">
        <f t="shared" si="97"/>
        <v>38491.151830176954</v>
      </c>
      <c r="J155" s="48">
        <f>IF((I155-H$165+(H$165))+K155&gt;I197,I197-K155,(I155-H$165+(H$165)))</f>
        <v>38491.151830176954</v>
      </c>
      <c r="K155" s="109">
        <f t="shared" si="103"/>
        <v>8719.2410256151761</v>
      </c>
      <c r="L155" s="49">
        <f t="shared" si="81"/>
        <v>47210.392855792132</v>
      </c>
      <c r="M155" s="138">
        <f t="shared" si="82"/>
        <v>36566.594238668105</v>
      </c>
      <c r="N155" s="109">
        <f t="shared" si="83"/>
        <v>8283.2789743344165</v>
      </c>
      <c r="O155" s="139">
        <f t="shared" si="84"/>
        <v>44849.873213002524</v>
      </c>
      <c r="P155" s="291">
        <f t="shared" si="102"/>
        <v>34642.036647159257</v>
      </c>
      <c r="Q155" s="109">
        <f t="shared" si="86"/>
        <v>7847.3169230536587</v>
      </c>
      <c r="R155" s="49">
        <f t="shared" si="104"/>
        <v>42489.353570212916</v>
      </c>
      <c r="S155" s="138">
        <f>J155*S$9</f>
        <v>30792.921464141564</v>
      </c>
      <c r="T155" s="109">
        <f t="shared" si="89"/>
        <v>6975.3928204921413</v>
      </c>
      <c r="U155" s="139">
        <f>S155+T155</f>
        <v>37768.314284633707</v>
      </c>
      <c r="V155" s="48">
        <f t="shared" si="91"/>
        <v>26943.806281123867</v>
      </c>
      <c r="W155" s="109">
        <f t="shared" si="92"/>
        <v>6103.4687179306229</v>
      </c>
      <c r="X155" s="49">
        <f t="shared" si="93"/>
        <v>33047.274999054491</v>
      </c>
      <c r="Y155" s="138">
        <f t="shared" si="94"/>
        <v>23094.69109810617</v>
      </c>
      <c r="Z155" s="109">
        <f t="shared" si="95"/>
        <v>5231.5446153691055</v>
      </c>
      <c r="AA155" s="49">
        <f t="shared" si="96"/>
        <v>28326.235713475275</v>
      </c>
    </row>
    <row r="156" spans="1:35" ht="13.5" customHeight="1">
      <c r="A156" s="187">
        <v>23</v>
      </c>
      <c r="B156" s="50">
        <v>44593</v>
      </c>
      <c r="C156" s="61">
        <f>VLOOKUP(B156,'base(indices)'!$A$16:$C$183,3,FALSE)</f>
        <v>1212</v>
      </c>
      <c r="D156" s="192">
        <f>'base(indices)'!G149</f>
        <v>0.99999998000000001</v>
      </c>
      <c r="E156" s="54">
        <f t="shared" ref="E156:E166" si="111">C156*D156</f>
        <v>1211.9999757600001</v>
      </c>
      <c r="F156" s="82">
        <f>'base(indices)'!I149</f>
        <v>0.28420000000000001</v>
      </c>
      <c r="G156" s="54">
        <f t="shared" si="109"/>
        <v>344.45039311099202</v>
      </c>
      <c r="H156" s="267">
        <f t="shared" si="110"/>
        <v>1556.4503688709922</v>
      </c>
      <c r="I156" s="277">
        <f t="shared" si="97"/>
        <v>36925.853861482916</v>
      </c>
      <c r="J156" s="58">
        <f>IF((I156-H$165+(H$165/12*11))+K156&gt;I197,I197-K156,(I156-H$165+(H$165/12*11)))</f>
        <v>36805.098263898028</v>
      </c>
      <c r="K156" s="91">
        <f t="shared" si="103"/>
        <v>8719.2410256151761</v>
      </c>
      <c r="L156" s="284">
        <f t="shared" si="81"/>
        <v>45524.339289513206</v>
      </c>
      <c r="M156" s="57">
        <f t="shared" si="82"/>
        <v>34964.843350703122</v>
      </c>
      <c r="N156" s="91">
        <f t="shared" si="83"/>
        <v>8283.2789743344165</v>
      </c>
      <c r="O156" s="60">
        <f t="shared" si="84"/>
        <v>43248.122325037541</v>
      </c>
      <c r="P156" s="58">
        <f t="shared" si="102"/>
        <v>33124.588437508224</v>
      </c>
      <c r="Q156" s="91">
        <f t="shared" si="86"/>
        <v>7847.3169230536587</v>
      </c>
      <c r="R156" s="59">
        <f t="shared" si="104"/>
        <v>40971.905360561883</v>
      </c>
      <c r="S156" s="57">
        <f t="shared" ref="S156:S178" si="112">J156*S$9</f>
        <v>29444.078611118424</v>
      </c>
      <c r="T156" s="91">
        <f t="shared" si="89"/>
        <v>6975.3928204921413</v>
      </c>
      <c r="U156" s="60">
        <f t="shared" ref="U156:U178" si="113">S156+T156</f>
        <v>36419.471431610567</v>
      </c>
      <c r="V156" s="58">
        <f t="shared" si="91"/>
        <v>25763.568784728617</v>
      </c>
      <c r="W156" s="91">
        <f t="shared" si="92"/>
        <v>6103.4687179306229</v>
      </c>
      <c r="X156" s="59">
        <f t="shared" si="93"/>
        <v>31867.037502659241</v>
      </c>
      <c r="Y156" s="57">
        <f t="shared" si="94"/>
        <v>22083.058958338817</v>
      </c>
      <c r="Z156" s="91">
        <f t="shared" si="95"/>
        <v>5231.5446153691055</v>
      </c>
      <c r="AA156" s="59">
        <f t="shared" si="96"/>
        <v>27314.603573707922</v>
      </c>
    </row>
    <row r="157" spans="1:35" ht="13.5" customHeight="1">
      <c r="A157" s="187">
        <v>22</v>
      </c>
      <c r="B157" s="50">
        <v>44621</v>
      </c>
      <c r="C157" s="61">
        <f>VLOOKUP(B157,'base(indices)'!$A$16:$C$183,3,FALSE)</f>
        <v>1212</v>
      </c>
      <c r="D157" s="192">
        <f>'base(indices)'!G150</f>
        <v>0.99999998000000001</v>
      </c>
      <c r="E157" s="63">
        <f t="shared" si="111"/>
        <v>1211.9999757600001</v>
      </c>
      <c r="F157" s="82">
        <f>'base(indices)'!I150</f>
        <v>0.27660000000000001</v>
      </c>
      <c r="G157" s="63">
        <f t="shared" si="109"/>
        <v>335.23919329521607</v>
      </c>
      <c r="H157" s="268">
        <f t="shared" si="110"/>
        <v>1547.2391690552163</v>
      </c>
      <c r="I157" s="278">
        <f t="shared" si="97"/>
        <v>35369.40349261192</v>
      </c>
      <c r="J157" s="45">
        <f>IF((I157-H$165+(H$165/12*10))+K157&gt;I197,I197-K157,(I157-H$165+(H$165/12*10)))</f>
        <v>35127.892297442144</v>
      </c>
      <c r="K157" s="108">
        <f t="shared" si="103"/>
        <v>8719.2410256151761</v>
      </c>
      <c r="L157" s="46">
        <f t="shared" si="81"/>
        <v>43847.133323057322</v>
      </c>
      <c r="M157" s="43">
        <f t="shared" si="82"/>
        <v>33371.497682570036</v>
      </c>
      <c r="N157" s="108">
        <f t="shared" si="83"/>
        <v>8283.2789743344165</v>
      </c>
      <c r="O157" s="47">
        <f t="shared" si="84"/>
        <v>41654.776656904454</v>
      </c>
      <c r="P157" s="119">
        <f t="shared" si="102"/>
        <v>31615.103067697932</v>
      </c>
      <c r="Q157" s="108">
        <f t="shared" si="86"/>
        <v>7847.3169230536587</v>
      </c>
      <c r="R157" s="46">
        <f t="shared" si="104"/>
        <v>39462.419990751587</v>
      </c>
      <c r="S157" s="43">
        <f t="shared" si="112"/>
        <v>28102.313837953716</v>
      </c>
      <c r="T157" s="108">
        <f t="shared" si="89"/>
        <v>6975.3928204921413</v>
      </c>
      <c r="U157" s="47">
        <f t="shared" si="113"/>
        <v>35077.706658445859</v>
      </c>
      <c r="V157" s="45">
        <f t="shared" si="91"/>
        <v>24589.5246082095</v>
      </c>
      <c r="W157" s="108">
        <f t="shared" si="92"/>
        <v>6103.4687179306229</v>
      </c>
      <c r="X157" s="46">
        <f t="shared" si="93"/>
        <v>30692.993326140124</v>
      </c>
      <c r="Y157" s="43">
        <f t="shared" si="94"/>
        <v>21076.735378465284</v>
      </c>
      <c r="Z157" s="108">
        <f t="shared" si="95"/>
        <v>5231.5446153691055</v>
      </c>
      <c r="AA157" s="46">
        <f t="shared" si="96"/>
        <v>26308.279993834389</v>
      </c>
    </row>
    <row r="158" spans="1:35" ht="13.5" customHeight="1">
      <c r="A158" s="187">
        <v>21</v>
      </c>
      <c r="B158" s="50">
        <v>44652</v>
      </c>
      <c r="C158" s="61">
        <f>VLOOKUP(B158,'base(indices)'!$A$16:$C$183,3,FALSE)</f>
        <v>1212</v>
      </c>
      <c r="D158" s="192">
        <f>'base(indices)'!G151</f>
        <v>0.99999998000000001</v>
      </c>
      <c r="E158" s="54">
        <f t="shared" si="111"/>
        <v>1211.9999757600001</v>
      </c>
      <c r="F158" s="82">
        <f>'base(indices)'!I151</f>
        <v>0.26729999999999998</v>
      </c>
      <c r="G158" s="54">
        <f t="shared" si="109"/>
        <v>323.96759352064799</v>
      </c>
      <c r="H158" s="267">
        <f t="shared" si="110"/>
        <v>1535.9675692806481</v>
      </c>
      <c r="I158" s="277">
        <f t="shared" si="97"/>
        <v>33822.164323556703</v>
      </c>
      <c r="J158" s="58">
        <f>IF((I158-H$165+(H$165/12*9))+K158&gt;I197,I197-K158,(I158-H$165+(H$165/12*9)))</f>
        <v>33459.897530802038</v>
      </c>
      <c r="K158" s="91">
        <f t="shared" si="103"/>
        <v>8719.2410256151761</v>
      </c>
      <c r="L158" s="284">
        <f t="shared" si="81"/>
        <v>42179.138556417216</v>
      </c>
      <c r="M158" s="57">
        <f t="shared" si="82"/>
        <v>31786.902654261936</v>
      </c>
      <c r="N158" s="91">
        <f t="shared" si="83"/>
        <v>8283.2789743344165</v>
      </c>
      <c r="O158" s="60">
        <f t="shared" si="84"/>
        <v>40070.18162859635</v>
      </c>
      <c r="P158" s="58">
        <f t="shared" si="102"/>
        <v>30113.907777721834</v>
      </c>
      <c r="Q158" s="91">
        <f t="shared" si="86"/>
        <v>7847.3169230536587</v>
      </c>
      <c r="R158" s="59">
        <f t="shared" si="104"/>
        <v>37961.224700775492</v>
      </c>
      <c r="S158" s="57">
        <f t="shared" si="112"/>
        <v>26767.918024641633</v>
      </c>
      <c r="T158" s="91">
        <f t="shared" si="89"/>
        <v>6975.3928204921413</v>
      </c>
      <c r="U158" s="60">
        <f t="shared" si="113"/>
        <v>33743.310845133776</v>
      </c>
      <c r="V158" s="58">
        <f t="shared" si="91"/>
        <v>23421.928271561424</v>
      </c>
      <c r="W158" s="91">
        <f t="shared" si="92"/>
        <v>6103.4687179306229</v>
      </c>
      <c r="X158" s="59">
        <f t="shared" si="93"/>
        <v>29525.396989492048</v>
      </c>
      <c r="Y158" s="57">
        <f t="shared" si="94"/>
        <v>20075.938518481224</v>
      </c>
      <c r="Z158" s="91">
        <f t="shared" si="95"/>
        <v>5231.5446153691055</v>
      </c>
      <c r="AA158" s="59">
        <f t="shared" si="96"/>
        <v>25307.483133850328</v>
      </c>
    </row>
    <row r="159" spans="1:35" ht="13.5" customHeight="1">
      <c r="A159" s="187">
        <v>20</v>
      </c>
      <c r="B159" s="50">
        <v>44682</v>
      </c>
      <c r="C159" s="61">
        <f>VLOOKUP(B159,'base(indices)'!$A$16:$C$183,3,FALSE)</f>
        <v>1212</v>
      </c>
      <c r="D159" s="192">
        <f>'base(indices)'!G152</f>
        <v>0.99999998000000001</v>
      </c>
      <c r="E159" s="63">
        <f t="shared" si="111"/>
        <v>1211.9999757600001</v>
      </c>
      <c r="F159" s="82">
        <f>'base(indices)'!I152</f>
        <v>0.25900000000000001</v>
      </c>
      <c r="G159" s="63">
        <f t="shared" si="109"/>
        <v>313.90799372184006</v>
      </c>
      <c r="H159" s="268">
        <f t="shared" si="110"/>
        <v>1525.9079694818402</v>
      </c>
      <c r="I159" s="278">
        <f t="shared" si="97"/>
        <v>32286.196754276054</v>
      </c>
      <c r="J159" s="45">
        <f>IF((I159-H$165+(H$165/12*8))+K159&gt;I197,I197-K159,(I159-H$165+(H$165/12*8)))</f>
        <v>31803.174363936501</v>
      </c>
      <c r="K159" s="108">
        <f t="shared" si="103"/>
        <v>8719.2410256151761</v>
      </c>
      <c r="L159" s="46">
        <f t="shared" si="81"/>
        <v>40522.415389551679</v>
      </c>
      <c r="M159" s="43">
        <f t="shared" si="82"/>
        <v>30213.015645739673</v>
      </c>
      <c r="N159" s="108">
        <f t="shared" si="83"/>
        <v>8283.2789743344165</v>
      </c>
      <c r="O159" s="47">
        <f t="shared" si="84"/>
        <v>38496.294620074092</v>
      </c>
      <c r="P159" s="119">
        <f t="shared" si="102"/>
        <v>28622.856927542853</v>
      </c>
      <c r="Q159" s="108">
        <f t="shared" si="86"/>
        <v>7847.3169230536587</v>
      </c>
      <c r="R159" s="46">
        <f t="shared" si="104"/>
        <v>36470.173850596511</v>
      </c>
      <c r="S159" s="43">
        <f t="shared" si="112"/>
        <v>25442.539491149204</v>
      </c>
      <c r="T159" s="108">
        <f t="shared" si="89"/>
        <v>6975.3928204921413</v>
      </c>
      <c r="U159" s="47">
        <f t="shared" si="113"/>
        <v>32417.932311641343</v>
      </c>
      <c r="V159" s="45">
        <f t="shared" si="91"/>
        <v>22262.222054755548</v>
      </c>
      <c r="W159" s="108">
        <f t="shared" si="92"/>
        <v>6103.4687179306229</v>
      </c>
      <c r="X159" s="46">
        <f t="shared" si="93"/>
        <v>28365.690772686172</v>
      </c>
      <c r="Y159" s="43">
        <f t="shared" si="94"/>
        <v>19081.904618361899</v>
      </c>
      <c r="Z159" s="108">
        <f t="shared" si="95"/>
        <v>5231.5446153691055</v>
      </c>
      <c r="AA159" s="46">
        <f t="shared" si="96"/>
        <v>24313.449233731004</v>
      </c>
    </row>
    <row r="160" spans="1:35" ht="13.5" customHeight="1">
      <c r="A160" s="187">
        <v>19</v>
      </c>
      <c r="B160" s="50">
        <v>44713</v>
      </c>
      <c r="C160" s="61">
        <f>VLOOKUP(B160,'base(indices)'!$A$16:$C$183,3,FALSE)</f>
        <v>1212</v>
      </c>
      <c r="D160" s="192">
        <f>'base(indices)'!G153</f>
        <v>0.99999998000000001</v>
      </c>
      <c r="E160" s="54">
        <f t="shared" si="111"/>
        <v>1211.9999757600001</v>
      </c>
      <c r="F160" s="82">
        <f>'base(indices)'!I153</f>
        <v>0.2487</v>
      </c>
      <c r="G160" s="54">
        <f t="shared" si="109"/>
        <v>301.42439397151202</v>
      </c>
      <c r="H160" s="267">
        <f t="shared" si="110"/>
        <v>1513.4243697315121</v>
      </c>
      <c r="I160" s="277">
        <f t="shared" si="97"/>
        <v>30760.288784794215</v>
      </c>
      <c r="J160" s="58">
        <f>IF((I160-H$165+(H$165/12*7))+K160&gt;I197,I197-K160,(I160-H$165+(H$165/12*7)))</f>
        <v>30156.510796869778</v>
      </c>
      <c r="K160" s="91">
        <f t="shared" si="103"/>
        <v>8719.2410256151761</v>
      </c>
      <c r="L160" s="284">
        <f t="shared" ref="L160:L178" si="114">J160+K160</f>
        <v>38875.751822484955</v>
      </c>
      <c r="M160" s="57">
        <f t="shared" ref="M160:M178" si="115">J160*M$9</f>
        <v>28648.685257026289</v>
      </c>
      <c r="N160" s="91">
        <f t="shared" ref="N160:N178" si="116">K160*M$9</f>
        <v>8283.2789743344165</v>
      </c>
      <c r="O160" s="60">
        <f t="shared" ref="O160:O178" si="117">M160+N160</f>
        <v>36931.964231360704</v>
      </c>
      <c r="P160" s="58">
        <f t="shared" si="102"/>
        <v>27140.859717182801</v>
      </c>
      <c r="Q160" s="91">
        <f t="shared" ref="Q160:Q178" si="118">K160*P$9</f>
        <v>7847.3169230536587</v>
      </c>
      <c r="R160" s="59">
        <f t="shared" si="104"/>
        <v>34988.176640236459</v>
      </c>
      <c r="S160" s="57">
        <f t="shared" si="112"/>
        <v>24125.208637495823</v>
      </c>
      <c r="T160" s="91">
        <f t="shared" ref="T160:T178" si="119">K160*S$9</f>
        <v>6975.3928204921413</v>
      </c>
      <c r="U160" s="60">
        <f t="shared" si="113"/>
        <v>31100.601457987963</v>
      </c>
      <c r="V160" s="58">
        <f t="shared" ref="V160:V178" si="120">J160*V$9</f>
        <v>21109.557557808843</v>
      </c>
      <c r="W160" s="91">
        <f t="shared" ref="W160:W178" si="121">K160*V$9</f>
        <v>6103.4687179306229</v>
      </c>
      <c r="X160" s="59">
        <f t="shared" ref="X160:X178" si="122">V160+W160</f>
        <v>27213.026275739467</v>
      </c>
      <c r="Y160" s="57">
        <f t="shared" ref="Y160:Y178" si="123">J160*Y$9</f>
        <v>18093.906478121866</v>
      </c>
      <c r="Z160" s="91">
        <f t="shared" ref="Z160:Z178" si="124">K160*Y$9</f>
        <v>5231.5446153691055</v>
      </c>
      <c r="AA160" s="59">
        <f t="shared" ref="AA160:AA178" si="125">Y160+Z160</f>
        <v>23325.45109349097</v>
      </c>
    </row>
    <row r="161" spans="1:27" ht="13.5" customHeight="1">
      <c r="A161" s="187">
        <v>18</v>
      </c>
      <c r="B161" s="50">
        <v>44743</v>
      </c>
      <c r="C161" s="61">
        <f>VLOOKUP(B161,'base(indices)'!$A$16:$C$183,3,FALSE)</f>
        <v>1212</v>
      </c>
      <c r="D161" s="192">
        <f>'base(indices)'!G154</f>
        <v>0.99999998000000001</v>
      </c>
      <c r="E161" s="63">
        <f t="shared" si="111"/>
        <v>1211.9999757600001</v>
      </c>
      <c r="F161" s="82">
        <f>'base(indices)'!I154</f>
        <v>0.23849999999999999</v>
      </c>
      <c r="G161" s="63">
        <f t="shared" si="109"/>
        <v>289.06199421875999</v>
      </c>
      <c r="H161" s="268">
        <f t="shared" si="110"/>
        <v>1501.0619699787601</v>
      </c>
      <c r="I161" s="278">
        <f t="shared" ref="I161:I178" si="126">I160-H160</f>
        <v>29246.864415062704</v>
      </c>
      <c r="J161" s="45">
        <f>IF((I161-H$165+(H$165/12*6))+K161&gt;I197,I197-K161,(I161-H$165+(H$165/12*6)))</f>
        <v>28522.330829553379</v>
      </c>
      <c r="K161" s="108">
        <f t="shared" si="103"/>
        <v>8719.2410256151761</v>
      </c>
      <c r="L161" s="46">
        <f t="shared" si="114"/>
        <v>37241.571855168557</v>
      </c>
      <c r="M161" s="43">
        <f t="shared" si="115"/>
        <v>27096.214288075709</v>
      </c>
      <c r="N161" s="108">
        <f t="shared" si="116"/>
        <v>8283.2789743344165</v>
      </c>
      <c r="O161" s="47">
        <f t="shared" si="117"/>
        <v>35379.493262410127</v>
      </c>
      <c r="P161" s="119">
        <f t="shared" si="102"/>
        <v>25670.097746598043</v>
      </c>
      <c r="Q161" s="108">
        <f t="shared" si="118"/>
        <v>7847.3169230536587</v>
      </c>
      <c r="R161" s="46">
        <f t="shared" si="104"/>
        <v>33517.414669651698</v>
      </c>
      <c r="S161" s="43">
        <f t="shared" si="112"/>
        <v>22817.864663642704</v>
      </c>
      <c r="T161" s="108">
        <f t="shared" si="119"/>
        <v>6975.3928204921413</v>
      </c>
      <c r="U161" s="47">
        <f t="shared" si="113"/>
        <v>29793.257484134847</v>
      </c>
      <c r="V161" s="45">
        <f t="shared" si="120"/>
        <v>19965.631580687364</v>
      </c>
      <c r="W161" s="108">
        <f t="shared" si="121"/>
        <v>6103.4687179306229</v>
      </c>
      <c r="X161" s="46">
        <f t="shared" si="122"/>
        <v>26069.100298617988</v>
      </c>
      <c r="Y161" s="43">
        <f t="shared" si="123"/>
        <v>17113.398497732025</v>
      </c>
      <c r="Z161" s="108">
        <f t="shared" si="124"/>
        <v>5231.5446153691055</v>
      </c>
      <c r="AA161" s="46">
        <f t="shared" si="125"/>
        <v>22344.94311310113</v>
      </c>
    </row>
    <row r="162" spans="1:27" ht="13.5" customHeight="1">
      <c r="A162" s="187">
        <v>17</v>
      </c>
      <c r="B162" s="50">
        <v>44774</v>
      </c>
      <c r="C162" s="61">
        <f>VLOOKUP(B162,'base(indices)'!$A$16:$C$183,3,FALSE)</f>
        <v>1212</v>
      </c>
      <c r="D162" s="192">
        <f>'base(indices)'!G155</f>
        <v>0.99999998000000001</v>
      </c>
      <c r="E162" s="54">
        <f t="shared" si="111"/>
        <v>1211.9999757600001</v>
      </c>
      <c r="F162" s="82">
        <f>'base(indices)'!I155</f>
        <v>0.22819999999999999</v>
      </c>
      <c r="G162" s="54">
        <f t="shared" si="109"/>
        <v>276.57839446843201</v>
      </c>
      <c r="H162" s="267">
        <f t="shared" si="110"/>
        <v>1488.578370228432</v>
      </c>
      <c r="I162" s="277">
        <f t="shared" si="126"/>
        <v>27745.802445083944</v>
      </c>
      <c r="J162" s="58">
        <f>IF((I162-H$165+(H$165/12*5))+K162&gt;I197,I197-K162,(I162-H$165+(H$165/12*5)))</f>
        <v>26900.513261989727</v>
      </c>
      <c r="K162" s="91">
        <f t="shared" si="103"/>
        <v>8719.2410256151761</v>
      </c>
      <c r="L162" s="284">
        <f t="shared" si="114"/>
        <v>35619.754287604905</v>
      </c>
      <c r="M162" s="57">
        <f t="shared" si="115"/>
        <v>25555.487598890239</v>
      </c>
      <c r="N162" s="91">
        <f t="shared" si="116"/>
        <v>8283.2789743344165</v>
      </c>
      <c r="O162" s="60">
        <f t="shared" si="117"/>
        <v>33838.766573224653</v>
      </c>
      <c r="P162" s="58">
        <f t="shared" si="102"/>
        <v>24210.461935790754</v>
      </c>
      <c r="Q162" s="91">
        <f t="shared" si="118"/>
        <v>7847.3169230536587</v>
      </c>
      <c r="R162" s="59">
        <f t="shared" si="104"/>
        <v>32057.778858844413</v>
      </c>
      <c r="S162" s="57">
        <f t="shared" si="112"/>
        <v>21520.410609591781</v>
      </c>
      <c r="T162" s="91">
        <f t="shared" si="119"/>
        <v>6975.3928204921413</v>
      </c>
      <c r="U162" s="60">
        <f t="shared" si="113"/>
        <v>28495.803430083921</v>
      </c>
      <c r="V162" s="58">
        <f t="shared" si="120"/>
        <v>18830.359283392809</v>
      </c>
      <c r="W162" s="91">
        <f t="shared" si="121"/>
        <v>6103.4687179306229</v>
      </c>
      <c r="X162" s="59">
        <f t="shared" si="122"/>
        <v>24933.828001323433</v>
      </c>
      <c r="Y162" s="57">
        <f t="shared" si="123"/>
        <v>16140.307957193836</v>
      </c>
      <c r="Z162" s="91">
        <f t="shared" si="124"/>
        <v>5231.5446153691055</v>
      </c>
      <c r="AA162" s="59">
        <f t="shared" si="125"/>
        <v>21371.852572562941</v>
      </c>
    </row>
    <row r="163" spans="1:27" ht="13.5" customHeight="1">
      <c r="A163" s="187">
        <v>16</v>
      </c>
      <c r="B163" s="50">
        <v>44805</v>
      </c>
      <c r="C163" s="61">
        <f>VLOOKUP(B163,'base(indices)'!$A$16:$C$183,3,FALSE)</f>
        <v>1212</v>
      </c>
      <c r="D163" s="192">
        <f>'base(indices)'!G156</f>
        <v>0.99999998000000001</v>
      </c>
      <c r="E163" s="63">
        <f t="shared" si="111"/>
        <v>1211.9999757600001</v>
      </c>
      <c r="F163" s="82">
        <f>'base(indices)'!I156</f>
        <v>0.2165</v>
      </c>
      <c r="G163" s="63">
        <f t="shared" si="109"/>
        <v>262.39799475204001</v>
      </c>
      <c r="H163" s="268">
        <f t="shared" si="110"/>
        <v>1474.39797051204</v>
      </c>
      <c r="I163" s="278">
        <f t="shared" si="126"/>
        <v>26257.224074855512</v>
      </c>
      <c r="J163" s="45">
        <f>IF((I163-H$165+(H$165/12*4))+K163&gt;I197,I197-K163,(I163-H$165+(H$165/12*4)))</f>
        <v>25291.179294176407</v>
      </c>
      <c r="K163" s="108">
        <f t="shared" si="103"/>
        <v>8719.2410256151761</v>
      </c>
      <c r="L163" s="46">
        <f t="shared" si="114"/>
        <v>34010.420319791585</v>
      </c>
      <c r="M163" s="43">
        <f t="shared" si="115"/>
        <v>24026.620329467587</v>
      </c>
      <c r="N163" s="108">
        <f t="shared" si="116"/>
        <v>8283.2789743344165</v>
      </c>
      <c r="O163" s="47">
        <f t="shared" si="117"/>
        <v>32309.899303802005</v>
      </c>
      <c r="P163" s="119">
        <f t="shared" si="102"/>
        <v>22762.061364758767</v>
      </c>
      <c r="Q163" s="108">
        <f t="shared" si="118"/>
        <v>7847.3169230536587</v>
      </c>
      <c r="R163" s="46">
        <f t="shared" si="104"/>
        <v>30609.378287812426</v>
      </c>
      <c r="S163" s="43">
        <f t="shared" si="112"/>
        <v>20232.943435341127</v>
      </c>
      <c r="T163" s="108">
        <f t="shared" si="119"/>
        <v>6975.3928204921413</v>
      </c>
      <c r="U163" s="47">
        <f t="shared" si="113"/>
        <v>27208.336255833266</v>
      </c>
      <c r="V163" s="45">
        <f t="shared" si="120"/>
        <v>17703.825505923483</v>
      </c>
      <c r="W163" s="108">
        <f t="shared" si="121"/>
        <v>6103.4687179306229</v>
      </c>
      <c r="X163" s="46">
        <f t="shared" si="122"/>
        <v>23807.294223854107</v>
      </c>
      <c r="Y163" s="43">
        <f t="shared" si="123"/>
        <v>15174.707576505843</v>
      </c>
      <c r="Z163" s="108">
        <f t="shared" si="124"/>
        <v>5231.5446153691055</v>
      </c>
      <c r="AA163" s="46">
        <f t="shared" si="125"/>
        <v>20406.252191874948</v>
      </c>
    </row>
    <row r="164" spans="1:27" ht="13.5" customHeight="1">
      <c r="A164" s="187">
        <v>15</v>
      </c>
      <c r="B164" s="50">
        <v>44835</v>
      </c>
      <c r="C164" s="61">
        <f>VLOOKUP(B164,'base(indices)'!$A$16:$C$183,3,FALSE)</f>
        <v>1212</v>
      </c>
      <c r="D164" s="192">
        <f>'base(indices)'!G157</f>
        <v>0.99999998000000001</v>
      </c>
      <c r="E164" s="54">
        <f t="shared" si="111"/>
        <v>1211.9999757600001</v>
      </c>
      <c r="F164" s="82">
        <f>'base(indices)'!I157</f>
        <v>0.20580000000000001</v>
      </c>
      <c r="G164" s="54">
        <f t="shared" si="109"/>
        <v>249.42959501140803</v>
      </c>
      <c r="H164" s="267">
        <f t="shared" si="110"/>
        <v>1461.4295707714082</v>
      </c>
      <c r="I164" s="277">
        <f t="shared" si="126"/>
        <v>24782.826104343472</v>
      </c>
      <c r="J164" s="58">
        <f>IF((I164-H$165+(H$165/12*3))+K164&gt;I197,I197-K164,(I164-H$165+(H$165/12*3)))</f>
        <v>23696.025726079482</v>
      </c>
      <c r="K164" s="91">
        <f t="shared" si="103"/>
        <v>8719.2410256151761</v>
      </c>
      <c r="L164" s="284">
        <f t="shared" si="114"/>
        <v>32415.26675169466</v>
      </c>
      <c r="M164" s="57">
        <f t="shared" si="115"/>
        <v>22511.224439775506</v>
      </c>
      <c r="N164" s="91">
        <f t="shared" si="116"/>
        <v>8283.2789743344165</v>
      </c>
      <c r="O164" s="60">
        <f t="shared" si="117"/>
        <v>30794.503414109924</v>
      </c>
      <c r="P164" s="58">
        <f t="shared" si="102"/>
        <v>21326.423153471536</v>
      </c>
      <c r="Q164" s="91">
        <f t="shared" si="118"/>
        <v>7847.3169230536587</v>
      </c>
      <c r="R164" s="59">
        <f t="shared" si="104"/>
        <v>29173.740076525195</v>
      </c>
      <c r="S164" s="57">
        <f t="shared" si="112"/>
        <v>18956.820580863587</v>
      </c>
      <c r="T164" s="91">
        <f t="shared" si="119"/>
        <v>6975.3928204921413</v>
      </c>
      <c r="U164" s="60">
        <f t="shared" si="113"/>
        <v>25932.21340135573</v>
      </c>
      <c r="V164" s="58">
        <f t="shared" si="120"/>
        <v>16587.218008255637</v>
      </c>
      <c r="W164" s="91">
        <f t="shared" si="121"/>
        <v>6103.4687179306229</v>
      </c>
      <c r="X164" s="59">
        <f t="shared" si="122"/>
        <v>22690.686726186261</v>
      </c>
      <c r="Y164" s="57">
        <f t="shared" si="123"/>
        <v>14217.615435647689</v>
      </c>
      <c r="Z164" s="91">
        <f t="shared" si="124"/>
        <v>5231.5446153691055</v>
      </c>
      <c r="AA164" s="59">
        <f t="shared" si="125"/>
        <v>19449.160051016795</v>
      </c>
    </row>
    <row r="165" spans="1:27" ht="13.5" customHeight="1">
      <c r="A165" s="187">
        <v>14</v>
      </c>
      <c r="B165" s="50">
        <v>44866</v>
      </c>
      <c r="C165" s="61">
        <f>VLOOKUP(B165,'base(indices)'!$A$16:$C$183,3,FALSE)</f>
        <v>1212</v>
      </c>
      <c r="D165" s="192">
        <f>'base(indices)'!G158</f>
        <v>0.99999998000000001</v>
      </c>
      <c r="E165" s="63">
        <f t="shared" si="111"/>
        <v>1211.9999757600001</v>
      </c>
      <c r="F165" s="82">
        <f>'base(indices)'!I158</f>
        <v>0.1956</v>
      </c>
      <c r="G165" s="63">
        <f t="shared" si="109"/>
        <v>237.06719525865603</v>
      </c>
      <c r="H165" s="268">
        <f t="shared" si="110"/>
        <v>1449.0671710186562</v>
      </c>
      <c r="I165" s="278">
        <f t="shared" si="126"/>
        <v>23321.396533572064</v>
      </c>
      <c r="J165" s="45">
        <f>IF((I165-H$165+(H$165/12*2))+K165&gt;I197,I197-K165,(I165-H$165+(H$165/12*2)))</f>
        <v>22113.840557723182</v>
      </c>
      <c r="K165" s="108">
        <f t="shared" si="103"/>
        <v>8719.2410256151761</v>
      </c>
      <c r="L165" s="46">
        <f t="shared" si="114"/>
        <v>30833.08158333836</v>
      </c>
      <c r="M165" s="43">
        <f t="shared" si="115"/>
        <v>21008.148529837021</v>
      </c>
      <c r="N165" s="108">
        <f t="shared" si="116"/>
        <v>8283.2789743344165</v>
      </c>
      <c r="O165" s="47">
        <f t="shared" si="117"/>
        <v>29291.427504171435</v>
      </c>
      <c r="P165" s="119">
        <f t="shared" si="102"/>
        <v>19902.456501950866</v>
      </c>
      <c r="Q165" s="108">
        <f t="shared" si="118"/>
        <v>7847.3169230536587</v>
      </c>
      <c r="R165" s="46">
        <f t="shared" si="104"/>
        <v>27749.773425004525</v>
      </c>
      <c r="S165" s="43">
        <f t="shared" si="112"/>
        <v>17691.072446178547</v>
      </c>
      <c r="T165" s="108">
        <f t="shared" si="119"/>
        <v>6975.3928204921413</v>
      </c>
      <c r="U165" s="47">
        <f t="shared" si="113"/>
        <v>24666.46526667069</v>
      </c>
      <c r="V165" s="45">
        <f t="shared" si="120"/>
        <v>15479.688390406227</v>
      </c>
      <c r="W165" s="108">
        <f t="shared" si="121"/>
        <v>6103.4687179306229</v>
      </c>
      <c r="X165" s="46">
        <f t="shared" si="122"/>
        <v>21583.157108336851</v>
      </c>
      <c r="Y165" s="43">
        <f t="shared" si="123"/>
        <v>13268.304334633909</v>
      </c>
      <c r="Z165" s="108">
        <f t="shared" si="124"/>
        <v>5231.5446153691055</v>
      </c>
      <c r="AA165" s="46">
        <f t="shared" si="125"/>
        <v>18499.848950003015</v>
      </c>
    </row>
    <row r="166" spans="1:27" ht="13.5" customHeight="1" thickBot="1">
      <c r="A166" s="188">
        <v>13</v>
      </c>
      <c r="B166" s="300">
        <v>44896</v>
      </c>
      <c r="C166" s="69">
        <f>VLOOKUP(B166,'base(indices)'!$A$16:$C$183,3,FALSE)*2</f>
        <v>2424</v>
      </c>
      <c r="D166" s="335">
        <f>'base(indices)'!G159</f>
        <v>0.99999998000000001</v>
      </c>
      <c r="E166" s="163">
        <f t="shared" si="111"/>
        <v>2423.9999515200002</v>
      </c>
      <c r="F166" s="304">
        <f>'base(indices)'!I159</f>
        <v>0.18540000000000001</v>
      </c>
      <c r="G166" s="163">
        <f t="shared" si="109"/>
        <v>449.40959101180806</v>
      </c>
      <c r="H166" s="355">
        <f t="shared" si="110"/>
        <v>2873.4095425318083</v>
      </c>
      <c r="I166" s="280">
        <f t="shared" si="126"/>
        <v>21872.329362553406</v>
      </c>
      <c r="J166" s="175">
        <f>IF((I166-H$165+(H$165/12*1))+K166&gt;I197,I197-K166,(I166-H$165+(H$165/12*1)))</f>
        <v>20544.017789119636</v>
      </c>
      <c r="K166" s="86">
        <f t="shared" si="103"/>
        <v>8719.2410256151761</v>
      </c>
      <c r="L166" s="287">
        <f t="shared" si="114"/>
        <v>29263.258814734814</v>
      </c>
      <c r="M166" s="85">
        <f t="shared" si="115"/>
        <v>19516.816899663652</v>
      </c>
      <c r="N166" s="86">
        <f t="shared" si="116"/>
        <v>8283.2789743344165</v>
      </c>
      <c r="O166" s="107">
        <f t="shared" si="117"/>
        <v>27800.095873998071</v>
      </c>
      <c r="P166" s="175">
        <f t="shared" si="102"/>
        <v>18489.616010207672</v>
      </c>
      <c r="Q166" s="86">
        <f t="shared" si="118"/>
        <v>7847.3169230536587</v>
      </c>
      <c r="R166" s="165">
        <f t="shared" si="104"/>
        <v>26336.932933261331</v>
      </c>
      <c r="S166" s="85">
        <f t="shared" si="112"/>
        <v>16435.214231295711</v>
      </c>
      <c r="T166" s="86">
        <f t="shared" si="119"/>
        <v>6975.3928204921413</v>
      </c>
      <c r="U166" s="107">
        <f t="shared" si="113"/>
        <v>23410.607051787854</v>
      </c>
      <c r="V166" s="175">
        <f t="shared" si="120"/>
        <v>14380.812452383745</v>
      </c>
      <c r="W166" s="86">
        <f t="shared" si="121"/>
        <v>6103.4687179306229</v>
      </c>
      <c r="X166" s="165">
        <f t="shared" si="122"/>
        <v>20484.281170314367</v>
      </c>
      <c r="Y166" s="85">
        <f t="shared" si="123"/>
        <v>12326.410673471781</v>
      </c>
      <c r="Z166" s="86">
        <f t="shared" si="124"/>
        <v>5231.5446153691055</v>
      </c>
      <c r="AA166" s="165">
        <f t="shared" si="125"/>
        <v>17557.955288840887</v>
      </c>
    </row>
    <row r="167" spans="1:27" ht="13.5" customHeight="1">
      <c r="A167" s="217">
        <v>12</v>
      </c>
      <c r="B167" s="136">
        <v>44927</v>
      </c>
      <c r="C167" s="41">
        <f>VLOOKUP(B167,'base(indices)'!$A$16:$C$183,3,FALSE)</f>
        <v>1302</v>
      </c>
      <c r="D167" s="193">
        <f>'base(indices)'!G160</f>
        <v>0.99999998000000001</v>
      </c>
      <c r="E167" s="78">
        <f>C167*D167</f>
        <v>1301.99997396</v>
      </c>
      <c r="F167" s="79">
        <f>'base(indices)'!I160</f>
        <v>0.17419999999999999</v>
      </c>
      <c r="G167" s="78">
        <f t="shared" si="109"/>
        <v>226.808395463832</v>
      </c>
      <c r="H167" s="266">
        <f t="shared" si="110"/>
        <v>1528.8083694238321</v>
      </c>
      <c r="I167" s="281">
        <f t="shared" si="126"/>
        <v>18998.919820021598</v>
      </c>
      <c r="J167" s="288">
        <f>IF((I167-H$177+(H$177/12*12))+K167&gt;I$197,I$197-K167,(I167-H$177+(H$177/12*12)))</f>
        <v>18998.919820021598</v>
      </c>
      <c r="K167" s="156">
        <f t="shared" si="103"/>
        <v>8719.2410256151761</v>
      </c>
      <c r="L167" s="150">
        <f t="shared" si="114"/>
        <v>27718.160845636776</v>
      </c>
      <c r="M167" s="283">
        <f t="shared" si="115"/>
        <v>18048.973829020517</v>
      </c>
      <c r="N167" s="156">
        <f t="shared" si="116"/>
        <v>8283.2789743344165</v>
      </c>
      <c r="O167" s="290">
        <f t="shared" si="117"/>
        <v>26332.252803354932</v>
      </c>
      <c r="P167" s="292">
        <f t="shared" si="102"/>
        <v>17099.02783801944</v>
      </c>
      <c r="Q167" s="156">
        <f t="shared" si="118"/>
        <v>7847.3169230536587</v>
      </c>
      <c r="R167" s="150">
        <f t="shared" si="104"/>
        <v>24946.344761073098</v>
      </c>
      <c r="S167" s="283">
        <f t="shared" si="112"/>
        <v>15199.135856017279</v>
      </c>
      <c r="T167" s="156">
        <f t="shared" si="119"/>
        <v>6975.3928204921413</v>
      </c>
      <c r="U167" s="290">
        <f t="shared" si="113"/>
        <v>22174.528676509421</v>
      </c>
      <c r="V167" s="288">
        <f t="shared" si="120"/>
        <v>13299.243874015117</v>
      </c>
      <c r="W167" s="156">
        <f t="shared" si="121"/>
        <v>6103.4687179306229</v>
      </c>
      <c r="X167" s="150">
        <f t="shared" si="122"/>
        <v>19402.712591945739</v>
      </c>
      <c r="Y167" s="283">
        <f t="shared" si="123"/>
        <v>11399.351892012959</v>
      </c>
      <c r="Z167" s="156">
        <f t="shared" si="124"/>
        <v>5231.5446153691055</v>
      </c>
      <c r="AA167" s="150">
        <f t="shared" si="125"/>
        <v>16630.896507382065</v>
      </c>
    </row>
    <row r="168" spans="1:27" ht="13.5" customHeight="1">
      <c r="A168" s="187">
        <v>11</v>
      </c>
      <c r="B168" s="50">
        <v>44958</v>
      </c>
      <c r="C168" s="61">
        <f>VLOOKUP(B168,'base(indices)'!$A$16:$C$183,3,FALSE)</f>
        <v>1302</v>
      </c>
      <c r="D168" s="192">
        <f>'base(indices)'!G161</f>
        <v>0.99999998000000001</v>
      </c>
      <c r="E168" s="54">
        <f t="shared" ref="E168:E178" si="127">C168*D168</f>
        <v>1301.99997396</v>
      </c>
      <c r="F168" s="82">
        <f>'base(indices)'!I161</f>
        <v>0.16300000000000001</v>
      </c>
      <c r="G168" s="54">
        <f t="shared" si="109"/>
        <v>212.22599575548</v>
      </c>
      <c r="H168" s="267">
        <f t="shared" si="110"/>
        <v>1514.22596971548</v>
      </c>
      <c r="I168" s="277">
        <f t="shared" si="126"/>
        <v>17470.111450597768</v>
      </c>
      <c r="J168" s="58">
        <f>IF((I168-H$177+(H$177/12*11))+K168&gt;I$197,I$197-K168,(I168-H$177+(H$177/12*11)))</f>
        <v>17352.499452950007</v>
      </c>
      <c r="K168" s="91">
        <f t="shared" si="103"/>
        <v>8719.2410256151761</v>
      </c>
      <c r="L168" s="284">
        <f t="shared" si="114"/>
        <v>26071.740478565182</v>
      </c>
      <c r="M168" s="57">
        <f t="shared" si="115"/>
        <v>16484.874480302507</v>
      </c>
      <c r="N168" s="91">
        <f t="shared" si="116"/>
        <v>8283.2789743344165</v>
      </c>
      <c r="O168" s="60">
        <f t="shared" si="117"/>
        <v>24768.153454636922</v>
      </c>
      <c r="P168" s="58">
        <f t="shared" si="102"/>
        <v>15617.249507655008</v>
      </c>
      <c r="Q168" s="91">
        <f t="shared" si="118"/>
        <v>7847.3169230536587</v>
      </c>
      <c r="R168" s="59">
        <f t="shared" si="104"/>
        <v>23464.566430708666</v>
      </c>
      <c r="S168" s="57">
        <f t="shared" si="112"/>
        <v>13881.999562360006</v>
      </c>
      <c r="T168" s="91">
        <f t="shared" si="119"/>
        <v>6975.3928204921413</v>
      </c>
      <c r="U168" s="60">
        <f t="shared" si="113"/>
        <v>20857.392382852147</v>
      </c>
      <c r="V168" s="58">
        <f t="shared" si="120"/>
        <v>12146.749617065005</v>
      </c>
      <c r="W168" s="91">
        <f t="shared" si="121"/>
        <v>6103.4687179306229</v>
      </c>
      <c r="X168" s="59">
        <f t="shared" si="122"/>
        <v>18250.218334995629</v>
      </c>
      <c r="Y168" s="57">
        <f t="shared" si="123"/>
        <v>10411.499671770003</v>
      </c>
      <c r="Z168" s="91">
        <f t="shared" si="124"/>
        <v>5231.5446153691055</v>
      </c>
      <c r="AA168" s="59">
        <f t="shared" si="125"/>
        <v>15643.04428713911</v>
      </c>
    </row>
    <row r="169" spans="1:27" ht="13.5" customHeight="1">
      <c r="A169" s="187">
        <v>10</v>
      </c>
      <c r="B169" s="40">
        <v>44986</v>
      </c>
      <c r="C169" s="61">
        <f>VLOOKUP(B169,'base(indices)'!$A$16:$C$183,3,FALSE)</f>
        <v>1302</v>
      </c>
      <c r="D169" s="192">
        <f>'base(indices)'!G162</f>
        <v>0.99999998000000001</v>
      </c>
      <c r="E169" s="63">
        <f t="shared" si="127"/>
        <v>1301.99997396</v>
      </c>
      <c r="F169" s="82">
        <f>'base(indices)'!I162</f>
        <v>0.15379999999999999</v>
      </c>
      <c r="G169" s="63">
        <f t="shared" si="109"/>
        <v>200.24759599504799</v>
      </c>
      <c r="H169" s="268">
        <f t="shared" si="110"/>
        <v>1502.247569955048</v>
      </c>
      <c r="I169" s="278">
        <f t="shared" si="126"/>
        <v>15955.885480882287</v>
      </c>
      <c r="J169" s="45">
        <f>IF((I169-H$177+(H$177/12*10))+K169&gt;I$197,I$197-K169,(I169-H$177+(H$177/12*10)))</f>
        <v>15720.661485586767</v>
      </c>
      <c r="K169" s="108">
        <f t="shared" si="103"/>
        <v>8719.2410256151761</v>
      </c>
      <c r="L169" s="46">
        <f t="shared" si="114"/>
        <v>24439.902511201944</v>
      </c>
      <c r="M169" s="43">
        <f t="shared" si="115"/>
        <v>14934.628411307427</v>
      </c>
      <c r="N169" s="108">
        <f t="shared" si="116"/>
        <v>8283.2789743344165</v>
      </c>
      <c r="O169" s="47">
        <f t="shared" si="117"/>
        <v>23217.907385641844</v>
      </c>
      <c r="P169" s="119">
        <f t="shared" si="102"/>
        <v>14148.595337028089</v>
      </c>
      <c r="Q169" s="108">
        <f t="shared" si="118"/>
        <v>7847.3169230536587</v>
      </c>
      <c r="R169" s="46">
        <f t="shared" si="104"/>
        <v>21995.91226008175</v>
      </c>
      <c r="S169" s="43">
        <f t="shared" si="112"/>
        <v>12576.529188469414</v>
      </c>
      <c r="T169" s="108">
        <f t="shared" si="119"/>
        <v>6975.3928204921413</v>
      </c>
      <c r="U169" s="47">
        <f t="shared" si="113"/>
        <v>19551.922008961556</v>
      </c>
      <c r="V169" s="45">
        <f t="shared" si="120"/>
        <v>11004.463039910735</v>
      </c>
      <c r="W169" s="108">
        <f t="shared" si="121"/>
        <v>6103.4687179306229</v>
      </c>
      <c r="X169" s="46">
        <f t="shared" si="122"/>
        <v>17107.931757841357</v>
      </c>
      <c r="Y169" s="43">
        <f t="shared" si="123"/>
        <v>9432.3968913520603</v>
      </c>
      <c r="Z169" s="108">
        <f t="shared" si="124"/>
        <v>5231.5446153691055</v>
      </c>
      <c r="AA169" s="46">
        <f t="shared" si="125"/>
        <v>14663.941506721167</v>
      </c>
    </row>
    <row r="170" spans="1:27" ht="13.5" customHeight="1">
      <c r="A170" s="187">
        <v>9</v>
      </c>
      <c r="B170" s="50">
        <v>45017</v>
      </c>
      <c r="C170" s="61">
        <f>VLOOKUP(B170,'base(indices)'!$A$16:$C$183,3,FALSE)</f>
        <v>1302</v>
      </c>
      <c r="D170" s="192">
        <f>'base(indices)'!G163</f>
        <v>0.99999998000000001</v>
      </c>
      <c r="E170" s="54">
        <f t="shared" si="127"/>
        <v>1301.99997396</v>
      </c>
      <c r="F170" s="82">
        <f>'base(indices)'!I163</f>
        <v>0.1421</v>
      </c>
      <c r="G170" s="54">
        <f t="shared" si="109"/>
        <v>185.01419629971602</v>
      </c>
      <c r="H170" s="267">
        <f t="shared" si="110"/>
        <v>1487.0141702597161</v>
      </c>
      <c r="I170" s="277">
        <f t="shared" si="126"/>
        <v>14453.637910927238</v>
      </c>
      <c r="J170" s="58">
        <f>IF((I170-H$177+(H$177/12*9))+K170&gt;I$197,I$197-K170,(I170-H$177+(H$177/12*9)))</f>
        <v>14100.801917983959</v>
      </c>
      <c r="K170" s="91">
        <f t="shared" si="103"/>
        <v>8719.2410256151761</v>
      </c>
      <c r="L170" s="284">
        <f t="shared" si="114"/>
        <v>22820.042943599135</v>
      </c>
      <c r="M170" s="57">
        <f t="shared" si="115"/>
        <v>13395.761822084762</v>
      </c>
      <c r="N170" s="91">
        <f t="shared" si="116"/>
        <v>8283.2789743344165</v>
      </c>
      <c r="O170" s="60">
        <f t="shared" si="117"/>
        <v>21679.040796419176</v>
      </c>
      <c r="P170" s="58">
        <f t="shared" si="102"/>
        <v>12690.721726185564</v>
      </c>
      <c r="Q170" s="91">
        <f t="shared" si="118"/>
        <v>7847.3169230536587</v>
      </c>
      <c r="R170" s="59">
        <f t="shared" si="104"/>
        <v>20538.038649239221</v>
      </c>
      <c r="S170" s="57">
        <f t="shared" si="112"/>
        <v>11280.641534387169</v>
      </c>
      <c r="T170" s="91">
        <f t="shared" si="119"/>
        <v>6975.3928204921413</v>
      </c>
      <c r="U170" s="60">
        <f t="shared" si="113"/>
        <v>18256.03435487931</v>
      </c>
      <c r="V170" s="58">
        <f t="shared" si="120"/>
        <v>9870.5613425887714</v>
      </c>
      <c r="W170" s="91">
        <f t="shared" si="121"/>
        <v>6103.4687179306229</v>
      </c>
      <c r="X170" s="59">
        <f t="shared" si="122"/>
        <v>15974.030060519395</v>
      </c>
      <c r="Y170" s="57">
        <f t="shared" si="123"/>
        <v>8460.481150790376</v>
      </c>
      <c r="Z170" s="91">
        <f t="shared" si="124"/>
        <v>5231.5446153691055</v>
      </c>
      <c r="AA170" s="59">
        <f t="shared" si="125"/>
        <v>13692.025766159481</v>
      </c>
    </row>
    <row r="171" spans="1:27" ht="13.5" customHeight="1">
      <c r="A171" s="187">
        <v>8</v>
      </c>
      <c r="B171" s="40">
        <v>45047</v>
      </c>
      <c r="C171" s="61">
        <f>VLOOKUP(B171,'base(indices)'!$A$16:$C$183,3,FALSE)</f>
        <v>1320</v>
      </c>
      <c r="D171" s="192">
        <f>'base(indices)'!G164</f>
        <v>0.99999998000000001</v>
      </c>
      <c r="E171" s="63">
        <f t="shared" si="127"/>
        <v>1319.9999736</v>
      </c>
      <c r="F171" s="82">
        <f>'base(indices)'!I164</f>
        <v>0.13289999999999999</v>
      </c>
      <c r="G171" s="63">
        <f t="shared" si="109"/>
        <v>175.42799649143998</v>
      </c>
      <c r="H171" s="268">
        <f t="shared" si="110"/>
        <v>1495.4279700914399</v>
      </c>
      <c r="I171" s="278">
        <f t="shared" si="126"/>
        <v>12966.623740667523</v>
      </c>
      <c r="J171" s="45">
        <f>IF((I171-H$177+(H$177/12*8))+K171&gt;I$197,I$197-K171,(I171-H$177+(H$177/12*8)))</f>
        <v>12496.175750076483</v>
      </c>
      <c r="K171" s="108">
        <f t="shared" si="103"/>
        <v>8719.2410256151761</v>
      </c>
      <c r="L171" s="46">
        <f t="shared" si="114"/>
        <v>21215.416775691658</v>
      </c>
      <c r="M171" s="43">
        <f t="shared" si="115"/>
        <v>11871.366962572658</v>
      </c>
      <c r="N171" s="108">
        <f t="shared" si="116"/>
        <v>8283.2789743344165</v>
      </c>
      <c r="O171" s="47">
        <f t="shared" si="117"/>
        <v>20154.645936907073</v>
      </c>
      <c r="P171" s="119">
        <f t="shared" si="102"/>
        <v>11246.558175068836</v>
      </c>
      <c r="Q171" s="108">
        <f t="shared" si="118"/>
        <v>7847.3169230536587</v>
      </c>
      <c r="R171" s="46">
        <f t="shared" si="104"/>
        <v>19093.875098122495</v>
      </c>
      <c r="S171" s="43">
        <f t="shared" si="112"/>
        <v>9996.9406000611871</v>
      </c>
      <c r="T171" s="108">
        <f t="shared" si="119"/>
        <v>6975.3928204921413</v>
      </c>
      <c r="U171" s="47">
        <f t="shared" si="113"/>
        <v>16972.333420553328</v>
      </c>
      <c r="V171" s="45">
        <f t="shared" si="120"/>
        <v>8747.323025053538</v>
      </c>
      <c r="W171" s="108">
        <f t="shared" si="121"/>
        <v>6103.4687179306229</v>
      </c>
      <c r="X171" s="46">
        <f t="shared" si="122"/>
        <v>14850.791742984162</v>
      </c>
      <c r="Y171" s="43">
        <f t="shared" si="123"/>
        <v>7497.7054500458898</v>
      </c>
      <c r="Z171" s="108">
        <f t="shared" si="124"/>
        <v>5231.5446153691055</v>
      </c>
      <c r="AA171" s="46">
        <f t="shared" si="125"/>
        <v>12729.250065414995</v>
      </c>
    </row>
    <row r="172" spans="1:27" ht="13.5" customHeight="1">
      <c r="A172" s="187">
        <v>7</v>
      </c>
      <c r="B172" s="50">
        <v>45078</v>
      </c>
      <c r="C172" s="61">
        <f>VLOOKUP(B172,'base(indices)'!$A$16:$C$183,3,FALSE)</f>
        <v>1320</v>
      </c>
      <c r="D172" s="192">
        <f>'base(indices)'!G165</f>
        <v>0.99999998000000001</v>
      </c>
      <c r="E172" s="54">
        <f t="shared" si="127"/>
        <v>1319.9999736</v>
      </c>
      <c r="F172" s="82">
        <f>'base(indices)'!I165</f>
        <v>0.1217</v>
      </c>
      <c r="G172" s="54">
        <f t="shared" si="109"/>
        <v>160.64399678711999</v>
      </c>
      <c r="H172" s="267">
        <f t="shared" si="110"/>
        <v>1480.6439703871199</v>
      </c>
      <c r="I172" s="277">
        <f t="shared" si="126"/>
        <v>11471.195770576083</v>
      </c>
      <c r="J172" s="58">
        <f>IF((I172-H$177+(H$177/12*7))+K172&gt;I$197,I$197-K172,(I172-H$177+(H$177/12*7)))</f>
        <v>10883.135782337284</v>
      </c>
      <c r="K172" s="91">
        <f t="shared" si="103"/>
        <v>8719.2410256151761</v>
      </c>
      <c r="L172" s="284">
        <f t="shared" si="114"/>
        <v>19602.37680795246</v>
      </c>
      <c r="M172" s="57">
        <f t="shared" si="115"/>
        <v>10338.978993220418</v>
      </c>
      <c r="N172" s="91">
        <f t="shared" si="116"/>
        <v>8283.2789743344165</v>
      </c>
      <c r="O172" s="60">
        <f t="shared" si="117"/>
        <v>18622.257967554833</v>
      </c>
      <c r="P172" s="58">
        <f t="shared" si="102"/>
        <v>9794.8222041035551</v>
      </c>
      <c r="Q172" s="91">
        <f t="shared" si="118"/>
        <v>7847.3169230536587</v>
      </c>
      <c r="R172" s="59">
        <f t="shared" si="104"/>
        <v>17642.139127157214</v>
      </c>
      <c r="S172" s="57">
        <f t="shared" si="112"/>
        <v>8706.5086258698266</v>
      </c>
      <c r="T172" s="91">
        <f t="shared" si="119"/>
        <v>6975.3928204921413</v>
      </c>
      <c r="U172" s="60">
        <f t="shared" si="113"/>
        <v>15681.901446361968</v>
      </c>
      <c r="V172" s="58">
        <f t="shared" si="120"/>
        <v>7618.195047636098</v>
      </c>
      <c r="W172" s="91">
        <f t="shared" si="121"/>
        <v>6103.4687179306229</v>
      </c>
      <c r="X172" s="59">
        <f t="shared" si="122"/>
        <v>13721.663765566722</v>
      </c>
      <c r="Y172" s="57">
        <f t="shared" si="123"/>
        <v>6529.8814694023704</v>
      </c>
      <c r="Z172" s="91">
        <f t="shared" si="124"/>
        <v>5231.5446153691055</v>
      </c>
      <c r="AA172" s="59">
        <f t="shared" si="125"/>
        <v>11761.426084771476</v>
      </c>
    </row>
    <row r="173" spans="1:27" ht="13.5" customHeight="1">
      <c r="A173" s="187">
        <v>6</v>
      </c>
      <c r="B173" s="40">
        <v>45108</v>
      </c>
      <c r="C173" s="61">
        <f>VLOOKUP(B173,'base(indices)'!$A$16:$C$183,3,FALSE)</f>
        <v>1320</v>
      </c>
      <c r="D173" s="192">
        <f>'base(indices)'!G166</f>
        <v>0.99999998000000001</v>
      </c>
      <c r="E173" s="63">
        <f t="shared" si="127"/>
        <v>1319.9999736</v>
      </c>
      <c r="F173" s="82">
        <f>'base(indices)'!I166</f>
        <v>0.111</v>
      </c>
      <c r="G173" s="63">
        <f t="shared" si="109"/>
        <v>146.51999706960001</v>
      </c>
      <c r="H173" s="268">
        <f t="shared" si="110"/>
        <v>1466.5199706696001</v>
      </c>
      <c r="I173" s="278">
        <f t="shared" si="126"/>
        <v>9990.5518001889632</v>
      </c>
      <c r="J173" s="45">
        <f>IF((I173-H$177+(H$177/12*6))+K173&gt;I$197,I$197-K173,(I173-H$177+(H$177/12*6)))</f>
        <v>9284.8798143024032</v>
      </c>
      <c r="K173" s="108">
        <f t="shared" si="103"/>
        <v>8719.2410256151761</v>
      </c>
      <c r="L173" s="46">
        <f t="shared" si="114"/>
        <v>18004.120839917581</v>
      </c>
      <c r="M173" s="43">
        <f t="shared" si="115"/>
        <v>8820.6358235872831</v>
      </c>
      <c r="N173" s="108">
        <f t="shared" si="116"/>
        <v>8283.2789743344165</v>
      </c>
      <c r="O173" s="47">
        <f t="shared" si="117"/>
        <v>17103.914797921701</v>
      </c>
      <c r="P173" s="119">
        <f t="shared" si="102"/>
        <v>8356.3918328721629</v>
      </c>
      <c r="Q173" s="108">
        <f t="shared" si="118"/>
        <v>7847.3169230536587</v>
      </c>
      <c r="R173" s="46">
        <f t="shared" si="104"/>
        <v>16203.708755925822</v>
      </c>
      <c r="S173" s="43">
        <f t="shared" si="112"/>
        <v>7427.9038514419226</v>
      </c>
      <c r="T173" s="108">
        <f t="shared" si="119"/>
        <v>6975.3928204921413</v>
      </c>
      <c r="U173" s="47">
        <f t="shared" si="113"/>
        <v>14403.296671934064</v>
      </c>
      <c r="V173" s="45">
        <f t="shared" si="120"/>
        <v>6499.4158700116823</v>
      </c>
      <c r="W173" s="108">
        <f t="shared" si="121"/>
        <v>6103.4687179306229</v>
      </c>
      <c r="X173" s="46">
        <f t="shared" si="122"/>
        <v>12602.884587942306</v>
      </c>
      <c r="Y173" s="43">
        <f t="shared" si="123"/>
        <v>5570.9278885814419</v>
      </c>
      <c r="Z173" s="108">
        <f t="shared" si="124"/>
        <v>5231.5446153691055</v>
      </c>
      <c r="AA173" s="46">
        <f t="shared" si="125"/>
        <v>10802.472503950547</v>
      </c>
    </row>
    <row r="174" spans="1:27" ht="13.5" customHeight="1">
      <c r="A174" s="187">
        <v>5</v>
      </c>
      <c r="B174" s="50">
        <v>45139</v>
      </c>
      <c r="C174" s="61">
        <f>VLOOKUP(B174,'base(indices)'!$A$16:$C$183,3,FALSE)</f>
        <v>1320</v>
      </c>
      <c r="D174" s="192">
        <f>'base(indices)'!G167</f>
        <v>0.99999998000000001</v>
      </c>
      <c r="E174" s="54">
        <f t="shared" si="127"/>
        <v>1319.9999736</v>
      </c>
      <c r="F174" s="82">
        <f>'base(indices)'!I167</f>
        <v>0.1003</v>
      </c>
      <c r="G174" s="54">
        <f t="shared" si="109"/>
        <v>132.39599735208</v>
      </c>
      <c r="H174" s="267">
        <f t="shared" si="110"/>
        <v>1452.39597095208</v>
      </c>
      <c r="I174" s="277">
        <f t="shared" si="126"/>
        <v>8524.0318295193629</v>
      </c>
      <c r="J174" s="58">
        <f>IF((I174-H$177+(H$177/12*5))+K174&gt;I$197,I$197-K174,(I174-H$177+(H$177/12*5)))</f>
        <v>7700.7478459850427</v>
      </c>
      <c r="K174" s="91">
        <f t="shared" si="103"/>
        <v>8719.2410256151761</v>
      </c>
      <c r="L174" s="284">
        <f t="shared" si="114"/>
        <v>16419.988871600217</v>
      </c>
      <c r="M174" s="57">
        <f t="shared" si="115"/>
        <v>7315.7104536857905</v>
      </c>
      <c r="N174" s="91">
        <f t="shared" si="116"/>
        <v>8283.2789743344165</v>
      </c>
      <c r="O174" s="60">
        <f t="shared" si="117"/>
        <v>15598.989428020206</v>
      </c>
      <c r="P174" s="58">
        <f t="shared" si="102"/>
        <v>6930.6730613865384</v>
      </c>
      <c r="Q174" s="91">
        <f t="shared" si="118"/>
        <v>7847.3169230536587</v>
      </c>
      <c r="R174" s="59">
        <f t="shared" si="104"/>
        <v>14777.989984440197</v>
      </c>
      <c r="S174" s="57">
        <f t="shared" si="112"/>
        <v>6160.5982767880341</v>
      </c>
      <c r="T174" s="91">
        <f t="shared" si="119"/>
        <v>6975.3928204921413</v>
      </c>
      <c r="U174" s="60">
        <f t="shared" si="113"/>
        <v>13135.991097280175</v>
      </c>
      <c r="V174" s="58">
        <f t="shared" si="120"/>
        <v>5390.5234921895299</v>
      </c>
      <c r="W174" s="91">
        <f t="shared" si="121"/>
        <v>6103.4687179306229</v>
      </c>
      <c r="X174" s="59">
        <f t="shared" si="122"/>
        <v>11493.992210120152</v>
      </c>
      <c r="Y174" s="57">
        <f t="shared" si="123"/>
        <v>4620.4487075910256</v>
      </c>
      <c r="Z174" s="91">
        <f t="shared" si="124"/>
        <v>5231.5446153691055</v>
      </c>
      <c r="AA174" s="59">
        <f t="shared" si="125"/>
        <v>9851.9933229601302</v>
      </c>
    </row>
    <row r="175" spans="1:27" ht="13.5" customHeight="1">
      <c r="A175" s="187">
        <v>4</v>
      </c>
      <c r="B175" s="40">
        <v>45170</v>
      </c>
      <c r="C175" s="61">
        <f>VLOOKUP(B175,'base(indices)'!$A$16:$C$183,3,FALSE)</f>
        <v>1320</v>
      </c>
      <c r="D175" s="192">
        <f>'base(indices)'!G168</f>
        <v>0.99999998000000001</v>
      </c>
      <c r="E175" s="63">
        <f t="shared" si="127"/>
        <v>1319.9999736</v>
      </c>
      <c r="F175" s="82">
        <f>'base(indices)'!I168</f>
        <v>8.8900000000000007E-2</v>
      </c>
      <c r="G175" s="63">
        <f t="shared" si="109"/>
        <v>117.34799765304001</v>
      </c>
      <c r="H175" s="268">
        <f t="shared" si="110"/>
        <v>1437.34797125304</v>
      </c>
      <c r="I175" s="278">
        <f t="shared" si="126"/>
        <v>7071.6358585672824</v>
      </c>
      <c r="J175" s="45">
        <f>IF((I175-H$177+(H$177/12*4))+K175&gt;I$197,I$197-K175,(I175-H$177+(H$177/12*4)))</f>
        <v>6130.7398773852028</v>
      </c>
      <c r="K175" s="108">
        <f t="shared" si="103"/>
        <v>8719.2410256151761</v>
      </c>
      <c r="L175" s="46">
        <f t="shared" si="114"/>
        <v>14849.980903000378</v>
      </c>
      <c r="M175" s="43">
        <f t="shared" si="115"/>
        <v>5824.2028835159426</v>
      </c>
      <c r="N175" s="108">
        <f t="shared" si="116"/>
        <v>8283.2789743344165</v>
      </c>
      <c r="O175" s="47">
        <f t="shared" si="117"/>
        <v>14107.481857850358</v>
      </c>
      <c r="P175" s="119">
        <f t="shared" si="102"/>
        <v>5517.6658896466824</v>
      </c>
      <c r="Q175" s="108">
        <f t="shared" si="118"/>
        <v>7847.3169230536587</v>
      </c>
      <c r="R175" s="46">
        <f t="shared" si="104"/>
        <v>13364.982812700342</v>
      </c>
      <c r="S175" s="43">
        <f t="shared" si="112"/>
        <v>4904.5919019081621</v>
      </c>
      <c r="T175" s="108">
        <f t="shared" si="119"/>
        <v>6975.3928204921413</v>
      </c>
      <c r="U175" s="47">
        <f t="shared" si="113"/>
        <v>11879.984722400302</v>
      </c>
      <c r="V175" s="45">
        <f t="shared" si="120"/>
        <v>4291.5179141696417</v>
      </c>
      <c r="W175" s="108">
        <f t="shared" si="121"/>
        <v>6103.4687179306229</v>
      </c>
      <c r="X175" s="46">
        <f t="shared" si="122"/>
        <v>10394.986632100265</v>
      </c>
      <c r="Y175" s="43">
        <f t="shared" si="123"/>
        <v>3678.4439264311218</v>
      </c>
      <c r="Z175" s="108">
        <f t="shared" si="124"/>
        <v>5231.5446153691055</v>
      </c>
      <c r="AA175" s="46">
        <f t="shared" si="125"/>
        <v>8909.9885418002268</v>
      </c>
    </row>
    <row r="176" spans="1:27" ht="13.5" customHeight="1">
      <c r="A176" s="187">
        <v>3</v>
      </c>
      <c r="B176" s="50">
        <v>45200</v>
      </c>
      <c r="C176" s="61">
        <f>VLOOKUP(B176,'base(indices)'!$A$16:$C$183,3,FALSE)</f>
        <v>1320</v>
      </c>
      <c r="D176" s="192">
        <f>'base(indices)'!G169</f>
        <v>0.99999998000000001</v>
      </c>
      <c r="E176" s="54">
        <f t="shared" si="127"/>
        <v>1319.9999736</v>
      </c>
      <c r="F176" s="82">
        <f>'base(indices)'!I169</f>
        <v>7.9200000000000007E-2</v>
      </c>
      <c r="G176" s="54">
        <f t="shared" si="109"/>
        <v>104.54399790912001</v>
      </c>
      <c r="H176" s="267">
        <f t="shared" si="110"/>
        <v>1424.54397150912</v>
      </c>
      <c r="I176" s="277">
        <f t="shared" si="126"/>
        <v>5634.2878873142427</v>
      </c>
      <c r="J176" s="58">
        <f>IF((I176-H$177+(H$177/12*3))+K176&gt;I$197,I$197-K176,(I176-H$177+(H$177/12*3)))</f>
        <v>4575.7799084844028</v>
      </c>
      <c r="K176" s="91">
        <f t="shared" si="103"/>
        <v>8719.2410256151761</v>
      </c>
      <c r="L176" s="284">
        <f t="shared" si="114"/>
        <v>13295.020934099579</v>
      </c>
      <c r="M176" s="57">
        <f t="shared" si="115"/>
        <v>4346.9909130601827</v>
      </c>
      <c r="N176" s="91">
        <f t="shared" si="116"/>
        <v>8283.2789743344165</v>
      </c>
      <c r="O176" s="60">
        <f t="shared" si="117"/>
        <v>12630.269887394599</v>
      </c>
      <c r="P176" s="58">
        <f t="shared" si="102"/>
        <v>4118.2019176359627</v>
      </c>
      <c r="Q176" s="91">
        <f t="shared" si="118"/>
        <v>7847.3169230536587</v>
      </c>
      <c r="R176" s="59">
        <f t="shared" si="104"/>
        <v>11965.518840689621</v>
      </c>
      <c r="S176" s="57">
        <f t="shared" si="112"/>
        <v>3660.6239267875226</v>
      </c>
      <c r="T176" s="91">
        <f t="shared" si="119"/>
        <v>6975.3928204921413</v>
      </c>
      <c r="U176" s="60">
        <f t="shared" si="113"/>
        <v>10636.016747279664</v>
      </c>
      <c r="V176" s="58">
        <f t="shared" si="120"/>
        <v>3203.0459359390816</v>
      </c>
      <c r="W176" s="91">
        <f t="shared" si="121"/>
        <v>6103.4687179306229</v>
      </c>
      <c r="X176" s="59">
        <f t="shared" si="122"/>
        <v>9306.5146538697045</v>
      </c>
      <c r="Y176" s="57">
        <f t="shared" si="123"/>
        <v>2745.4679450906415</v>
      </c>
      <c r="Z176" s="91">
        <f t="shared" si="124"/>
        <v>5231.5446153691055</v>
      </c>
      <c r="AA176" s="59">
        <f t="shared" si="125"/>
        <v>7977.012560459747</v>
      </c>
    </row>
    <row r="177" spans="1:35" ht="13.5" customHeight="1">
      <c r="A177" s="187">
        <v>2</v>
      </c>
      <c r="B177" s="40">
        <v>45231</v>
      </c>
      <c r="C177" s="61">
        <f>VLOOKUP(B177,'base(indices)'!$A$16:$C$183,3,FALSE)</f>
        <v>1320</v>
      </c>
      <c r="D177" s="192">
        <f>'base(indices)'!G170</f>
        <v>0.99999998000000001</v>
      </c>
      <c r="E177" s="63">
        <f t="shared" si="127"/>
        <v>1319.9999736</v>
      </c>
      <c r="F177" s="82">
        <f>'base(indices)'!I170</f>
        <v>6.9199999999999998E-2</v>
      </c>
      <c r="G177" s="63">
        <f t="shared" si="109"/>
        <v>91.343998173119999</v>
      </c>
      <c r="H177" s="268">
        <f t="shared" si="110"/>
        <v>1411.3439717731201</v>
      </c>
      <c r="I177" s="278">
        <f t="shared" si="126"/>
        <v>4209.7439158051229</v>
      </c>
      <c r="J177" s="45">
        <f>IF((I177-H$177+(H$177/12*2))+K177&gt;I$197,I$197-K177,(I177-H$177+(H$177/12*2)))</f>
        <v>3033.6239393275232</v>
      </c>
      <c r="K177" s="108">
        <f t="shared" si="103"/>
        <v>8719.2410256151761</v>
      </c>
      <c r="L177" s="46">
        <f t="shared" si="114"/>
        <v>11752.864964942699</v>
      </c>
      <c r="M177" s="43">
        <f t="shared" si="115"/>
        <v>2881.9427423611469</v>
      </c>
      <c r="N177" s="108">
        <f t="shared" si="116"/>
        <v>8283.2789743344165</v>
      </c>
      <c r="O177" s="47">
        <f t="shared" si="117"/>
        <v>11165.221716695563</v>
      </c>
      <c r="P177" s="119">
        <f t="shared" si="102"/>
        <v>2730.261545394771</v>
      </c>
      <c r="Q177" s="108">
        <f t="shared" si="118"/>
        <v>7847.3169230536587</v>
      </c>
      <c r="R177" s="46">
        <f t="shared" si="104"/>
        <v>10577.57846844843</v>
      </c>
      <c r="S177" s="43">
        <f t="shared" si="112"/>
        <v>2426.8991514620188</v>
      </c>
      <c r="T177" s="108">
        <f t="shared" si="119"/>
        <v>6975.3928204921413</v>
      </c>
      <c r="U177" s="47">
        <f t="shared" si="113"/>
        <v>9402.2919719541605</v>
      </c>
      <c r="V177" s="45">
        <f t="shared" si="120"/>
        <v>2123.5367575292662</v>
      </c>
      <c r="W177" s="108">
        <f t="shared" si="121"/>
        <v>6103.4687179306229</v>
      </c>
      <c r="X177" s="46">
        <f t="shared" si="122"/>
        <v>8227.0054754598896</v>
      </c>
      <c r="Y177" s="43">
        <f t="shared" si="123"/>
        <v>1820.1743635965138</v>
      </c>
      <c r="Z177" s="108">
        <f t="shared" si="124"/>
        <v>5231.5446153691055</v>
      </c>
      <c r="AA177" s="46">
        <f t="shared" si="125"/>
        <v>7051.7189789656195</v>
      </c>
    </row>
    <row r="178" spans="1:35" ht="13.5" customHeight="1" thickBot="1">
      <c r="A178" s="188">
        <v>1</v>
      </c>
      <c r="B178" s="50">
        <v>45261</v>
      </c>
      <c r="C178" s="69">
        <f>VLOOKUP(B178,'base(indices)'!$A$16:$C$183,3,FALSE)*2</f>
        <v>2640</v>
      </c>
      <c r="D178" s="335">
        <f>'base(indices)'!G171</f>
        <v>0.99999998000000001</v>
      </c>
      <c r="E178" s="163">
        <f t="shared" si="127"/>
        <v>2639.9999472</v>
      </c>
      <c r="F178" s="304">
        <f>'base(indices)'!I171</f>
        <v>0.06</v>
      </c>
      <c r="G178" s="163">
        <f t="shared" si="109"/>
        <v>158.399996832</v>
      </c>
      <c r="H178" s="355">
        <f t="shared" si="110"/>
        <v>2798.3999440319999</v>
      </c>
      <c r="I178" s="280">
        <f t="shared" si="126"/>
        <v>2798.3999440320031</v>
      </c>
      <c r="J178" s="285">
        <f>IF(((I178/2)+H$177/12*1)+K178&gt;I$197,I$197-K178,((I178/2)+H$177/12*1))</f>
        <v>1516.8119696637616</v>
      </c>
      <c r="K178" s="86">
        <f t="shared" si="103"/>
        <v>8719.2410256151761</v>
      </c>
      <c r="L178" s="287">
        <f t="shared" si="114"/>
        <v>10236.052995278938</v>
      </c>
      <c r="M178" s="85">
        <f t="shared" si="115"/>
        <v>1440.9713711805734</v>
      </c>
      <c r="N178" s="86">
        <f t="shared" si="116"/>
        <v>8283.2789743344165</v>
      </c>
      <c r="O178" s="107">
        <f t="shared" si="117"/>
        <v>9724.250345514989</v>
      </c>
      <c r="P178" s="175">
        <f t="shared" si="102"/>
        <v>1365.1307726973855</v>
      </c>
      <c r="Q178" s="86">
        <f t="shared" si="118"/>
        <v>7847.3169230536587</v>
      </c>
      <c r="R178" s="165">
        <f t="shared" si="104"/>
        <v>9212.4476957510451</v>
      </c>
      <c r="S178" s="85">
        <f t="shared" si="112"/>
        <v>1213.4495757310094</v>
      </c>
      <c r="T178" s="86">
        <f t="shared" si="119"/>
        <v>6975.3928204921413</v>
      </c>
      <c r="U178" s="107">
        <f t="shared" si="113"/>
        <v>8188.8423962231509</v>
      </c>
      <c r="V178" s="175">
        <f t="shared" si="120"/>
        <v>1061.7683787646331</v>
      </c>
      <c r="W178" s="86">
        <f t="shared" si="121"/>
        <v>6103.4687179306229</v>
      </c>
      <c r="X178" s="165">
        <f t="shared" si="122"/>
        <v>7165.2370966952558</v>
      </c>
      <c r="Y178" s="85">
        <f t="shared" si="123"/>
        <v>910.08718179825689</v>
      </c>
      <c r="Z178" s="86">
        <f t="shared" si="124"/>
        <v>5231.5446153691055</v>
      </c>
      <c r="AA178" s="165">
        <f t="shared" si="125"/>
        <v>6141.6317971673625</v>
      </c>
    </row>
    <row r="179" spans="1:35" ht="13.5" customHeight="1" thickBot="1">
      <c r="A179" s="171"/>
      <c r="B179" s="172" t="s">
        <v>24</v>
      </c>
      <c r="C179" s="172"/>
      <c r="D179" s="376"/>
      <c r="E179" s="174"/>
      <c r="F179" s="437">
        <f>Y7</f>
        <v>45474</v>
      </c>
      <c r="G179" s="437"/>
      <c r="H179" s="377"/>
      <c r="I179" s="451">
        <f>SUM(H11:H178)</f>
        <v>298755.41982503497</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5.11E-2</v>
      </c>
      <c r="G182" s="78">
        <f t="shared" ref="G182:G193" si="128">E182*F182</f>
        <v>72.153198556936005</v>
      </c>
      <c r="H182" s="80">
        <f>E182+G182</f>
        <v>1484.1531703169362</v>
      </c>
      <c r="I182" s="81">
        <f>I196</f>
        <v>8719.2410256151761</v>
      </c>
      <c r="J182" s="114">
        <v>0</v>
      </c>
      <c r="K182" s="90">
        <f t="shared" ref="K182:K192" si="129">I182</f>
        <v>8719.2410256151761</v>
      </c>
      <c r="L182" s="112">
        <f t="shared" ref="L182:L192" si="130">J182+K182</f>
        <v>8719.2410256151761</v>
      </c>
      <c r="M182" s="48">
        <f>$J182*M$9</f>
        <v>0</v>
      </c>
      <c r="N182" s="109">
        <f>$K182*M$9</f>
        <v>8283.2789743344165</v>
      </c>
      <c r="O182" s="49">
        <f>M182+N182</f>
        <v>8283.2789743344165</v>
      </c>
      <c r="P182" s="138">
        <f>$J182*P$9</f>
        <v>0</v>
      </c>
      <c r="Q182" s="138">
        <f>$K182*P$9</f>
        <v>7847.3169230536587</v>
      </c>
      <c r="R182" s="139">
        <f>P182+Q182</f>
        <v>7847.3169230536587</v>
      </c>
      <c r="S182" s="48">
        <f>$J182*S$9</f>
        <v>0</v>
      </c>
      <c r="T182" s="109">
        <f>$K182*S$9</f>
        <v>6975.3928204921413</v>
      </c>
      <c r="U182" s="49">
        <f>S182+T182</f>
        <v>6975.3928204921413</v>
      </c>
      <c r="V182" s="48">
        <f>$J182*V$9</f>
        <v>0</v>
      </c>
      <c r="W182" s="138">
        <f>$K182*V$9</f>
        <v>6103.4687179306229</v>
      </c>
      <c r="X182" s="49">
        <f>V182+W182</f>
        <v>6103.4687179306229</v>
      </c>
      <c r="Y182" s="48">
        <f>$J182*Y$9</f>
        <v>0</v>
      </c>
      <c r="Z182" s="138">
        <f>$K182*Y$9</f>
        <v>5231.5446153691055</v>
      </c>
      <c r="AA182" s="49">
        <f>Y182+Z182</f>
        <v>5231.5446153691055</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4.1399999999999999E-2</v>
      </c>
      <c r="G183" s="54">
        <f t="shared" si="128"/>
        <v>58.456798830864003</v>
      </c>
      <c r="H183" s="55">
        <f>E183+G183</f>
        <v>1470.4567705908642</v>
      </c>
      <c r="I183" s="56">
        <f t="shared" ref="I183:I193" si="131">I182-H182</f>
        <v>7235.0878552982394</v>
      </c>
      <c r="J183" s="57">
        <v>0</v>
      </c>
      <c r="K183" s="91">
        <f t="shared" si="129"/>
        <v>7235.0878552982394</v>
      </c>
      <c r="L183" s="113">
        <f t="shared" si="130"/>
        <v>7235.0878552982394</v>
      </c>
      <c r="M183" s="58">
        <f t="shared" ref="M183:M193" si="132">$J183*M$9</f>
        <v>0</v>
      </c>
      <c r="N183" s="91">
        <f t="shared" ref="N183:N188" si="133">$K183*M$9</f>
        <v>6873.3334625333273</v>
      </c>
      <c r="O183" s="59">
        <f t="shared" ref="O183:O188" si="134">M183+N183</f>
        <v>6873.3334625333273</v>
      </c>
      <c r="P183" s="57">
        <f t="shared" ref="P183:P193" si="135">$J183*P$9</f>
        <v>0</v>
      </c>
      <c r="Q183" s="57">
        <f t="shared" ref="Q183:Q188" si="136">$K183*P$9</f>
        <v>6511.579069768416</v>
      </c>
      <c r="R183" s="60">
        <f t="shared" ref="R183:R188" si="137">P183+Q183</f>
        <v>6511.579069768416</v>
      </c>
      <c r="S183" s="58">
        <f t="shared" ref="S183:S193" si="138">$J183*S$9</f>
        <v>0</v>
      </c>
      <c r="T183" s="91">
        <f t="shared" ref="T183:T188" si="139">$K183*S$9</f>
        <v>5788.0702842385917</v>
      </c>
      <c r="U183" s="59">
        <f t="shared" ref="U183:U188" si="140">S183+T183</f>
        <v>5788.0702842385917</v>
      </c>
      <c r="V183" s="58">
        <f t="shared" ref="V183:V193" si="141">$J183*V$9</f>
        <v>0</v>
      </c>
      <c r="W183" s="57">
        <f t="shared" ref="W183:W188" si="142">$K183*V$9</f>
        <v>5064.5614987087674</v>
      </c>
      <c r="X183" s="59">
        <f t="shared" ref="X183:X188" si="143">V183+W183</f>
        <v>5064.5614987087674</v>
      </c>
      <c r="Y183" s="58">
        <f t="shared" ref="Y183:Y193" si="144">$J183*Y$9</f>
        <v>0</v>
      </c>
      <c r="Z183" s="57">
        <f t="shared" ref="Z183:Z192" si="145">$K183*Y$9</f>
        <v>4341.0527131789431</v>
      </c>
      <c r="AA183" s="59">
        <f t="shared" ref="AA183:AA192" si="146">Y183+Z183</f>
        <v>4341.0527131789431</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3.3399999999999999E-2</v>
      </c>
      <c r="G184" s="63">
        <f t="shared" si="128"/>
        <v>47.160799056784001</v>
      </c>
      <c r="H184" s="64">
        <f>E184+G184</f>
        <v>1459.1607708167842</v>
      </c>
      <c r="I184" s="65">
        <f t="shared" si="131"/>
        <v>5764.6310847073755</v>
      </c>
      <c r="J184" s="66">
        <v>0</v>
      </c>
      <c r="K184" s="93">
        <f t="shared" si="129"/>
        <v>5764.6310847073755</v>
      </c>
      <c r="L184" s="115">
        <f>J184+K184</f>
        <v>5764.6310847073755</v>
      </c>
      <c r="M184" s="45">
        <f t="shared" si="132"/>
        <v>0</v>
      </c>
      <c r="N184" s="108">
        <f t="shared" si="133"/>
        <v>5476.3995304720065</v>
      </c>
      <c r="O184" s="46">
        <f t="shared" si="134"/>
        <v>5476.3995304720065</v>
      </c>
      <c r="P184" s="43">
        <f t="shared" si="135"/>
        <v>0</v>
      </c>
      <c r="Q184" s="43">
        <f t="shared" si="136"/>
        <v>5188.1679762366384</v>
      </c>
      <c r="R184" s="47">
        <f t="shared" si="137"/>
        <v>5188.1679762366384</v>
      </c>
      <c r="S184" s="45">
        <f t="shared" si="138"/>
        <v>0</v>
      </c>
      <c r="T184" s="108">
        <f t="shared" si="139"/>
        <v>4611.7048677659004</v>
      </c>
      <c r="U184" s="46">
        <f t="shared" si="140"/>
        <v>4611.7048677659004</v>
      </c>
      <c r="V184" s="45">
        <f t="shared" si="141"/>
        <v>0</v>
      </c>
      <c r="W184" s="43">
        <f t="shared" si="142"/>
        <v>4035.2417592951624</v>
      </c>
      <c r="X184" s="46">
        <f t="shared" si="143"/>
        <v>4035.2417592951624</v>
      </c>
      <c r="Y184" s="45">
        <f t="shared" si="144"/>
        <v>0</v>
      </c>
      <c r="Z184" s="43">
        <f t="shared" si="145"/>
        <v>3458.7786508244253</v>
      </c>
      <c r="AA184" s="46">
        <f t="shared" si="146"/>
        <v>3458.7786508244253</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2.5100000000000001E-2</v>
      </c>
      <c r="G185" s="54">
        <f t="shared" si="128"/>
        <v>35.441199291176005</v>
      </c>
      <c r="H185" s="55">
        <f t="shared" ref="H185:H193" si="147">E185+G185</f>
        <v>1447.4411710511761</v>
      </c>
      <c r="I185" s="56">
        <f t="shared" si="131"/>
        <v>4305.4703138905916</v>
      </c>
      <c r="J185" s="57">
        <v>0</v>
      </c>
      <c r="K185" s="91">
        <f t="shared" si="129"/>
        <v>4305.4703138905916</v>
      </c>
      <c r="L185" s="113">
        <f t="shared" si="130"/>
        <v>4305.4703138905916</v>
      </c>
      <c r="M185" s="58">
        <f t="shared" si="132"/>
        <v>0</v>
      </c>
      <c r="N185" s="91">
        <f t="shared" si="133"/>
        <v>4090.196798196062</v>
      </c>
      <c r="O185" s="59">
        <f t="shared" si="134"/>
        <v>4090.196798196062</v>
      </c>
      <c r="P185" s="57">
        <f t="shared" si="135"/>
        <v>0</v>
      </c>
      <c r="Q185" s="57">
        <f t="shared" si="136"/>
        <v>3874.9232825015324</v>
      </c>
      <c r="R185" s="60">
        <f t="shared" si="137"/>
        <v>3874.9232825015324</v>
      </c>
      <c r="S185" s="58">
        <f t="shared" si="138"/>
        <v>0</v>
      </c>
      <c r="T185" s="91">
        <f t="shared" si="139"/>
        <v>3444.3762511124733</v>
      </c>
      <c r="U185" s="59">
        <f t="shared" si="140"/>
        <v>3444.3762511124733</v>
      </c>
      <c r="V185" s="58">
        <f t="shared" si="141"/>
        <v>0</v>
      </c>
      <c r="W185" s="57">
        <f t="shared" si="142"/>
        <v>3013.8292197234141</v>
      </c>
      <c r="X185" s="59">
        <f t="shared" si="143"/>
        <v>3013.8292197234141</v>
      </c>
      <c r="Y185" s="58">
        <f t="shared" si="144"/>
        <v>0</v>
      </c>
      <c r="Z185" s="57">
        <f t="shared" si="145"/>
        <v>2583.2821883343549</v>
      </c>
      <c r="AA185" s="59">
        <f t="shared" si="146"/>
        <v>2583.2821883343549</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1.6199999999999999E-2</v>
      </c>
      <c r="G186" s="63">
        <f t="shared" si="128"/>
        <v>22.874399542512002</v>
      </c>
      <c r="H186" s="64">
        <f t="shared" si="147"/>
        <v>1434.8743713025121</v>
      </c>
      <c r="I186" s="83">
        <f t="shared" si="131"/>
        <v>2858.0291428394157</v>
      </c>
      <c r="J186" s="66">
        <v>0</v>
      </c>
      <c r="K186" s="93">
        <f t="shared" si="129"/>
        <v>2858.0291428394157</v>
      </c>
      <c r="L186" s="115">
        <f t="shared" si="130"/>
        <v>2858.0291428394157</v>
      </c>
      <c r="M186" s="45">
        <f t="shared" si="132"/>
        <v>0</v>
      </c>
      <c r="N186" s="108">
        <f t="shared" si="133"/>
        <v>2715.127685697445</v>
      </c>
      <c r="O186" s="46">
        <f t="shared" si="134"/>
        <v>2715.127685697445</v>
      </c>
      <c r="P186" s="43">
        <f t="shared" si="135"/>
        <v>0</v>
      </c>
      <c r="Q186" s="43">
        <f t="shared" si="136"/>
        <v>2572.2262285554743</v>
      </c>
      <c r="R186" s="47">
        <f t="shared" si="137"/>
        <v>2572.2262285554743</v>
      </c>
      <c r="S186" s="45">
        <f t="shared" si="138"/>
        <v>0</v>
      </c>
      <c r="T186" s="108">
        <f t="shared" si="139"/>
        <v>2286.4233142715325</v>
      </c>
      <c r="U186" s="46">
        <f t="shared" si="140"/>
        <v>2286.4233142715325</v>
      </c>
      <c r="V186" s="45">
        <f t="shared" si="141"/>
        <v>0</v>
      </c>
      <c r="W186" s="43">
        <f t="shared" si="142"/>
        <v>2000.6203999875909</v>
      </c>
      <c r="X186" s="46">
        <f t="shared" si="143"/>
        <v>2000.6203999875909</v>
      </c>
      <c r="Y186" s="45">
        <f t="shared" si="144"/>
        <v>0</v>
      </c>
      <c r="Z186" s="43">
        <f t="shared" si="145"/>
        <v>1714.8174857036495</v>
      </c>
      <c r="AA186" s="46">
        <f t="shared" si="146"/>
        <v>1714.8174857036495</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48">C187*D187</f>
        <v>1411.9999717600001</v>
      </c>
      <c r="F187" s="53">
        <f>'base(indices)'!I177</f>
        <v>7.9000000000000008E-3</v>
      </c>
      <c r="G187" s="54">
        <f t="shared" si="128"/>
        <v>11.154799776904001</v>
      </c>
      <c r="H187" s="55">
        <f t="shared" si="147"/>
        <v>1423.154771536904</v>
      </c>
      <c r="I187" s="56">
        <f t="shared" si="131"/>
        <v>1423.1547715369036</v>
      </c>
      <c r="J187" s="57">
        <v>0</v>
      </c>
      <c r="K187" s="91">
        <f t="shared" si="129"/>
        <v>1423.1547715369036</v>
      </c>
      <c r="L187" s="113">
        <f t="shared" si="130"/>
        <v>1423.1547715369036</v>
      </c>
      <c r="M187" s="58">
        <f t="shared" si="132"/>
        <v>0</v>
      </c>
      <c r="N187" s="91">
        <f t="shared" si="133"/>
        <v>1351.9970329600583</v>
      </c>
      <c r="O187" s="59">
        <f t="shared" si="134"/>
        <v>1351.9970329600583</v>
      </c>
      <c r="P187" s="57">
        <f t="shared" si="135"/>
        <v>0</v>
      </c>
      <c r="Q187" s="57">
        <f t="shared" si="136"/>
        <v>1280.8392943832132</v>
      </c>
      <c r="R187" s="60">
        <f t="shared" si="137"/>
        <v>1280.8392943832132</v>
      </c>
      <c r="S187" s="58">
        <f t="shared" si="138"/>
        <v>0</v>
      </c>
      <c r="T187" s="91">
        <f t="shared" si="139"/>
        <v>1138.5238172295228</v>
      </c>
      <c r="U187" s="59">
        <f t="shared" si="140"/>
        <v>1138.5238172295228</v>
      </c>
      <c r="V187" s="58">
        <f t="shared" si="141"/>
        <v>0</v>
      </c>
      <c r="W187" s="57">
        <f t="shared" si="142"/>
        <v>996.20834007583244</v>
      </c>
      <c r="X187" s="59">
        <f t="shared" si="143"/>
        <v>996.20834007583244</v>
      </c>
      <c r="Y187" s="58">
        <f t="shared" si="144"/>
        <v>0</v>
      </c>
      <c r="Z187" s="57">
        <f t="shared" si="145"/>
        <v>853.89286292214217</v>
      </c>
      <c r="AA187" s="59">
        <f t="shared" si="146"/>
        <v>853.89286292214217</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v>
      </c>
      <c r="E188" s="63">
        <f t="shared" si="148"/>
        <v>0</v>
      </c>
      <c r="F188" s="53">
        <f>'base(indices)'!I178</f>
        <v>0</v>
      </c>
      <c r="G188" s="63">
        <f t="shared" si="128"/>
        <v>0</v>
      </c>
      <c r="H188" s="55">
        <f t="shared" si="147"/>
        <v>0</v>
      </c>
      <c r="I188" s="65">
        <f t="shared" si="131"/>
        <v>0</v>
      </c>
      <c r="J188" s="66">
        <v>0</v>
      </c>
      <c r="K188" s="93">
        <f t="shared" si="129"/>
        <v>0</v>
      </c>
      <c r="L188" s="115">
        <f t="shared" si="130"/>
        <v>0</v>
      </c>
      <c r="M188" s="45">
        <f t="shared" si="132"/>
        <v>0</v>
      </c>
      <c r="N188" s="108">
        <f t="shared" si="133"/>
        <v>0</v>
      </c>
      <c r="O188" s="46">
        <f t="shared" si="134"/>
        <v>0</v>
      </c>
      <c r="P188" s="43">
        <f t="shared" si="135"/>
        <v>0</v>
      </c>
      <c r="Q188" s="43">
        <f t="shared" si="136"/>
        <v>0</v>
      </c>
      <c r="R188" s="47">
        <f t="shared" si="137"/>
        <v>0</v>
      </c>
      <c r="S188" s="45">
        <f t="shared" si="138"/>
        <v>0</v>
      </c>
      <c r="T188" s="108">
        <f t="shared" si="139"/>
        <v>0</v>
      </c>
      <c r="U188" s="46">
        <f t="shared" si="140"/>
        <v>0</v>
      </c>
      <c r="V188" s="45">
        <f t="shared" si="141"/>
        <v>0</v>
      </c>
      <c r="W188" s="43">
        <f t="shared" si="142"/>
        <v>0</v>
      </c>
      <c r="X188" s="46">
        <f t="shared" si="143"/>
        <v>0</v>
      </c>
      <c r="Y188" s="45">
        <f t="shared" si="144"/>
        <v>0</v>
      </c>
      <c r="Z188" s="43">
        <f t="shared" si="145"/>
        <v>0</v>
      </c>
      <c r="AA188" s="46">
        <f t="shared" si="146"/>
        <v>0</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v>
      </c>
      <c r="E189" s="63">
        <f t="shared" si="148"/>
        <v>0</v>
      </c>
      <c r="F189" s="53">
        <f>'base(indices)'!I179</f>
        <v>0</v>
      </c>
      <c r="G189" s="63">
        <f t="shared" si="128"/>
        <v>0</v>
      </c>
      <c r="H189" s="55">
        <f t="shared" si="147"/>
        <v>0</v>
      </c>
      <c r="I189" s="56">
        <f t="shared" si="131"/>
        <v>0</v>
      </c>
      <c r="J189" s="57">
        <v>0</v>
      </c>
      <c r="K189" s="91">
        <f t="shared" si="129"/>
        <v>0</v>
      </c>
      <c r="L189" s="113">
        <f t="shared" si="130"/>
        <v>0</v>
      </c>
      <c r="M189" s="58">
        <f t="shared" si="132"/>
        <v>0</v>
      </c>
      <c r="N189" s="91">
        <f>$K189*M$9</f>
        <v>0</v>
      </c>
      <c r="O189" s="59">
        <f>M189+N189</f>
        <v>0</v>
      </c>
      <c r="P189" s="57">
        <f t="shared" si="135"/>
        <v>0</v>
      </c>
      <c r="Q189" s="57">
        <f>$K189*P$9</f>
        <v>0</v>
      </c>
      <c r="R189" s="60">
        <f>P189+Q189</f>
        <v>0</v>
      </c>
      <c r="S189" s="58">
        <f t="shared" si="138"/>
        <v>0</v>
      </c>
      <c r="T189" s="91">
        <f>$K189*S$9</f>
        <v>0</v>
      </c>
      <c r="U189" s="59">
        <f>S189+T189</f>
        <v>0</v>
      </c>
      <c r="V189" s="58">
        <f t="shared" si="141"/>
        <v>0</v>
      </c>
      <c r="W189" s="57">
        <f>$K189*V$9</f>
        <v>0</v>
      </c>
      <c r="X189" s="59">
        <f>V189+W189</f>
        <v>0</v>
      </c>
      <c r="Y189" s="58">
        <f t="shared" si="144"/>
        <v>0</v>
      </c>
      <c r="Z189" s="57">
        <f t="shared" si="145"/>
        <v>0</v>
      </c>
      <c r="AA189" s="59">
        <f t="shared" si="146"/>
        <v>0</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v>
      </c>
      <c r="E190" s="63">
        <f t="shared" si="148"/>
        <v>0</v>
      </c>
      <c r="F190" s="53">
        <f>'base(indices)'!I180</f>
        <v>0</v>
      </c>
      <c r="G190" s="63">
        <f t="shared" si="128"/>
        <v>0</v>
      </c>
      <c r="H190" s="55">
        <f t="shared" si="147"/>
        <v>0</v>
      </c>
      <c r="I190" s="65">
        <f t="shared" si="131"/>
        <v>0</v>
      </c>
      <c r="J190" s="66">
        <v>0</v>
      </c>
      <c r="K190" s="93">
        <f t="shared" si="129"/>
        <v>0</v>
      </c>
      <c r="L190" s="115">
        <f t="shared" si="130"/>
        <v>0</v>
      </c>
      <c r="M190" s="45">
        <f t="shared" si="132"/>
        <v>0</v>
      </c>
      <c r="N190" s="108">
        <f>$K190*M$9</f>
        <v>0</v>
      </c>
      <c r="O190" s="46">
        <f>M190+N190</f>
        <v>0</v>
      </c>
      <c r="P190" s="43">
        <f t="shared" si="135"/>
        <v>0</v>
      </c>
      <c r="Q190" s="43">
        <f>$K190*P$9</f>
        <v>0</v>
      </c>
      <c r="R190" s="47">
        <f>P190+Q190</f>
        <v>0</v>
      </c>
      <c r="S190" s="45">
        <f t="shared" si="138"/>
        <v>0</v>
      </c>
      <c r="T190" s="108">
        <f>$K190*S$9</f>
        <v>0</v>
      </c>
      <c r="U190" s="46">
        <f>S190+T190</f>
        <v>0</v>
      </c>
      <c r="V190" s="45">
        <f t="shared" si="141"/>
        <v>0</v>
      </c>
      <c r="W190" s="43">
        <f>$K190*V$9</f>
        <v>0</v>
      </c>
      <c r="X190" s="46">
        <f>V190+W190</f>
        <v>0</v>
      </c>
      <c r="Y190" s="45">
        <f t="shared" si="144"/>
        <v>0</v>
      </c>
      <c r="Z190" s="43">
        <f t="shared" si="145"/>
        <v>0</v>
      </c>
      <c r="AA190" s="46">
        <f t="shared" si="146"/>
        <v>0</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v>
      </c>
      <c r="E191" s="63">
        <f t="shared" si="148"/>
        <v>0</v>
      </c>
      <c r="F191" s="53">
        <f>'base(indices)'!I181</f>
        <v>0</v>
      </c>
      <c r="G191" s="63">
        <f t="shared" si="128"/>
        <v>0</v>
      </c>
      <c r="H191" s="55">
        <f t="shared" si="147"/>
        <v>0</v>
      </c>
      <c r="I191" s="56">
        <f t="shared" si="131"/>
        <v>0</v>
      </c>
      <c r="J191" s="57">
        <v>0</v>
      </c>
      <c r="K191" s="91">
        <f t="shared" si="129"/>
        <v>0</v>
      </c>
      <c r="L191" s="113">
        <f t="shared" si="130"/>
        <v>0</v>
      </c>
      <c r="M191" s="58">
        <f t="shared" si="132"/>
        <v>0</v>
      </c>
      <c r="N191" s="91">
        <f>$K191*M$9</f>
        <v>0</v>
      </c>
      <c r="O191" s="59">
        <f>M191+N191</f>
        <v>0</v>
      </c>
      <c r="P191" s="57">
        <f t="shared" si="135"/>
        <v>0</v>
      </c>
      <c r="Q191" s="57">
        <f>$K191*P$9</f>
        <v>0</v>
      </c>
      <c r="R191" s="60">
        <f>P191+Q191</f>
        <v>0</v>
      </c>
      <c r="S191" s="58">
        <f t="shared" si="138"/>
        <v>0</v>
      </c>
      <c r="T191" s="91">
        <f>$K191*S$9</f>
        <v>0</v>
      </c>
      <c r="U191" s="59">
        <f>S191+T191</f>
        <v>0</v>
      </c>
      <c r="V191" s="58">
        <f t="shared" si="141"/>
        <v>0</v>
      </c>
      <c r="W191" s="57">
        <f>$K191*V$9</f>
        <v>0</v>
      </c>
      <c r="X191" s="59">
        <f>V191+W191</f>
        <v>0</v>
      </c>
      <c r="Y191" s="58">
        <f t="shared" si="144"/>
        <v>0</v>
      </c>
      <c r="Z191" s="57">
        <f t="shared" si="145"/>
        <v>0</v>
      </c>
      <c r="AA191" s="59">
        <f t="shared" si="146"/>
        <v>0</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48"/>
        <v>0</v>
      </c>
      <c r="F192" s="53">
        <f>'base(indices)'!I182</f>
        <v>0</v>
      </c>
      <c r="G192" s="63">
        <f t="shared" si="128"/>
        <v>0</v>
      </c>
      <c r="H192" s="55">
        <f t="shared" si="147"/>
        <v>0</v>
      </c>
      <c r="I192" s="65">
        <f t="shared" si="131"/>
        <v>0</v>
      </c>
      <c r="J192" s="66">
        <v>0</v>
      </c>
      <c r="K192" s="93">
        <f t="shared" si="129"/>
        <v>0</v>
      </c>
      <c r="L192" s="115">
        <f t="shared" si="130"/>
        <v>0</v>
      </c>
      <c r="M192" s="45">
        <f t="shared" si="132"/>
        <v>0</v>
      </c>
      <c r="N192" s="108">
        <f>$K192*M$9</f>
        <v>0</v>
      </c>
      <c r="O192" s="46">
        <f>M192+N192</f>
        <v>0</v>
      </c>
      <c r="P192" s="43">
        <f t="shared" si="135"/>
        <v>0</v>
      </c>
      <c r="Q192" s="43">
        <f>$K192*P$9</f>
        <v>0</v>
      </c>
      <c r="R192" s="47">
        <f>P192+Q192</f>
        <v>0</v>
      </c>
      <c r="S192" s="45">
        <f t="shared" si="138"/>
        <v>0</v>
      </c>
      <c r="T192" s="108">
        <f>$K192*S$9</f>
        <v>0</v>
      </c>
      <c r="U192" s="46">
        <f>S192+T192</f>
        <v>0</v>
      </c>
      <c r="V192" s="45">
        <f t="shared" si="141"/>
        <v>0</v>
      </c>
      <c r="W192" s="43">
        <f>$K192*V$9</f>
        <v>0</v>
      </c>
      <c r="X192" s="46">
        <f>V192+W192</f>
        <v>0</v>
      </c>
      <c r="Y192" s="45">
        <f t="shared" si="144"/>
        <v>0</v>
      </c>
      <c r="Z192" s="43">
        <f t="shared" si="145"/>
        <v>0</v>
      </c>
      <c r="AA192" s="46">
        <f t="shared" si="146"/>
        <v>0</v>
      </c>
      <c r="AB192" s="16"/>
      <c r="AC192" s="16"/>
      <c r="AD192" s="16"/>
      <c r="AE192" s="16"/>
      <c r="AF192" s="16"/>
      <c r="AG192" s="17"/>
      <c r="AH192" s="16"/>
      <c r="AI192" s="16"/>
    </row>
    <row r="193" spans="1:37" ht="13.5" customHeight="1">
      <c r="A193" s="110">
        <v>12</v>
      </c>
      <c r="B193" s="50">
        <v>45627</v>
      </c>
      <c r="C193" s="61">
        <f>VLOOKUP(B193,'base(indices)'!$A$16:$C$183,3,FALSE)*2</f>
        <v>2824</v>
      </c>
      <c r="D193" s="192">
        <f>'base(indices)'!G183</f>
        <v>0</v>
      </c>
      <c r="E193" s="63">
        <f t="shared" si="148"/>
        <v>0</v>
      </c>
      <c r="F193" s="53">
        <f>'base(indices)'!I183</f>
        <v>0</v>
      </c>
      <c r="G193" s="63">
        <f t="shared" si="128"/>
        <v>0</v>
      </c>
      <c r="H193" s="55">
        <f t="shared" si="147"/>
        <v>0</v>
      </c>
      <c r="I193" s="56">
        <f t="shared" si="131"/>
        <v>0</v>
      </c>
      <c r="J193" s="57">
        <v>0</v>
      </c>
      <c r="K193" s="91">
        <f>I193</f>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40">
        <f>Y7</f>
        <v>45474</v>
      </c>
      <c r="G196" s="440"/>
      <c r="H196" s="440"/>
      <c r="I196" s="441">
        <f>SUM(H182:H195)</f>
        <v>8719.2410256151761</v>
      </c>
      <c r="J196" s="441"/>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P5:U5"/>
    <mergeCell ref="Y9:AA9"/>
    <mergeCell ref="F179:G179"/>
    <mergeCell ref="F196:H196"/>
    <mergeCell ref="I196:J196"/>
    <mergeCell ref="I9:I10"/>
    <mergeCell ref="J9:L9"/>
    <mergeCell ref="M9:O9"/>
    <mergeCell ref="P9:R9"/>
    <mergeCell ref="S9:U9"/>
    <mergeCell ref="V9:X9"/>
    <mergeCell ref="I8:J8"/>
    <mergeCell ref="F9:F10"/>
    <mergeCell ref="G9:G10"/>
    <mergeCell ref="H9:H10"/>
    <mergeCell ref="I179:J179"/>
    <mergeCell ref="Y7:AA7"/>
    <mergeCell ref="K7:U7"/>
    <mergeCell ref="A9:A10"/>
    <mergeCell ref="B9:B10"/>
    <mergeCell ref="C9:C10"/>
    <mergeCell ref="D9:D10"/>
    <mergeCell ref="E9:E10"/>
  </mergeCells>
  <conditionalFormatting sqref="H195:X195 F179:F181 E23:H34 B155:B166 B23:B106">
    <cfRule type="cellIs" dxfId="229" priority="116" stopIfTrue="1" operator="notEqual">
      <formula>""</formula>
    </cfRule>
  </conditionalFormatting>
  <conditionalFormatting sqref="D23:D34">
    <cfRule type="cellIs" dxfId="228" priority="115" stopIfTrue="1" operator="equal">
      <formula>"Total"</formula>
    </cfRule>
  </conditionalFormatting>
  <conditionalFormatting sqref="E182">
    <cfRule type="cellIs" dxfId="227" priority="112" stopIfTrue="1" operator="notEqual">
      <formula>""</formula>
    </cfRule>
  </conditionalFormatting>
  <conditionalFormatting sqref="E182">
    <cfRule type="cellIs" dxfId="226" priority="110" stopIfTrue="1" operator="notEqual">
      <formula>""</formula>
    </cfRule>
  </conditionalFormatting>
  <conditionalFormatting sqref="E182">
    <cfRule type="cellIs" dxfId="225" priority="111" stopIfTrue="1" operator="notEqual">
      <formula>""</formula>
    </cfRule>
  </conditionalFormatting>
  <conditionalFormatting sqref="F196">
    <cfRule type="cellIs" dxfId="224" priority="114" stopIfTrue="1" operator="notEqual">
      <formula>""</formula>
    </cfRule>
  </conditionalFormatting>
  <conditionalFormatting sqref="F196 E194:H194">
    <cfRule type="cellIs" dxfId="223" priority="113" stopIfTrue="1" operator="notEqual">
      <formula>""</formula>
    </cfRule>
  </conditionalFormatting>
  <conditionalFormatting sqref="C194">
    <cfRule type="cellIs" dxfId="222" priority="108" stopIfTrue="1" operator="notEqual">
      <formula>""</formula>
    </cfRule>
  </conditionalFormatting>
  <conditionalFormatting sqref="G182:H182">
    <cfRule type="cellIs" dxfId="221" priority="103" stopIfTrue="1" operator="notEqual">
      <formula>""</formula>
    </cfRule>
  </conditionalFormatting>
  <conditionalFormatting sqref="B194">
    <cfRule type="cellIs" dxfId="220" priority="106" stopIfTrue="1" operator="notEqual">
      <formula>""</formula>
    </cfRule>
  </conditionalFormatting>
  <conditionalFormatting sqref="G182:H182">
    <cfRule type="cellIs" dxfId="219" priority="102" stopIfTrue="1" operator="notEqual">
      <formula>""</formula>
    </cfRule>
  </conditionalFormatting>
  <conditionalFormatting sqref="Y195:AA195">
    <cfRule type="cellIs" dxfId="218" priority="109" stopIfTrue="1" operator="notEqual">
      <formula>""</formula>
    </cfRule>
  </conditionalFormatting>
  <conditionalFormatting sqref="D194">
    <cfRule type="cellIs" dxfId="217" priority="107" stopIfTrue="1" operator="equal">
      <formula>"Total"</formula>
    </cfRule>
  </conditionalFormatting>
  <conditionalFormatting sqref="D9">
    <cfRule type="cellIs" dxfId="216" priority="105" stopIfTrue="1" operator="equal">
      <formula>"Total"</formula>
    </cfRule>
  </conditionalFormatting>
  <conditionalFormatting sqref="D9">
    <cfRule type="cellIs" dxfId="215" priority="104" stopIfTrue="1" operator="equal">
      <formula>"Total"</formula>
    </cfRule>
  </conditionalFormatting>
  <conditionalFormatting sqref="G188:G193">
    <cfRule type="cellIs" dxfId="214" priority="95" stopIfTrue="1" operator="notEqual">
      <formula>""</formula>
    </cfRule>
  </conditionalFormatting>
  <conditionalFormatting sqref="G187:H187 H188:H193">
    <cfRule type="cellIs" dxfId="213" priority="96" stopIfTrue="1" operator="notEqual">
      <formula>""</formula>
    </cfRule>
  </conditionalFormatting>
  <conditionalFormatting sqref="G183:H183">
    <cfRule type="cellIs" dxfId="212" priority="100" stopIfTrue="1" operator="notEqual">
      <formula>""</formula>
    </cfRule>
  </conditionalFormatting>
  <conditionalFormatting sqref="G183:H183">
    <cfRule type="cellIs" dxfId="211" priority="101" stopIfTrue="1" operator="notEqual">
      <formula>""</formula>
    </cfRule>
  </conditionalFormatting>
  <conditionalFormatting sqref="G184:H186">
    <cfRule type="cellIs" dxfId="210" priority="98" stopIfTrue="1" operator="notEqual">
      <formula>""</formula>
    </cfRule>
  </conditionalFormatting>
  <conditionalFormatting sqref="G184:H186">
    <cfRule type="cellIs" dxfId="209" priority="99" stopIfTrue="1" operator="notEqual">
      <formula>""</formula>
    </cfRule>
  </conditionalFormatting>
  <conditionalFormatting sqref="G188:G193">
    <cfRule type="cellIs" dxfId="208" priority="94" stopIfTrue="1" operator="notEqual">
      <formula>""</formula>
    </cfRule>
  </conditionalFormatting>
  <conditionalFormatting sqref="G187:H187 H188:H193">
    <cfRule type="cellIs" dxfId="207" priority="97" stopIfTrue="1" operator="notEqual">
      <formula>""</formula>
    </cfRule>
  </conditionalFormatting>
  <conditionalFormatting sqref="F182">
    <cfRule type="cellIs" dxfId="206" priority="93" stopIfTrue="1" operator="notEqual">
      <formula>""</formula>
    </cfRule>
  </conditionalFormatting>
  <conditionalFormatting sqref="F183:F193">
    <cfRule type="cellIs" dxfId="205" priority="92" stopIfTrue="1" operator="notEqual">
      <formula>""</formula>
    </cfRule>
  </conditionalFormatting>
  <conditionalFormatting sqref="F183:F193">
    <cfRule type="cellIs" dxfId="204" priority="91" stopIfTrue="1" operator="notEqual">
      <formula>""</formula>
    </cfRule>
  </conditionalFormatting>
  <conditionalFormatting sqref="D182">
    <cfRule type="cellIs" dxfId="203" priority="88" stopIfTrue="1" operator="notEqual">
      <formula>""</formula>
    </cfRule>
  </conditionalFormatting>
  <conditionalFormatting sqref="D182">
    <cfRule type="cellIs" dxfId="202" priority="90" stopIfTrue="1" operator="notEqual">
      <formula>""</formula>
    </cfRule>
  </conditionalFormatting>
  <conditionalFormatting sqref="D182">
    <cfRule type="cellIs" dxfId="201" priority="89" stopIfTrue="1" operator="notEqual">
      <formula>""</formula>
    </cfRule>
  </conditionalFormatting>
  <conditionalFormatting sqref="E183">
    <cfRule type="cellIs" dxfId="200" priority="87" stopIfTrue="1" operator="notEqual">
      <formula>""</formula>
    </cfRule>
  </conditionalFormatting>
  <conditionalFormatting sqref="E183">
    <cfRule type="cellIs" dxfId="199" priority="85" stopIfTrue="1" operator="notEqual">
      <formula>""</formula>
    </cfRule>
  </conditionalFormatting>
  <conditionalFormatting sqref="E183">
    <cfRule type="cellIs" dxfId="198" priority="86" stopIfTrue="1" operator="notEqual">
      <formula>""</formula>
    </cfRule>
  </conditionalFormatting>
  <conditionalFormatting sqref="E184:E185">
    <cfRule type="cellIs" dxfId="197" priority="84" stopIfTrue="1" operator="notEqual">
      <formula>""</formula>
    </cfRule>
  </conditionalFormatting>
  <conditionalFormatting sqref="E184:E185">
    <cfRule type="cellIs" dxfId="196" priority="82" stopIfTrue="1" operator="notEqual">
      <formula>""</formula>
    </cfRule>
  </conditionalFormatting>
  <conditionalFormatting sqref="E184:E185">
    <cfRule type="cellIs" dxfId="195" priority="83" stopIfTrue="1" operator="notEqual">
      <formula>""</formula>
    </cfRule>
  </conditionalFormatting>
  <conditionalFormatting sqref="E186">
    <cfRule type="cellIs" dxfId="194" priority="81" stopIfTrue="1" operator="notEqual">
      <formula>""</formula>
    </cfRule>
  </conditionalFormatting>
  <conditionalFormatting sqref="E186">
    <cfRule type="cellIs" dxfId="193" priority="79" stopIfTrue="1" operator="notEqual">
      <formula>""</formula>
    </cfRule>
  </conditionalFormatting>
  <conditionalFormatting sqref="E186">
    <cfRule type="cellIs" dxfId="192" priority="80" stopIfTrue="1" operator="notEqual">
      <formula>""</formula>
    </cfRule>
  </conditionalFormatting>
  <conditionalFormatting sqref="E187:E193">
    <cfRule type="cellIs" dxfId="191" priority="78" stopIfTrue="1" operator="notEqual">
      <formula>""</formula>
    </cfRule>
  </conditionalFormatting>
  <conditionalFormatting sqref="E187:E193">
    <cfRule type="cellIs" dxfId="190" priority="76" stopIfTrue="1" operator="notEqual">
      <formula>""</formula>
    </cfRule>
  </conditionalFormatting>
  <conditionalFormatting sqref="E187:E193">
    <cfRule type="cellIs" dxfId="189" priority="77" stopIfTrue="1" operator="notEqual">
      <formula>""</formula>
    </cfRule>
  </conditionalFormatting>
  <conditionalFormatting sqref="B47:B58">
    <cfRule type="cellIs" dxfId="188" priority="69" stopIfTrue="1" operator="notEqual">
      <formula>""</formula>
    </cfRule>
  </conditionalFormatting>
  <conditionalFormatting sqref="E35:H46 C35:C46">
    <cfRule type="cellIs" dxfId="187" priority="68" stopIfTrue="1" operator="notEqual">
      <formula>""</formula>
    </cfRule>
  </conditionalFormatting>
  <conditionalFormatting sqref="D183:D193">
    <cfRule type="cellIs" dxfId="186" priority="73" stopIfTrue="1" operator="equal">
      <formula>"Total"</formula>
    </cfRule>
  </conditionalFormatting>
  <conditionalFormatting sqref="B95:B166">
    <cfRule type="cellIs" dxfId="185" priority="70" stopIfTrue="1" operator="notEqual">
      <formula>""</formula>
    </cfRule>
  </conditionalFormatting>
  <conditionalFormatting sqref="C193">
    <cfRule type="cellIs" dxfId="184" priority="17" stopIfTrue="1" operator="notEqual">
      <formula>""</formula>
    </cfRule>
  </conditionalFormatting>
  <conditionalFormatting sqref="C148 C154 C144 C150 C146 C152">
    <cfRule type="cellIs" dxfId="183" priority="30" stopIfTrue="1" operator="notEqual">
      <formula>""</formula>
    </cfRule>
  </conditionalFormatting>
  <conditionalFormatting sqref="E155:H166 C155:C166">
    <cfRule type="cellIs" dxfId="182" priority="28" stopIfTrue="1" operator="notEqual">
      <formula>""</formula>
    </cfRule>
  </conditionalFormatting>
  <conditionalFormatting sqref="C182:C192">
    <cfRule type="cellIs" dxfId="181" priority="20" stopIfTrue="1" operator="notEqual">
      <formula>""</formula>
    </cfRule>
  </conditionalFormatting>
  <conditionalFormatting sqref="C187 C183 C189 C185 C191">
    <cfRule type="cellIs" dxfId="180" priority="18" stopIfTrue="1" operator="notEqual">
      <formula>""</formula>
    </cfRule>
  </conditionalFormatting>
  <conditionalFormatting sqref="C160 C166 C156 C162 C158 C164">
    <cfRule type="cellIs" dxfId="179" priority="25" stopIfTrue="1" operator="notEqual">
      <formula>""</formula>
    </cfRule>
  </conditionalFormatting>
  <conditionalFormatting sqref="C172 C178 C168 C174 C170 C176">
    <cfRule type="cellIs" dxfId="178" priority="22" stopIfTrue="1" operator="notEqual">
      <formula>""</formula>
    </cfRule>
  </conditionalFormatting>
  <conditionalFormatting sqref="C172 C178 C168 C174 C170 C176">
    <cfRule type="cellIs" dxfId="177" priority="21" stopIfTrue="1" operator="notEqual">
      <formula>""</formula>
    </cfRule>
  </conditionalFormatting>
  <conditionalFormatting sqref="C64 C70 C60 C66 C62 C68">
    <cfRule type="cellIs" dxfId="176" priority="58" stopIfTrue="1" operator="notEqual">
      <formula>""</formula>
    </cfRule>
  </conditionalFormatting>
  <conditionalFormatting sqref="D35:D46">
    <cfRule type="cellIs" dxfId="175" priority="67" stopIfTrue="1" operator="equal">
      <formula>"Total"</formula>
    </cfRule>
  </conditionalFormatting>
  <conditionalFormatting sqref="C40 C46 C36 C42 C38 C44">
    <cfRule type="cellIs" dxfId="174" priority="66" stopIfTrue="1" operator="notEqual">
      <formula>""</formula>
    </cfRule>
  </conditionalFormatting>
  <conditionalFormatting sqref="C40 C46 C36 C42 C38 C44">
    <cfRule type="cellIs" dxfId="173" priority="65" stopIfTrue="1" operator="notEqual">
      <formula>""</formula>
    </cfRule>
  </conditionalFormatting>
  <conditionalFormatting sqref="E47:H58 C47:C58">
    <cfRule type="cellIs" dxfId="172" priority="64" stopIfTrue="1" operator="notEqual">
      <formula>""</formula>
    </cfRule>
  </conditionalFormatting>
  <conditionalFormatting sqref="D47:D58">
    <cfRule type="cellIs" dxfId="171" priority="63" stopIfTrue="1" operator="equal">
      <formula>"Total"</formula>
    </cfRule>
  </conditionalFormatting>
  <conditionalFormatting sqref="C52 C58 C48 C54 C50 C56">
    <cfRule type="cellIs" dxfId="170" priority="62" stopIfTrue="1" operator="notEqual">
      <formula>""</formula>
    </cfRule>
  </conditionalFormatting>
  <conditionalFormatting sqref="C52 C58 C48 C54 C50 C56">
    <cfRule type="cellIs" dxfId="169" priority="61" stopIfTrue="1" operator="notEqual">
      <formula>""</formula>
    </cfRule>
  </conditionalFormatting>
  <conditionalFormatting sqref="E59:H70 C59:C70">
    <cfRule type="cellIs" dxfId="168" priority="60" stopIfTrue="1" operator="notEqual">
      <formula>""</formula>
    </cfRule>
  </conditionalFormatting>
  <conditionalFormatting sqref="D59:D70">
    <cfRule type="cellIs" dxfId="167" priority="59" stopIfTrue="1" operator="equal">
      <formula>"Total"</formula>
    </cfRule>
  </conditionalFormatting>
  <conditionalFormatting sqref="C64 C70 C60 C66 C62 C68">
    <cfRule type="cellIs" dxfId="166" priority="57" stopIfTrue="1" operator="notEqual">
      <formula>""</formula>
    </cfRule>
  </conditionalFormatting>
  <conditionalFormatting sqref="E71:H82 C71:C82">
    <cfRule type="cellIs" dxfId="165" priority="56" stopIfTrue="1" operator="notEqual">
      <formula>""</formula>
    </cfRule>
  </conditionalFormatting>
  <conditionalFormatting sqref="D71:D82">
    <cfRule type="cellIs" dxfId="164" priority="55" stopIfTrue="1" operator="equal">
      <formula>"Total"</formula>
    </cfRule>
  </conditionalFormatting>
  <conditionalFormatting sqref="C76 C82 C72 C78 C74 C80">
    <cfRule type="cellIs" dxfId="163" priority="54" stopIfTrue="1" operator="notEqual">
      <formula>""</formula>
    </cfRule>
  </conditionalFormatting>
  <conditionalFormatting sqref="C76 C82 C72 C78 C74 C80">
    <cfRule type="cellIs" dxfId="162" priority="53" stopIfTrue="1" operator="notEqual">
      <formula>""</formula>
    </cfRule>
  </conditionalFormatting>
  <conditionalFormatting sqref="E83:H94 C83:C94">
    <cfRule type="cellIs" dxfId="161" priority="52" stopIfTrue="1" operator="notEqual">
      <formula>""</formula>
    </cfRule>
  </conditionalFormatting>
  <conditionalFormatting sqref="D83:D94">
    <cfRule type="cellIs" dxfId="160" priority="51" stopIfTrue="1" operator="equal">
      <formula>"Total"</formula>
    </cfRule>
  </conditionalFormatting>
  <conditionalFormatting sqref="C88 C94 C84 C90 C86 C92">
    <cfRule type="cellIs" dxfId="159" priority="50" stopIfTrue="1" operator="notEqual">
      <formula>""</formula>
    </cfRule>
  </conditionalFormatting>
  <conditionalFormatting sqref="C88 C94 C84 C90 C86 C92">
    <cfRule type="cellIs" dxfId="158" priority="49" stopIfTrue="1" operator="notEqual">
      <formula>""</formula>
    </cfRule>
  </conditionalFormatting>
  <conditionalFormatting sqref="E95:H106 C95:C106">
    <cfRule type="cellIs" dxfId="157" priority="48" stopIfTrue="1" operator="notEqual">
      <formula>""</formula>
    </cfRule>
  </conditionalFormatting>
  <conditionalFormatting sqref="D95:D106">
    <cfRule type="cellIs" dxfId="156" priority="47" stopIfTrue="1" operator="equal">
      <formula>"Total"</formula>
    </cfRule>
  </conditionalFormatting>
  <conditionalFormatting sqref="C100 C106 C96 C102 C98 C104">
    <cfRule type="cellIs" dxfId="155" priority="46" stopIfTrue="1" operator="notEqual">
      <formula>""</formula>
    </cfRule>
  </conditionalFormatting>
  <conditionalFormatting sqref="C100 C106 C96 C102 C98 C104">
    <cfRule type="cellIs" dxfId="154" priority="45" stopIfTrue="1" operator="notEqual">
      <formula>""</formula>
    </cfRule>
  </conditionalFormatting>
  <conditionalFormatting sqref="E107:H118 C107:C118">
    <cfRule type="cellIs" dxfId="153" priority="44" stopIfTrue="1" operator="notEqual">
      <formula>""</formula>
    </cfRule>
  </conditionalFormatting>
  <conditionalFormatting sqref="D107:D118">
    <cfRule type="cellIs" dxfId="152" priority="43" stopIfTrue="1" operator="equal">
      <formula>"Total"</formula>
    </cfRule>
  </conditionalFormatting>
  <conditionalFormatting sqref="C112 C118 C108 C114 C110 C116">
    <cfRule type="cellIs" dxfId="151" priority="42" stopIfTrue="1" operator="notEqual">
      <formula>""</formula>
    </cfRule>
  </conditionalFormatting>
  <conditionalFormatting sqref="C112 C118 C108 C114 C110 C116">
    <cfRule type="cellIs" dxfId="150" priority="41" stopIfTrue="1" operator="notEqual">
      <formula>""</formula>
    </cfRule>
  </conditionalFormatting>
  <conditionalFormatting sqref="E119:H130 C119:C130">
    <cfRule type="cellIs" dxfId="149" priority="40" stopIfTrue="1" operator="notEqual">
      <formula>""</formula>
    </cfRule>
  </conditionalFormatting>
  <conditionalFormatting sqref="D119:D130">
    <cfRule type="cellIs" dxfId="148" priority="39" stopIfTrue="1" operator="equal">
      <formula>"Total"</formula>
    </cfRule>
  </conditionalFormatting>
  <conditionalFormatting sqref="C124 C130 C120 C126 C122 C128">
    <cfRule type="cellIs" dxfId="147" priority="38" stopIfTrue="1" operator="notEqual">
      <formula>""</formula>
    </cfRule>
  </conditionalFormatting>
  <conditionalFormatting sqref="C124 C130 C120 C126 C122 C128">
    <cfRule type="cellIs" dxfId="146" priority="37" stopIfTrue="1" operator="notEqual">
      <formula>""</formula>
    </cfRule>
  </conditionalFormatting>
  <conditionalFormatting sqref="E131:H142 C131:C142">
    <cfRule type="cellIs" dxfId="145" priority="36" stopIfTrue="1" operator="notEqual">
      <formula>""</formula>
    </cfRule>
  </conditionalFormatting>
  <conditionalFormatting sqref="D131:D142">
    <cfRule type="cellIs" dxfId="144" priority="35" stopIfTrue="1" operator="equal">
      <formula>"Total"</formula>
    </cfRule>
  </conditionalFormatting>
  <conditionalFormatting sqref="C136 C142 C132 C138 C134 C140">
    <cfRule type="cellIs" dxfId="143" priority="34" stopIfTrue="1" operator="notEqual">
      <formula>""</formula>
    </cfRule>
  </conditionalFormatting>
  <conditionalFormatting sqref="C136 C142 C132 C138 C134 C140">
    <cfRule type="cellIs" dxfId="142" priority="33" stopIfTrue="1" operator="notEqual">
      <formula>""</formula>
    </cfRule>
  </conditionalFormatting>
  <conditionalFormatting sqref="E143:H154 C143:C154">
    <cfRule type="cellIs" dxfId="141" priority="32" stopIfTrue="1" operator="notEqual">
      <formula>""</formula>
    </cfRule>
  </conditionalFormatting>
  <conditionalFormatting sqref="D143:D154">
    <cfRule type="cellIs" dxfId="140" priority="31" stopIfTrue="1" operator="equal">
      <formula>"Total"</formula>
    </cfRule>
  </conditionalFormatting>
  <conditionalFormatting sqref="C148 C154 C144 C150 C146 C152">
    <cfRule type="cellIs" dxfId="139" priority="29" stopIfTrue="1" operator="notEqual">
      <formula>""</formula>
    </cfRule>
  </conditionalFormatting>
  <conditionalFormatting sqref="D155:D166">
    <cfRule type="cellIs" dxfId="138" priority="27" stopIfTrue="1" operator="equal">
      <formula>"Total"</formula>
    </cfRule>
  </conditionalFormatting>
  <conditionalFormatting sqref="C160 C166 C156 C162 C158 C164">
    <cfRule type="cellIs" dxfId="137" priority="26" stopIfTrue="1" operator="notEqual">
      <formula>""</formula>
    </cfRule>
  </conditionalFormatting>
  <conditionalFormatting sqref="E167:H178 C167:C178">
    <cfRule type="cellIs" dxfId="136" priority="24" stopIfTrue="1" operator="notEqual">
      <formula>""</formula>
    </cfRule>
  </conditionalFormatting>
  <conditionalFormatting sqref="D167:D178">
    <cfRule type="cellIs" dxfId="135" priority="23" stopIfTrue="1" operator="equal">
      <formula>"Total"</formula>
    </cfRule>
  </conditionalFormatting>
  <conditionalFormatting sqref="C187 C183 C189 C185 C191">
    <cfRule type="cellIs" dxfId="134" priority="19" stopIfTrue="1" operator="notEqual">
      <formula>""</formula>
    </cfRule>
  </conditionalFormatting>
  <conditionalFormatting sqref="C23:C34">
    <cfRule type="cellIs" dxfId="133" priority="13" stopIfTrue="1" operator="notEqual">
      <formula>""</formula>
    </cfRule>
  </conditionalFormatting>
  <conditionalFormatting sqref="C24:C34">
    <cfRule type="cellIs" dxfId="132" priority="12" stopIfTrue="1" operator="notEqual">
      <formula>""</formula>
    </cfRule>
  </conditionalFormatting>
  <conditionalFormatting sqref="C24:C34">
    <cfRule type="cellIs" dxfId="131" priority="11" stopIfTrue="1" operator="notEqual">
      <formula>""</formula>
    </cfRule>
  </conditionalFormatting>
  <conditionalFormatting sqref="B167:B178">
    <cfRule type="cellIs" dxfId="130" priority="3" stopIfTrue="1" operator="notEqual">
      <formula>""</formula>
    </cfRule>
  </conditionalFormatting>
  <conditionalFormatting sqref="B182:B193">
    <cfRule type="cellIs" dxfId="129" priority="2" stopIfTrue="1" operator="notEqual">
      <formula>""</formula>
    </cfRule>
  </conditionalFormatting>
  <conditionalFormatting sqref="B182:B193">
    <cfRule type="cellIs" dxfId="128" priority="1" stopIfTrue="1" operator="notEqual">
      <formula>""</formula>
    </cfRule>
  </conditionalFormatting>
  <conditionalFormatting sqref="E11:H22 B11:B22">
    <cfRule type="cellIs" dxfId="127" priority="10" stopIfTrue="1" operator="notEqual">
      <formula>""</formula>
    </cfRule>
  </conditionalFormatting>
  <conditionalFormatting sqref="D11:D22">
    <cfRule type="cellIs" dxfId="126" priority="9" stopIfTrue="1" operator="equal">
      <formula>"Total"</formula>
    </cfRule>
  </conditionalFormatting>
  <conditionalFormatting sqref="C11:C22">
    <cfRule type="cellIs" dxfId="125" priority="8" stopIfTrue="1" operator="notEqual">
      <formula>""</formula>
    </cfRule>
  </conditionalFormatting>
  <conditionalFormatting sqref="C12:C22">
    <cfRule type="cellIs" dxfId="124" priority="7" stopIfTrue="1" operator="notEqual">
      <formula>""</formula>
    </cfRule>
  </conditionalFormatting>
  <conditionalFormatting sqref="C12:C22">
    <cfRule type="cellIs" dxfId="123" priority="6" stopIfTrue="1" operator="notEqual">
      <formula>""</formula>
    </cfRule>
  </conditionalFormatting>
  <conditionalFormatting sqref="B35:B46">
    <cfRule type="cellIs" dxfId="122" priority="5" stopIfTrue="1" operator="notEqual">
      <formula>""</formula>
    </cfRule>
  </conditionalFormatting>
  <conditionalFormatting sqref="B167:B178">
    <cfRule type="cellIs" dxfId="121" priority="4"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5703125" style="1" customWidth="1"/>
    <col min="8" max="8" width="5.85546875" style="1" customWidth="1"/>
    <col min="9" max="9" width="7.5703125" style="1" customWidth="1"/>
    <col min="10" max="10" width="8.1406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1" t="s">
        <v>31</v>
      </c>
      <c r="Q5" s="491"/>
    </row>
    <row r="6" spans="1:27" ht="2.25" customHeight="1"/>
    <row r="7" spans="1:27" ht="12.75" customHeight="1">
      <c r="B7" s="101" t="s">
        <v>3</v>
      </c>
      <c r="C7" s="101"/>
      <c r="D7" s="101"/>
      <c r="E7" s="101"/>
      <c r="F7" s="101"/>
      <c r="G7" s="101"/>
      <c r="H7" s="39"/>
      <c r="I7" s="39"/>
      <c r="J7" s="39"/>
      <c r="K7" s="490" t="s">
        <v>217</v>
      </c>
      <c r="L7" s="490"/>
      <c r="M7" s="490"/>
      <c r="N7" s="490"/>
      <c r="O7" s="490"/>
      <c r="P7" s="490"/>
      <c r="Q7" s="490"/>
      <c r="R7" s="490"/>
      <c r="S7" s="490"/>
      <c r="T7" s="490"/>
      <c r="U7" s="490"/>
      <c r="V7" s="102" t="s">
        <v>4</v>
      </c>
      <c r="W7" s="19"/>
      <c r="X7" s="19"/>
      <c r="Y7" s="420">
        <f>'base(indices)'!I2</f>
        <v>45474</v>
      </c>
      <c r="Z7" s="420"/>
      <c r="AA7" s="420"/>
    </row>
    <row r="8" spans="1:27" ht="13.5" thickBot="1">
      <c r="B8" s="6" t="s">
        <v>5</v>
      </c>
      <c r="C8" s="6"/>
      <c r="F8" s="5"/>
      <c r="G8" s="5"/>
      <c r="I8" s="421">
        <f>Y7</f>
        <v>45474</v>
      </c>
      <c r="J8" s="421"/>
      <c r="K8" s="179"/>
    </row>
    <row r="9" spans="1:27" ht="12.75" customHeight="1" thickBot="1">
      <c r="A9" s="422" t="s">
        <v>6</v>
      </c>
      <c r="B9" s="424" t="s">
        <v>7</v>
      </c>
      <c r="C9" s="426" t="s">
        <v>8</v>
      </c>
      <c r="D9" s="428" t="s">
        <v>9</v>
      </c>
      <c r="E9" s="428" t="s">
        <v>10</v>
      </c>
      <c r="F9" s="430" t="s">
        <v>11</v>
      </c>
      <c r="G9" s="430" t="s">
        <v>12</v>
      </c>
      <c r="H9" s="432" t="s">
        <v>13</v>
      </c>
      <c r="I9" s="442" t="s">
        <v>239</v>
      </c>
      <c r="J9" s="444" t="s">
        <v>15</v>
      </c>
      <c r="K9" s="445"/>
      <c r="L9" s="446"/>
      <c r="M9" s="447">
        <v>0.95</v>
      </c>
      <c r="N9" s="448"/>
      <c r="O9" s="449"/>
      <c r="P9" s="434">
        <v>0.9</v>
      </c>
      <c r="Q9" s="435"/>
      <c r="R9" s="436"/>
      <c r="S9" s="447">
        <v>0.8</v>
      </c>
      <c r="T9" s="448"/>
      <c r="U9" s="449"/>
      <c r="V9" s="434">
        <v>0.7</v>
      </c>
      <c r="W9" s="435"/>
      <c r="X9" s="436"/>
      <c r="Y9" s="434">
        <v>0.6</v>
      </c>
      <c r="Z9" s="435"/>
      <c r="AA9" s="436"/>
    </row>
    <row r="10" spans="1:27" ht="28.5" customHeight="1" thickBot="1">
      <c r="A10" s="423"/>
      <c r="B10" s="425"/>
      <c r="C10" s="427"/>
      <c r="D10" s="429"/>
      <c r="E10" s="429"/>
      <c r="F10" s="431"/>
      <c r="G10" s="431"/>
      <c r="H10" s="433"/>
      <c r="I10" s="443"/>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27">
        <v>168</v>
      </c>
      <c r="B11" s="136">
        <v>40179</v>
      </c>
      <c r="C11" s="120">
        <f>VLOOKUP(B11,'base(indices)'!$A$4:$C$183,3,FALSE)</f>
        <v>510</v>
      </c>
      <c r="D11" s="193">
        <f>'base(indices)'!G4</f>
        <v>2.0114918099999999</v>
      </c>
      <c r="E11" s="78">
        <f>C11*D11</f>
        <v>1025.8608230999998</v>
      </c>
      <c r="F11" s="79">
        <f>'base(indices)'!I4</f>
        <v>0.60997000000000001</v>
      </c>
      <c r="G11" s="78">
        <f t="shared" ref="G11:G22" si="0">E11*F11</f>
        <v>625.74432626630687</v>
      </c>
      <c r="H11" s="266">
        <f t="shared" ref="H11:H22" si="1">E11+G11</f>
        <v>1651.6051493663067</v>
      </c>
      <c r="I11" s="358">
        <f>I179</f>
        <v>276883.42894481809</v>
      </c>
      <c r="J11" s="48">
        <f>IF((I11)+K11&gt;$I$97,$I$197-K11,(I11))</f>
        <v>76000.758974384822</v>
      </c>
      <c r="K11" s="108">
        <f t="shared" ref="K11:K12" si="2">I$196</f>
        <v>8719.2410256151761</v>
      </c>
      <c r="L11" s="49">
        <f t="shared" ref="L11:L22" si="3">J11+K11</f>
        <v>84720</v>
      </c>
      <c r="M11" s="138">
        <f t="shared" ref="M11:M22" si="4">J11*M$9</f>
        <v>72200.721025665582</v>
      </c>
      <c r="N11" s="109">
        <f t="shared" ref="N11:N22" si="5">K11*M$9</f>
        <v>8283.2789743344165</v>
      </c>
      <c r="O11" s="139">
        <f t="shared" ref="O11:O22" si="6">M11+N11</f>
        <v>80484</v>
      </c>
      <c r="P11" s="291">
        <f t="shared" ref="P11:P22" si="7">J11*$P$9</f>
        <v>68400.683076946341</v>
      </c>
      <c r="Q11" s="109">
        <f t="shared" ref="Q11:Q22" si="8">K11*P$9</f>
        <v>7847.3169230536587</v>
      </c>
      <c r="R11" s="49">
        <f t="shared" ref="R11:R22" si="9">P11+Q11</f>
        <v>76248</v>
      </c>
      <c r="S11" s="138">
        <f t="shared" ref="S11:S22" si="10">J11*S$9</f>
        <v>60800.607179507861</v>
      </c>
      <c r="T11" s="109">
        <f t="shared" ref="T11:T22" si="11">K11*S$9</f>
        <v>6975.3928204921413</v>
      </c>
      <c r="U11" s="139">
        <f t="shared" ref="U11:U22" si="12">S11+T11</f>
        <v>67776</v>
      </c>
      <c r="V11" s="48">
        <f t="shared" ref="V11:V22" si="13">J11*V$9</f>
        <v>53200.531282069373</v>
      </c>
      <c r="W11" s="109">
        <f t="shared" ref="W11:W22" si="14">K11*V$9</f>
        <v>6103.4687179306229</v>
      </c>
      <c r="X11" s="49">
        <f t="shared" ref="X11:X22" si="15">V11+W11</f>
        <v>59303.999999999993</v>
      </c>
      <c r="Y11" s="138">
        <f t="shared" ref="Y11:Y22" si="16">J11*Y$9</f>
        <v>45600.455384630892</v>
      </c>
      <c r="Z11" s="109">
        <f t="shared" ref="Z11:Z22" si="17">K11*Y$9</f>
        <v>5231.5446153691055</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0.60997000000000001</v>
      </c>
      <c r="G12" s="54">
        <f t="shared" si="0"/>
        <v>622.50728775775201</v>
      </c>
      <c r="H12" s="267">
        <f t="shared" si="1"/>
        <v>1643.0612293577519</v>
      </c>
      <c r="I12" s="359">
        <f t="shared" ref="I12:I23" si="20">I11-H11</f>
        <v>275231.82379545178</v>
      </c>
      <c r="J12" s="58">
        <f>IF((I12)+K12&gt;$I$197,$I$197-K12,(I12))</f>
        <v>76000.758974384822</v>
      </c>
      <c r="K12" s="91">
        <f t="shared" si="2"/>
        <v>8719.2410256151761</v>
      </c>
      <c r="L12" s="284">
        <f t="shared" si="3"/>
        <v>84720</v>
      </c>
      <c r="M12" s="57">
        <f t="shared" si="4"/>
        <v>72200.721025665582</v>
      </c>
      <c r="N12" s="91">
        <f t="shared" si="5"/>
        <v>8283.2789743344165</v>
      </c>
      <c r="O12" s="60">
        <f t="shared" si="6"/>
        <v>80484</v>
      </c>
      <c r="P12" s="58">
        <f t="shared" si="7"/>
        <v>68400.683076946341</v>
      </c>
      <c r="Q12" s="91">
        <f t="shared" si="8"/>
        <v>7847.3169230536587</v>
      </c>
      <c r="R12" s="59">
        <f t="shared" si="9"/>
        <v>76248</v>
      </c>
      <c r="S12" s="57">
        <f t="shared" si="10"/>
        <v>60800.607179507861</v>
      </c>
      <c r="T12" s="91">
        <f t="shared" si="11"/>
        <v>6975.3928204921413</v>
      </c>
      <c r="U12" s="60">
        <f t="shared" si="12"/>
        <v>67776</v>
      </c>
      <c r="V12" s="58">
        <f t="shared" si="13"/>
        <v>53200.531282069373</v>
      </c>
      <c r="W12" s="91">
        <f t="shared" si="14"/>
        <v>6103.4687179306229</v>
      </c>
      <c r="X12" s="59">
        <f t="shared" si="15"/>
        <v>59303.999999999993</v>
      </c>
      <c r="Y12" s="57">
        <f t="shared" si="16"/>
        <v>45600.455384630892</v>
      </c>
      <c r="Z12" s="91">
        <f t="shared" si="17"/>
        <v>5231.5446153691055</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0.60997000000000001</v>
      </c>
      <c r="G13" s="63">
        <f t="shared" si="0"/>
        <v>616.71021192986393</v>
      </c>
      <c r="H13" s="268">
        <f t="shared" si="1"/>
        <v>1627.7602831298639</v>
      </c>
      <c r="I13" s="360">
        <f t="shared" si="20"/>
        <v>273588.76256609405</v>
      </c>
      <c r="J13" s="119">
        <f>IF((I13)+K13&gt;$I$197,$I$197-K13,(I13))</f>
        <v>76000.758974384822</v>
      </c>
      <c r="K13" s="108">
        <f t="shared" ref="K13:K22" si="21">I$196</f>
        <v>8719.2410256151761</v>
      </c>
      <c r="L13" s="46">
        <f t="shared" si="3"/>
        <v>84720</v>
      </c>
      <c r="M13" s="43">
        <f t="shared" si="4"/>
        <v>72200.721025665582</v>
      </c>
      <c r="N13" s="108">
        <f t="shared" si="5"/>
        <v>8283.2789743344165</v>
      </c>
      <c r="O13" s="47">
        <f t="shared" si="6"/>
        <v>80484</v>
      </c>
      <c r="P13" s="119">
        <f t="shared" si="7"/>
        <v>68400.683076946341</v>
      </c>
      <c r="Q13" s="108">
        <f t="shared" si="8"/>
        <v>7847.3169230536587</v>
      </c>
      <c r="R13" s="46">
        <f t="shared" si="9"/>
        <v>76248</v>
      </c>
      <c r="S13" s="43">
        <f t="shared" si="10"/>
        <v>60800.607179507861</v>
      </c>
      <c r="T13" s="108">
        <f t="shared" si="11"/>
        <v>6975.3928204921413</v>
      </c>
      <c r="U13" s="47">
        <f t="shared" si="12"/>
        <v>67776</v>
      </c>
      <c r="V13" s="45">
        <f t="shared" si="13"/>
        <v>53200.531282069373</v>
      </c>
      <c r="W13" s="108">
        <f t="shared" si="14"/>
        <v>6103.4687179306229</v>
      </c>
      <c r="X13" s="46">
        <f t="shared" si="15"/>
        <v>59303.999999999993</v>
      </c>
      <c r="Y13" s="43">
        <f t="shared" si="16"/>
        <v>45600.455384630892</v>
      </c>
      <c r="Z13" s="108">
        <f t="shared" si="17"/>
        <v>5231.5446153691055</v>
      </c>
      <c r="AA13" s="46">
        <f t="shared" si="18"/>
        <v>50832</v>
      </c>
    </row>
    <row r="14" spans="1:27">
      <c r="A14" s="327">
        <v>165</v>
      </c>
      <c r="B14" s="50">
        <v>40269</v>
      </c>
      <c r="C14" s="61">
        <f>VLOOKUP(B14,'base(indices)'!$A$4:$C$183,3,FALSE)</f>
        <v>510</v>
      </c>
      <c r="D14" s="192">
        <f>'base(indices)'!G7</f>
        <v>1.97160728</v>
      </c>
      <c r="E14" s="54">
        <f t="shared" si="19"/>
        <v>1005.5197128</v>
      </c>
      <c r="F14" s="82">
        <f>'base(indices)'!I7</f>
        <v>0.60997000000000001</v>
      </c>
      <c r="G14" s="54">
        <f t="shared" si="0"/>
        <v>613.33685921661595</v>
      </c>
      <c r="H14" s="267">
        <f t="shared" si="1"/>
        <v>1618.8565720166159</v>
      </c>
      <c r="I14" s="359">
        <f t="shared" si="20"/>
        <v>271961.00228296418</v>
      </c>
      <c r="J14" s="58">
        <f>IF((I14)+K14&gt;$I$197,$I$197-K14,(I14))</f>
        <v>76000.758974384822</v>
      </c>
      <c r="K14" s="91">
        <f t="shared" si="21"/>
        <v>8719.2410256151761</v>
      </c>
      <c r="L14" s="284">
        <f t="shared" si="3"/>
        <v>84720</v>
      </c>
      <c r="M14" s="57">
        <f t="shared" si="4"/>
        <v>72200.721025665582</v>
      </c>
      <c r="N14" s="91">
        <f t="shared" si="5"/>
        <v>8283.2789743344165</v>
      </c>
      <c r="O14" s="60">
        <f t="shared" si="6"/>
        <v>80484</v>
      </c>
      <c r="P14" s="58">
        <f t="shared" si="7"/>
        <v>68400.683076946341</v>
      </c>
      <c r="Q14" s="91">
        <f t="shared" si="8"/>
        <v>7847.3169230536587</v>
      </c>
      <c r="R14" s="59">
        <f t="shared" si="9"/>
        <v>76248</v>
      </c>
      <c r="S14" s="57">
        <f t="shared" si="10"/>
        <v>60800.607179507861</v>
      </c>
      <c r="T14" s="91">
        <f t="shared" si="11"/>
        <v>6975.3928204921413</v>
      </c>
      <c r="U14" s="60">
        <f t="shared" si="12"/>
        <v>67776</v>
      </c>
      <c r="V14" s="58">
        <f t="shared" si="13"/>
        <v>53200.531282069373</v>
      </c>
      <c r="W14" s="91">
        <f t="shared" si="14"/>
        <v>6103.4687179306229</v>
      </c>
      <c r="X14" s="59">
        <f t="shared" si="15"/>
        <v>59303.999999999993</v>
      </c>
      <c r="Y14" s="57">
        <f t="shared" si="16"/>
        <v>45600.455384630892</v>
      </c>
      <c r="Z14" s="91">
        <f t="shared" si="17"/>
        <v>5231.5446153691055</v>
      </c>
      <c r="AA14" s="59">
        <f t="shared" si="18"/>
        <v>50832</v>
      </c>
    </row>
    <row r="15" spans="1:27">
      <c r="A15" s="327">
        <v>164</v>
      </c>
      <c r="B15" s="40">
        <v>40299</v>
      </c>
      <c r="C15" s="61">
        <f>VLOOKUP(B15,'base(indices)'!$A$4:$C$183,3,FALSE)</f>
        <v>510</v>
      </c>
      <c r="D15" s="192">
        <f>'base(indices)'!G8</f>
        <v>1.96218878</v>
      </c>
      <c r="E15" s="63">
        <f t="shared" si="19"/>
        <v>1000.7162777999999</v>
      </c>
      <c r="F15" s="82">
        <f>'base(indices)'!I8</f>
        <v>0.60997000000000001</v>
      </c>
      <c r="G15" s="63">
        <f t="shared" si="0"/>
        <v>610.40690796966601</v>
      </c>
      <c r="H15" s="268">
        <f t="shared" si="1"/>
        <v>1611.123185769666</v>
      </c>
      <c r="I15" s="360">
        <f t="shared" si="20"/>
        <v>270342.14571094757</v>
      </c>
      <c r="J15" s="119">
        <f t="shared" ref="J15:J22" si="22">IF((I15)+K15&gt;$I$197,$I$197-K15,(I15))</f>
        <v>76000.758974384822</v>
      </c>
      <c r="K15" s="108">
        <f t="shared" si="21"/>
        <v>8719.2410256151761</v>
      </c>
      <c r="L15" s="46">
        <f t="shared" si="3"/>
        <v>84720</v>
      </c>
      <c r="M15" s="43">
        <f t="shared" si="4"/>
        <v>72200.721025665582</v>
      </c>
      <c r="N15" s="108">
        <f t="shared" si="5"/>
        <v>8283.2789743344165</v>
      </c>
      <c r="O15" s="47">
        <f t="shared" si="6"/>
        <v>80484</v>
      </c>
      <c r="P15" s="119">
        <f t="shared" si="7"/>
        <v>68400.683076946341</v>
      </c>
      <c r="Q15" s="108">
        <f t="shared" si="8"/>
        <v>7847.3169230536587</v>
      </c>
      <c r="R15" s="46">
        <f t="shared" si="9"/>
        <v>76248</v>
      </c>
      <c r="S15" s="43">
        <f t="shared" si="10"/>
        <v>60800.607179507861</v>
      </c>
      <c r="T15" s="108">
        <f t="shared" si="11"/>
        <v>6975.3928204921413</v>
      </c>
      <c r="U15" s="47">
        <f t="shared" si="12"/>
        <v>67776</v>
      </c>
      <c r="V15" s="45">
        <f t="shared" si="13"/>
        <v>53200.531282069373</v>
      </c>
      <c r="W15" s="108">
        <f t="shared" si="14"/>
        <v>6103.4687179306229</v>
      </c>
      <c r="X15" s="46">
        <f t="shared" si="15"/>
        <v>59303.999999999993</v>
      </c>
      <c r="Y15" s="43">
        <f t="shared" si="16"/>
        <v>45600.455384630892</v>
      </c>
      <c r="Z15" s="108">
        <f t="shared" si="17"/>
        <v>5231.5446153691055</v>
      </c>
      <c r="AA15" s="46">
        <f t="shared" si="18"/>
        <v>50832</v>
      </c>
    </row>
    <row r="16" spans="1:27">
      <c r="A16" s="327">
        <v>163</v>
      </c>
      <c r="B16" s="50">
        <v>40330</v>
      </c>
      <c r="C16" s="61">
        <f>VLOOKUP(B16,'base(indices)'!$A$4:$C$183,3,FALSE)</f>
        <v>510</v>
      </c>
      <c r="D16" s="192">
        <f>'base(indices)'!G9</f>
        <v>1.94990438</v>
      </c>
      <c r="E16" s="54">
        <f t="shared" si="19"/>
        <v>994.45123379999995</v>
      </c>
      <c r="F16" s="82">
        <f>'base(indices)'!I9</f>
        <v>0.60997000000000001</v>
      </c>
      <c r="G16" s="54">
        <f t="shared" si="0"/>
        <v>606.58541908098596</v>
      </c>
      <c r="H16" s="267">
        <f t="shared" si="1"/>
        <v>1601.0366528809859</v>
      </c>
      <c r="I16" s="359">
        <f t="shared" si="20"/>
        <v>268731.02252517792</v>
      </c>
      <c r="J16" s="58">
        <f t="shared" si="22"/>
        <v>76000.758974384822</v>
      </c>
      <c r="K16" s="91">
        <f t="shared" si="21"/>
        <v>8719.2410256151761</v>
      </c>
      <c r="L16" s="284">
        <f t="shared" si="3"/>
        <v>84720</v>
      </c>
      <c r="M16" s="57">
        <f t="shared" si="4"/>
        <v>72200.721025665582</v>
      </c>
      <c r="N16" s="91">
        <f t="shared" si="5"/>
        <v>8283.2789743344165</v>
      </c>
      <c r="O16" s="60">
        <f t="shared" si="6"/>
        <v>80484</v>
      </c>
      <c r="P16" s="58">
        <f t="shared" si="7"/>
        <v>68400.683076946341</v>
      </c>
      <c r="Q16" s="91">
        <f t="shared" si="8"/>
        <v>7847.3169230536587</v>
      </c>
      <c r="R16" s="59">
        <f t="shared" si="9"/>
        <v>76248</v>
      </c>
      <c r="S16" s="57">
        <f t="shared" si="10"/>
        <v>60800.607179507861</v>
      </c>
      <c r="T16" s="91">
        <f t="shared" si="11"/>
        <v>6975.3928204921413</v>
      </c>
      <c r="U16" s="60">
        <f t="shared" si="12"/>
        <v>67776</v>
      </c>
      <c r="V16" s="58">
        <f t="shared" si="13"/>
        <v>53200.531282069373</v>
      </c>
      <c r="W16" s="91">
        <f t="shared" si="14"/>
        <v>6103.4687179306229</v>
      </c>
      <c r="X16" s="59">
        <f t="shared" si="15"/>
        <v>59303.999999999993</v>
      </c>
      <c r="Y16" s="57">
        <f t="shared" si="16"/>
        <v>45600.455384630892</v>
      </c>
      <c r="Z16" s="91">
        <f t="shared" si="17"/>
        <v>5231.5446153691055</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0.60997000000000001</v>
      </c>
      <c r="G17" s="63">
        <f t="shared" si="0"/>
        <v>605.43509318817303</v>
      </c>
      <c r="H17" s="268">
        <f t="shared" si="1"/>
        <v>1598.0004540881732</v>
      </c>
      <c r="I17" s="360">
        <f t="shared" si="20"/>
        <v>267129.98587229691</v>
      </c>
      <c r="J17" s="119">
        <f t="shared" si="22"/>
        <v>76000.758974384822</v>
      </c>
      <c r="K17" s="108">
        <f t="shared" si="21"/>
        <v>8719.2410256151761</v>
      </c>
      <c r="L17" s="46">
        <f t="shared" si="3"/>
        <v>84720</v>
      </c>
      <c r="M17" s="43">
        <f t="shared" si="4"/>
        <v>72200.721025665582</v>
      </c>
      <c r="N17" s="108">
        <f t="shared" si="5"/>
        <v>8283.2789743344165</v>
      </c>
      <c r="O17" s="47">
        <f t="shared" si="6"/>
        <v>80484</v>
      </c>
      <c r="P17" s="119">
        <f t="shared" si="7"/>
        <v>68400.683076946341</v>
      </c>
      <c r="Q17" s="108">
        <f t="shared" si="8"/>
        <v>7847.3169230536587</v>
      </c>
      <c r="R17" s="46">
        <f t="shared" si="9"/>
        <v>76248</v>
      </c>
      <c r="S17" s="43">
        <f t="shared" si="10"/>
        <v>60800.607179507861</v>
      </c>
      <c r="T17" s="108">
        <f t="shared" si="11"/>
        <v>6975.3928204921413</v>
      </c>
      <c r="U17" s="47">
        <f t="shared" si="12"/>
        <v>67776</v>
      </c>
      <c r="V17" s="45">
        <f t="shared" si="13"/>
        <v>53200.531282069373</v>
      </c>
      <c r="W17" s="108">
        <f t="shared" si="14"/>
        <v>6103.4687179306229</v>
      </c>
      <c r="X17" s="46">
        <f t="shared" si="15"/>
        <v>59303.999999999993</v>
      </c>
      <c r="Y17" s="43">
        <f t="shared" si="16"/>
        <v>45600.455384630892</v>
      </c>
      <c r="Z17" s="108">
        <f t="shared" si="17"/>
        <v>5231.5446153691055</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0.60997000000000001</v>
      </c>
      <c r="G18" s="54">
        <f t="shared" si="0"/>
        <v>605.98047444082511</v>
      </c>
      <c r="H18" s="267">
        <f t="shared" si="1"/>
        <v>1599.4399469408252</v>
      </c>
      <c r="I18" s="359">
        <f t="shared" si="20"/>
        <v>265531.98541820876</v>
      </c>
      <c r="J18" s="58">
        <f t="shared" si="22"/>
        <v>76000.758974384822</v>
      </c>
      <c r="K18" s="91">
        <f t="shared" si="21"/>
        <v>8719.2410256151761</v>
      </c>
      <c r="L18" s="284">
        <f t="shared" si="3"/>
        <v>84720</v>
      </c>
      <c r="M18" s="57">
        <f t="shared" si="4"/>
        <v>72200.721025665582</v>
      </c>
      <c r="N18" s="91">
        <f t="shared" si="5"/>
        <v>8283.2789743344165</v>
      </c>
      <c r="O18" s="60">
        <f t="shared" si="6"/>
        <v>80484</v>
      </c>
      <c r="P18" s="58">
        <f t="shared" si="7"/>
        <v>68400.683076946341</v>
      </c>
      <c r="Q18" s="91">
        <f t="shared" si="8"/>
        <v>7847.3169230536587</v>
      </c>
      <c r="R18" s="59">
        <f t="shared" si="9"/>
        <v>76248</v>
      </c>
      <c r="S18" s="57">
        <f t="shared" si="10"/>
        <v>60800.607179507861</v>
      </c>
      <c r="T18" s="91">
        <f t="shared" si="11"/>
        <v>6975.3928204921413</v>
      </c>
      <c r="U18" s="60">
        <f t="shared" si="12"/>
        <v>67776</v>
      </c>
      <c r="V18" s="58">
        <f t="shared" si="13"/>
        <v>53200.531282069373</v>
      </c>
      <c r="W18" s="91">
        <f t="shared" si="14"/>
        <v>6103.4687179306229</v>
      </c>
      <c r="X18" s="59">
        <f t="shared" si="15"/>
        <v>59303.999999999993</v>
      </c>
      <c r="Y18" s="57">
        <f t="shared" si="16"/>
        <v>45600.455384630892</v>
      </c>
      <c r="Z18" s="91">
        <f t="shared" si="17"/>
        <v>5231.5446153691055</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0.60997000000000001</v>
      </c>
      <c r="G19" s="63">
        <f t="shared" si="0"/>
        <v>606.28361714843402</v>
      </c>
      <c r="H19" s="268">
        <f t="shared" si="1"/>
        <v>1600.240069348434</v>
      </c>
      <c r="I19" s="360">
        <f t="shared" si="20"/>
        <v>263932.54547126795</v>
      </c>
      <c r="J19" s="119">
        <f t="shared" si="22"/>
        <v>76000.758974384822</v>
      </c>
      <c r="K19" s="108">
        <f t="shared" si="21"/>
        <v>8719.2410256151761</v>
      </c>
      <c r="L19" s="46">
        <f t="shared" si="3"/>
        <v>84720</v>
      </c>
      <c r="M19" s="43">
        <f t="shared" si="4"/>
        <v>72200.721025665582</v>
      </c>
      <c r="N19" s="108">
        <f t="shared" si="5"/>
        <v>8283.2789743344165</v>
      </c>
      <c r="O19" s="47">
        <f t="shared" si="6"/>
        <v>80484</v>
      </c>
      <c r="P19" s="119">
        <f t="shared" si="7"/>
        <v>68400.683076946341</v>
      </c>
      <c r="Q19" s="108">
        <f t="shared" si="8"/>
        <v>7847.3169230536587</v>
      </c>
      <c r="R19" s="46">
        <f t="shared" si="9"/>
        <v>76248</v>
      </c>
      <c r="S19" s="43">
        <f t="shared" si="10"/>
        <v>60800.607179507861</v>
      </c>
      <c r="T19" s="108">
        <f t="shared" si="11"/>
        <v>6975.3928204921413</v>
      </c>
      <c r="U19" s="47">
        <f t="shared" si="12"/>
        <v>67776</v>
      </c>
      <c r="V19" s="45">
        <f t="shared" si="13"/>
        <v>53200.531282069373</v>
      </c>
      <c r="W19" s="108">
        <f t="shared" si="14"/>
        <v>6103.4687179306229</v>
      </c>
      <c r="X19" s="46">
        <f t="shared" si="15"/>
        <v>59303.999999999993</v>
      </c>
      <c r="Y19" s="43">
        <f t="shared" si="16"/>
        <v>45600.455384630892</v>
      </c>
      <c r="Z19" s="108">
        <f t="shared" si="17"/>
        <v>5231.5446153691055</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0.60997000000000001</v>
      </c>
      <c r="G20" s="54">
        <f t="shared" si="0"/>
        <v>604.40994466779296</v>
      </c>
      <c r="H20" s="267">
        <f t="shared" si="1"/>
        <v>1595.2946515677929</v>
      </c>
      <c r="I20" s="359">
        <f t="shared" si="20"/>
        <v>262332.30540191953</v>
      </c>
      <c r="J20" s="58">
        <f t="shared" si="22"/>
        <v>76000.758974384822</v>
      </c>
      <c r="K20" s="91">
        <f t="shared" si="21"/>
        <v>8719.2410256151761</v>
      </c>
      <c r="L20" s="284">
        <f t="shared" si="3"/>
        <v>84720</v>
      </c>
      <c r="M20" s="57">
        <f t="shared" si="4"/>
        <v>72200.721025665582</v>
      </c>
      <c r="N20" s="91">
        <f t="shared" si="5"/>
        <v>8283.2789743344165</v>
      </c>
      <c r="O20" s="60">
        <f t="shared" si="6"/>
        <v>80484</v>
      </c>
      <c r="P20" s="58">
        <f t="shared" si="7"/>
        <v>68400.683076946341</v>
      </c>
      <c r="Q20" s="91">
        <f t="shared" si="8"/>
        <v>7847.3169230536587</v>
      </c>
      <c r="R20" s="59">
        <f t="shared" si="9"/>
        <v>76248</v>
      </c>
      <c r="S20" s="57">
        <f t="shared" si="10"/>
        <v>60800.607179507861</v>
      </c>
      <c r="T20" s="91">
        <f t="shared" si="11"/>
        <v>6975.3928204921413</v>
      </c>
      <c r="U20" s="60">
        <f t="shared" si="12"/>
        <v>67776</v>
      </c>
      <c r="V20" s="58">
        <f t="shared" si="13"/>
        <v>53200.531282069373</v>
      </c>
      <c r="W20" s="91">
        <f t="shared" si="14"/>
        <v>6103.4687179306229</v>
      </c>
      <c r="X20" s="59">
        <f t="shared" si="15"/>
        <v>59303.999999999993</v>
      </c>
      <c r="Y20" s="57">
        <f t="shared" si="16"/>
        <v>45600.455384630892</v>
      </c>
      <c r="Z20" s="91">
        <f t="shared" si="17"/>
        <v>5231.5446153691055</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0.60997000000000001</v>
      </c>
      <c r="G21" s="63">
        <f t="shared" si="0"/>
        <v>600.68569463463905</v>
      </c>
      <c r="H21" s="268">
        <f t="shared" si="1"/>
        <v>1585.4647733346392</v>
      </c>
      <c r="I21" s="360">
        <f t="shared" si="20"/>
        <v>260737.01075035174</v>
      </c>
      <c r="J21" s="119">
        <f t="shared" si="22"/>
        <v>76000.758974384822</v>
      </c>
      <c r="K21" s="108">
        <f t="shared" si="21"/>
        <v>8719.2410256151761</v>
      </c>
      <c r="L21" s="46">
        <f t="shared" si="3"/>
        <v>84720</v>
      </c>
      <c r="M21" s="43">
        <f t="shared" si="4"/>
        <v>72200.721025665582</v>
      </c>
      <c r="N21" s="108">
        <f t="shared" si="5"/>
        <v>8283.2789743344165</v>
      </c>
      <c r="O21" s="47">
        <f t="shared" si="6"/>
        <v>80484</v>
      </c>
      <c r="P21" s="119">
        <f t="shared" si="7"/>
        <v>68400.683076946341</v>
      </c>
      <c r="Q21" s="108">
        <f t="shared" si="8"/>
        <v>7847.3169230536587</v>
      </c>
      <c r="R21" s="46">
        <f t="shared" si="9"/>
        <v>76248</v>
      </c>
      <c r="S21" s="43">
        <f t="shared" si="10"/>
        <v>60800.607179507861</v>
      </c>
      <c r="T21" s="108">
        <f t="shared" si="11"/>
        <v>6975.3928204921413</v>
      </c>
      <c r="U21" s="47">
        <f t="shared" si="12"/>
        <v>67776</v>
      </c>
      <c r="V21" s="45">
        <f t="shared" si="13"/>
        <v>53200.531282069373</v>
      </c>
      <c r="W21" s="108">
        <f t="shared" si="14"/>
        <v>6103.4687179306229</v>
      </c>
      <c r="X21" s="46">
        <f t="shared" si="15"/>
        <v>59303.999999999993</v>
      </c>
      <c r="Y21" s="43">
        <f t="shared" si="16"/>
        <v>45600.455384630892</v>
      </c>
      <c r="Z21" s="108">
        <f t="shared" si="17"/>
        <v>5231.5446153691055</v>
      </c>
      <c r="AA21" s="46">
        <f t="shared" si="18"/>
        <v>50832</v>
      </c>
    </row>
    <row r="22" spans="1:27" ht="13.5" thickBot="1">
      <c r="A22" s="356">
        <v>157</v>
      </c>
      <c r="B22" s="300">
        <v>40513</v>
      </c>
      <c r="C22" s="61">
        <f>VLOOKUP(B22,'base(indices)'!$A$4:$C$183,3,FALSE)</f>
        <v>510</v>
      </c>
      <c r="D22" s="335">
        <f>'base(indices)'!G15</f>
        <v>1.91447488</v>
      </c>
      <c r="E22" s="163">
        <f t="shared" si="19"/>
        <v>976.38218879999999</v>
      </c>
      <c r="F22" s="304">
        <f>'base(indices)'!I15</f>
        <v>0.60997000000000001</v>
      </c>
      <c r="G22" s="163">
        <f t="shared" si="0"/>
        <v>595.56384370233604</v>
      </c>
      <c r="H22" s="355">
        <f t="shared" si="1"/>
        <v>1571.946032502336</v>
      </c>
      <c r="I22" s="361">
        <f t="shared" si="20"/>
        <v>259151.54597701709</v>
      </c>
      <c r="J22" s="58">
        <f t="shared" si="22"/>
        <v>76000.758974384822</v>
      </c>
      <c r="K22" s="202">
        <f t="shared" si="21"/>
        <v>8719.2410256151761</v>
      </c>
      <c r="L22" s="286">
        <f t="shared" si="3"/>
        <v>84720</v>
      </c>
      <c r="M22" s="282">
        <f t="shared" si="4"/>
        <v>72200.721025665582</v>
      </c>
      <c r="N22" s="202">
        <f t="shared" si="5"/>
        <v>8283.2789743344165</v>
      </c>
      <c r="O22" s="289">
        <f t="shared" si="6"/>
        <v>80484</v>
      </c>
      <c r="P22" s="285">
        <f t="shared" si="7"/>
        <v>68400.683076946341</v>
      </c>
      <c r="Q22" s="202">
        <f t="shared" si="8"/>
        <v>7847.3169230536587</v>
      </c>
      <c r="R22" s="203">
        <f t="shared" si="9"/>
        <v>76248</v>
      </c>
      <c r="S22" s="282">
        <f t="shared" si="10"/>
        <v>60800.607179507861</v>
      </c>
      <c r="T22" s="202">
        <f t="shared" si="11"/>
        <v>6975.3928204921413</v>
      </c>
      <c r="U22" s="289">
        <f t="shared" si="12"/>
        <v>67776</v>
      </c>
      <c r="V22" s="285">
        <f t="shared" si="13"/>
        <v>53200.531282069373</v>
      </c>
      <c r="W22" s="202">
        <f t="shared" si="14"/>
        <v>6103.4687179306229</v>
      </c>
      <c r="X22" s="203">
        <f t="shared" si="15"/>
        <v>59303.999999999993</v>
      </c>
      <c r="Y22" s="282">
        <f t="shared" si="16"/>
        <v>45600.455384630892</v>
      </c>
      <c r="Z22" s="202">
        <f t="shared" si="17"/>
        <v>5231.5446153691055</v>
      </c>
      <c r="AA22" s="203">
        <f t="shared" si="18"/>
        <v>50832</v>
      </c>
    </row>
    <row r="23" spans="1:27">
      <c r="A23" s="350">
        <v>156</v>
      </c>
      <c r="B23" s="246">
        <v>40544</v>
      </c>
      <c r="C23" s="120">
        <f>VLOOKUP(B23,'base(indices)'!$A$4:$C$183,3,FALSE)</f>
        <v>540</v>
      </c>
      <c r="D23" s="193">
        <f>'base(indices)'!G16</f>
        <v>1.90135553</v>
      </c>
      <c r="E23" s="78">
        <f>C23*D23</f>
        <v>1026.7319861999999</v>
      </c>
      <c r="F23" s="79">
        <f>'base(indices)'!I16</f>
        <v>0.60997000000000001</v>
      </c>
      <c r="G23" s="78">
        <f t="shared" ref="G23:G86" si="23">E23*F23</f>
        <v>626.27570962241396</v>
      </c>
      <c r="H23" s="266">
        <f t="shared" ref="H23:H86" si="24">E23+G23</f>
        <v>1653.007695822414</v>
      </c>
      <c r="I23" s="360">
        <f t="shared" si="20"/>
        <v>257579.59994451475</v>
      </c>
      <c r="J23" s="48">
        <f>IF((I23)+K23&gt;$I$97,$I$197-K23,(I23))</f>
        <v>76000.758974384822</v>
      </c>
      <c r="K23" s="109">
        <f t="shared" ref="K23:K86" si="25">I$196</f>
        <v>8719.2410256151761</v>
      </c>
      <c r="L23" s="49">
        <f t="shared" ref="L23:L82" si="26">J23+K23</f>
        <v>84720</v>
      </c>
      <c r="M23" s="138">
        <f t="shared" ref="M23:M86" si="27">J23*M$9</f>
        <v>72200.721025665582</v>
      </c>
      <c r="N23" s="109">
        <f t="shared" ref="N23:N86" si="28">K23*M$9</f>
        <v>8283.2789743344165</v>
      </c>
      <c r="O23" s="139">
        <f t="shared" ref="O23:O82" si="29">M23+N23</f>
        <v>80484</v>
      </c>
      <c r="P23" s="291">
        <f t="shared" ref="P23:P85" si="30">J23*$P$9</f>
        <v>68400.683076946341</v>
      </c>
      <c r="Q23" s="109">
        <f t="shared" ref="Q23:Q86" si="31">K23*P$9</f>
        <v>7847.3169230536587</v>
      </c>
      <c r="R23" s="49">
        <f t="shared" ref="R23:R82" si="32">P23+Q23</f>
        <v>76248</v>
      </c>
      <c r="S23" s="138">
        <f t="shared" ref="S23:S86" si="33">J23*S$9</f>
        <v>60800.607179507861</v>
      </c>
      <c r="T23" s="109">
        <f t="shared" ref="T23:T86" si="34">K23*S$9</f>
        <v>6975.3928204921413</v>
      </c>
      <c r="U23" s="139">
        <f t="shared" ref="U23:U82" si="35">S23+T23</f>
        <v>67776</v>
      </c>
      <c r="V23" s="48">
        <f t="shared" ref="V23:V86" si="36">J23*V$9</f>
        <v>53200.531282069373</v>
      </c>
      <c r="W23" s="109">
        <f t="shared" ref="W23:W86" si="37">K23*V$9</f>
        <v>6103.4687179306229</v>
      </c>
      <c r="X23" s="49">
        <f t="shared" ref="X23:X82" si="38">V23+W23</f>
        <v>59303.999999999993</v>
      </c>
      <c r="Y23" s="138">
        <f t="shared" ref="Y23:Y86" si="39">J23*Y$9</f>
        <v>45600.455384630892</v>
      </c>
      <c r="Z23" s="109">
        <f t="shared" ref="Z23:Z86" si="40">K23*Y$9</f>
        <v>5231.5446153691055</v>
      </c>
      <c r="AA23" s="49">
        <f t="shared" ref="AA23:AA82" si="41">Y23+Z23</f>
        <v>50832</v>
      </c>
    </row>
    <row r="24" spans="1:27">
      <c r="A24" s="327">
        <v>155</v>
      </c>
      <c r="B24" s="50">
        <v>40575</v>
      </c>
      <c r="C24" s="61">
        <f>VLOOKUP(B24,'base(indices)'!$A$4:$C$183,3,FALSE)</f>
        <v>540</v>
      </c>
      <c r="D24" s="192">
        <f>'base(indices)'!G17</f>
        <v>1.88701422</v>
      </c>
      <c r="E24" s="54">
        <f t="shared" ref="E24:E34" si="42">C24*D24</f>
        <v>1018.9876788</v>
      </c>
      <c r="F24" s="82">
        <f>'base(indices)'!I17</f>
        <v>0.60997000000000001</v>
      </c>
      <c r="G24" s="54">
        <f t="shared" si="23"/>
        <v>621.55191443763601</v>
      </c>
      <c r="H24" s="267">
        <f t="shared" si="24"/>
        <v>1640.5395932376359</v>
      </c>
      <c r="I24" s="359">
        <f t="shared" ref="I24:I87" si="43">I23-H23</f>
        <v>255926.59224869232</v>
      </c>
      <c r="J24" s="58">
        <f>IF((I24)+K24&gt;$I$197,$I$197-K24,(I24))</f>
        <v>76000.758974384822</v>
      </c>
      <c r="K24" s="91">
        <f t="shared" si="25"/>
        <v>8719.2410256151761</v>
      </c>
      <c r="L24" s="284">
        <f t="shared" si="26"/>
        <v>84720</v>
      </c>
      <c r="M24" s="57">
        <f t="shared" si="27"/>
        <v>72200.721025665582</v>
      </c>
      <c r="N24" s="91">
        <f t="shared" si="28"/>
        <v>8283.2789743344165</v>
      </c>
      <c r="O24" s="60">
        <f t="shared" si="29"/>
        <v>80484</v>
      </c>
      <c r="P24" s="58">
        <f t="shared" si="30"/>
        <v>68400.683076946341</v>
      </c>
      <c r="Q24" s="91">
        <f t="shared" si="31"/>
        <v>7847.3169230536587</v>
      </c>
      <c r="R24" s="59">
        <f t="shared" si="32"/>
        <v>76248</v>
      </c>
      <c r="S24" s="57">
        <f t="shared" si="33"/>
        <v>60800.607179507861</v>
      </c>
      <c r="T24" s="91">
        <f t="shared" si="34"/>
        <v>6975.3928204921413</v>
      </c>
      <c r="U24" s="60">
        <f t="shared" si="35"/>
        <v>67776</v>
      </c>
      <c r="V24" s="58">
        <f t="shared" si="36"/>
        <v>53200.531282069373</v>
      </c>
      <c r="W24" s="91">
        <f t="shared" si="37"/>
        <v>6103.4687179306229</v>
      </c>
      <c r="X24" s="59">
        <f t="shared" si="38"/>
        <v>59303.999999999993</v>
      </c>
      <c r="Y24" s="57">
        <f t="shared" si="39"/>
        <v>45600.455384630892</v>
      </c>
      <c r="Z24" s="91">
        <f t="shared" si="40"/>
        <v>5231.5446153691055</v>
      </c>
      <c r="AA24" s="59">
        <f t="shared" si="41"/>
        <v>50832</v>
      </c>
    </row>
    <row r="25" spans="1:27">
      <c r="A25" s="327">
        <v>154</v>
      </c>
      <c r="B25" s="40">
        <v>40603</v>
      </c>
      <c r="C25" s="61">
        <f>VLOOKUP(B25,'base(indices)'!$A$4:$C$183,3,FALSE)</f>
        <v>545</v>
      </c>
      <c r="D25" s="192">
        <f>'base(indices)'!G18</f>
        <v>1.8688860300000001</v>
      </c>
      <c r="E25" s="63">
        <f t="shared" si="42"/>
        <v>1018.54288635</v>
      </c>
      <c r="F25" s="82">
        <f>'base(indices)'!I18</f>
        <v>0.60997000000000001</v>
      </c>
      <c r="G25" s="63">
        <f t="shared" si="23"/>
        <v>621.28060438690954</v>
      </c>
      <c r="H25" s="268">
        <f t="shared" si="24"/>
        <v>1639.8234907369097</v>
      </c>
      <c r="I25" s="360">
        <f t="shared" si="43"/>
        <v>254286.0526554547</v>
      </c>
      <c r="J25" s="119">
        <f>IF((I25)+K25&gt;$I$197,$I$197-K25,(I25))</f>
        <v>76000.758974384822</v>
      </c>
      <c r="K25" s="108">
        <f t="shared" si="25"/>
        <v>8719.2410256151761</v>
      </c>
      <c r="L25" s="46">
        <f t="shared" si="26"/>
        <v>84720</v>
      </c>
      <c r="M25" s="43">
        <f t="shared" si="27"/>
        <v>72200.721025665582</v>
      </c>
      <c r="N25" s="108">
        <f t="shared" si="28"/>
        <v>8283.2789743344165</v>
      </c>
      <c r="O25" s="47">
        <f t="shared" si="29"/>
        <v>80484</v>
      </c>
      <c r="P25" s="119">
        <f t="shared" si="30"/>
        <v>68400.683076946341</v>
      </c>
      <c r="Q25" s="108">
        <f t="shared" si="31"/>
        <v>7847.3169230536587</v>
      </c>
      <c r="R25" s="46">
        <f t="shared" si="32"/>
        <v>76248</v>
      </c>
      <c r="S25" s="43">
        <f t="shared" si="33"/>
        <v>60800.607179507861</v>
      </c>
      <c r="T25" s="108">
        <f t="shared" si="34"/>
        <v>6975.3928204921413</v>
      </c>
      <c r="U25" s="47">
        <f t="shared" si="35"/>
        <v>67776</v>
      </c>
      <c r="V25" s="45">
        <f t="shared" si="36"/>
        <v>53200.531282069373</v>
      </c>
      <c r="W25" s="108">
        <f t="shared" si="37"/>
        <v>6103.4687179306229</v>
      </c>
      <c r="X25" s="46">
        <f t="shared" si="38"/>
        <v>59303.999999999993</v>
      </c>
      <c r="Y25" s="43">
        <f t="shared" si="39"/>
        <v>45600.455384630892</v>
      </c>
      <c r="Z25" s="108">
        <f t="shared" si="40"/>
        <v>5231.5446153691055</v>
      </c>
      <c r="AA25" s="46">
        <f t="shared" si="41"/>
        <v>50832</v>
      </c>
    </row>
    <row r="26" spans="1:27">
      <c r="A26" s="327">
        <v>153</v>
      </c>
      <c r="B26" s="50">
        <v>40634</v>
      </c>
      <c r="C26" s="61">
        <f>VLOOKUP(B26,'base(indices)'!$A$4:$C$183,3,FALSE)</f>
        <v>545</v>
      </c>
      <c r="D26" s="192">
        <f>'base(indices)'!G19</f>
        <v>1.85773959</v>
      </c>
      <c r="E26" s="54">
        <f t="shared" si="42"/>
        <v>1012.46807655</v>
      </c>
      <c r="F26" s="82">
        <f>'base(indices)'!I19</f>
        <v>0.60997000000000001</v>
      </c>
      <c r="G26" s="54">
        <f t="shared" si="23"/>
        <v>617.57515265320353</v>
      </c>
      <c r="H26" s="267">
        <f t="shared" si="24"/>
        <v>1630.0432292032035</v>
      </c>
      <c r="I26" s="359">
        <f t="shared" si="43"/>
        <v>252646.22916471778</v>
      </c>
      <c r="J26" s="58">
        <f>IF((I26)+K26&gt;$I$197,$I$197-K26,(I26))</f>
        <v>76000.758974384822</v>
      </c>
      <c r="K26" s="91">
        <f t="shared" si="25"/>
        <v>8719.2410256151761</v>
      </c>
      <c r="L26" s="284">
        <f t="shared" si="26"/>
        <v>84720</v>
      </c>
      <c r="M26" s="57">
        <f t="shared" si="27"/>
        <v>72200.721025665582</v>
      </c>
      <c r="N26" s="91">
        <f t="shared" si="28"/>
        <v>8283.2789743344165</v>
      </c>
      <c r="O26" s="60">
        <f t="shared" si="29"/>
        <v>80484</v>
      </c>
      <c r="P26" s="58">
        <f t="shared" si="30"/>
        <v>68400.683076946341</v>
      </c>
      <c r="Q26" s="91">
        <f t="shared" si="31"/>
        <v>7847.3169230536587</v>
      </c>
      <c r="R26" s="59">
        <f t="shared" si="32"/>
        <v>76248</v>
      </c>
      <c r="S26" s="57">
        <f t="shared" si="33"/>
        <v>60800.607179507861</v>
      </c>
      <c r="T26" s="91">
        <f t="shared" si="34"/>
        <v>6975.3928204921413</v>
      </c>
      <c r="U26" s="60">
        <f t="shared" si="35"/>
        <v>67776</v>
      </c>
      <c r="V26" s="58">
        <f t="shared" si="36"/>
        <v>53200.531282069373</v>
      </c>
      <c r="W26" s="91">
        <f t="shared" si="37"/>
        <v>6103.4687179306229</v>
      </c>
      <c r="X26" s="59">
        <f t="shared" si="38"/>
        <v>59303.999999999993</v>
      </c>
      <c r="Y26" s="57">
        <f t="shared" si="39"/>
        <v>45600.455384630892</v>
      </c>
      <c r="Z26" s="91">
        <f t="shared" si="40"/>
        <v>5231.5446153691055</v>
      </c>
      <c r="AA26" s="59">
        <f t="shared" si="41"/>
        <v>50832</v>
      </c>
    </row>
    <row r="27" spans="1:27">
      <c r="A27" s="327">
        <v>152</v>
      </c>
      <c r="B27" s="40">
        <v>40664</v>
      </c>
      <c r="C27" s="61">
        <f>VLOOKUP(B27,'base(indices)'!$A$4:$C$183,3,FALSE)</f>
        <v>545</v>
      </c>
      <c r="D27" s="192">
        <f>'base(indices)'!G20</f>
        <v>1.8435443</v>
      </c>
      <c r="E27" s="63">
        <f t="shared" si="42"/>
        <v>1004.7316435</v>
      </c>
      <c r="F27" s="82">
        <f>'base(indices)'!I20</f>
        <v>0.60997000000000001</v>
      </c>
      <c r="G27" s="63">
        <f t="shared" si="23"/>
        <v>612.85616058569508</v>
      </c>
      <c r="H27" s="268">
        <f t="shared" si="24"/>
        <v>1617.5878040856951</v>
      </c>
      <c r="I27" s="360">
        <f t="shared" si="43"/>
        <v>251016.18593551457</v>
      </c>
      <c r="J27" s="119">
        <f t="shared" ref="J27:J34" si="44">IF((I27)+K27&gt;$I$197,$I$197-K27,(I27))</f>
        <v>76000.758974384822</v>
      </c>
      <c r="K27" s="108">
        <f t="shared" si="25"/>
        <v>8719.2410256151761</v>
      </c>
      <c r="L27" s="46">
        <f t="shared" si="26"/>
        <v>84720</v>
      </c>
      <c r="M27" s="43">
        <f t="shared" si="27"/>
        <v>72200.721025665582</v>
      </c>
      <c r="N27" s="108">
        <f t="shared" si="28"/>
        <v>8283.2789743344165</v>
      </c>
      <c r="O27" s="47">
        <f t="shared" si="29"/>
        <v>80484</v>
      </c>
      <c r="P27" s="119">
        <f t="shared" si="30"/>
        <v>68400.683076946341</v>
      </c>
      <c r="Q27" s="108">
        <f t="shared" si="31"/>
        <v>7847.3169230536587</v>
      </c>
      <c r="R27" s="46">
        <f t="shared" si="32"/>
        <v>76248</v>
      </c>
      <c r="S27" s="43">
        <f t="shared" si="33"/>
        <v>60800.607179507861</v>
      </c>
      <c r="T27" s="108">
        <f t="shared" si="34"/>
        <v>6975.3928204921413</v>
      </c>
      <c r="U27" s="47">
        <f t="shared" si="35"/>
        <v>67776</v>
      </c>
      <c r="V27" s="45">
        <f t="shared" si="36"/>
        <v>53200.531282069373</v>
      </c>
      <c r="W27" s="108">
        <f t="shared" si="37"/>
        <v>6103.4687179306229</v>
      </c>
      <c r="X27" s="46">
        <f t="shared" si="38"/>
        <v>59303.999999999993</v>
      </c>
      <c r="Y27" s="43">
        <f t="shared" si="39"/>
        <v>45600.455384630892</v>
      </c>
      <c r="Z27" s="108">
        <f t="shared" si="40"/>
        <v>5231.5446153691055</v>
      </c>
      <c r="AA27" s="46">
        <f t="shared" si="41"/>
        <v>50832</v>
      </c>
    </row>
    <row r="28" spans="1:27">
      <c r="A28" s="327">
        <v>151</v>
      </c>
      <c r="B28" s="50">
        <v>40695</v>
      </c>
      <c r="C28" s="61">
        <f>VLOOKUP(B28,'base(indices)'!$A$4:$C$183,3,FALSE)</f>
        <v>545</v>
      </c>
      <c r="D28" s="192">
        <f>'base(indices)'!G21</f>
        <v>1.8307291999999999</v>
      </c>
      <c r="E28" s="54">
        <f t="shared" si="42"/>
        <v>997.74741399999994</v>
      </c>
      <c r="F28" s="82">
        <f>'base(indices)'!I21</f>
        <v>0.60997000000000001</v>
      </c>
      <c r="G28" s="54">
        <f t="shared" si="23"/>
        <v>608.59599011757996</v>
      </c>
      <c r="H28" s="267">
        <f t="shared" si="24"/>
        <v>1606.3434041175799</v>
      </c>
      <c r="I28" s="359">
        <f t="shared" si="43"/>
        <v>249398.59813142888</v>
      </c>
      <c r="J28" s="58">
        <f t="shared" si="44"/>
        <v>76000.758974384822</v>
      </c>
      <c r="K28" s="91">
        <f t="shared" si="25"/>
        <v>8719.2410256151761</v>
      </c>
      <c r="L28" s="284">
        <f t="shared" si="26"/>
        <v>84720</v>
      </c>
      <c r="M28" s="57">
        <f t="shared" si="27"/>
        <v>72200.721025665582</v>
      </c>
      <c r="N28" s="91">
        <f t="shared" si="28"/>
        <v>8283.2789743344165</v>
      </c>
      <c r="O28" s="60">
        <f t="shared" si="29"/>
        <v>80484</v>
      </c>
      <c r="P28" s="58">
        <f t="shared" si="30"/>
        <v>68400.683076946341</v>
      </c>
      <c r="Q28" s="91">
        <f t="shared" si="31"/>
        <v>7847.3169230536587</v>
      </c>
      <c r="R28" s="59">
        <f t="shared" si="32"/>
        <v>76248</v>
      </c>
      <c r="S28" s="57">
        <f t="shared" si="33"/>
        <v>60800.607179507861</v>
      </c>
      <c r="T28" s="91">
        <f t="shared" si="34"/>
        <v>6975.3928204921413</v>
      </c>
      <c r="U28" s="60">
        <f t="shared" si="35"/>
        <v>67776</v>
      </c>
      <c r="V28" s="58">
        <f t="shared" si="36"/>
        <v>53200.531282069373</v>
      </c>
      <c r="W28" s="91">
        <f t="shared" si="37"/>
        <v>6103.4687179306229</v>
      </c>
      <c r="X28" s="59">
        <f t="shared" si="38"/>
        <v>59303.999999999993</v>
      </c>
      <c r="Y28" s="57">
        <f t="shared" si="39"/>
        <v>45600.455384630892</v>
      </c>
      <c r="Z28" s="91">
        <f t="shared" si="40"/>
        <v>5231.5446153691055</v>
      </c>
      <c r="AA28" s="59">
        <f t="shared" si="41"/>
        <v>50832</v>
      </c>
    </row>
    <row r="29" spans="1:27">
      <c r="A29" s="327">
        <v>150</v>
      </c>
      <c r="B29" s="40">
        <v>40725</v>
      </c>
      <c r="C29" s="61">
        <f>VLOOKUP(B29,'base(indices)'!$A$4:$C$183,3,FALSE)</f>
        <v>545</v>
      </c>
      <c r="D29" s="192">
        <f>'base(indices)'!G22</f>
        <v>1.8265281799999999</v>
      </c>
      <c r="E29" s="63">
        <f t="shared" si="42"/>
        <v>995.45785809999995</v>
      </c>
      <c r="F29" s="82">
        <f>'base(indices)'!I22</f>
        <v>0.60997000000000001</v>
      </c>
      <c r="G29" s="63">
        <f t="shared" si="23"/>
        <v>607.19942970525699</v>
      </c>
      <c r="H29" s="268">
        <f t="shared" si="24"/>
        <v>1602.6572878052571</v>
      </c>
      <c r="I29" s="360">
        <f t="shared" si="43"/>
        <v>247792.25472731129</v>
      </c>
      <c r="J29" s="119">
        <f t="shared" si="44"/>
        <v>76000.758974384822</v>
      </c>
      <c r="K29" s="108">
        <f t="shared" si="25"/>
        <v>8719.2410256151761</v>
      </c>
      <c r="L29" s="46">
        <f t="shared" si="26"/>
        <v>84720</v>
      </c>
      <c r="M29" s="43">
        <f t="shared" si="27"/>
        <v>72200.721025665582</v>
      </c>
      <c r="N29" s="108">
        <f t="shared" si="28"/>
        <v>8283.2789743344165</v>
      </c>
      <c r="O29" s="47">
        <f t="shared" si="29"/>
        <v>80484</v>
      </c>
      <c r="P29" s="119">
        <f t="shared" si="30"/>
        <v>68400.683076946341</v>
      </c>
      <c r="Q29" s="108">
        <f t="shared" si="31"/>
        <v>7847.3169230536587</v>
      </c>
      <c r="R29" s="46">
        <f t="shared" si="32"/>
        <v>76248</v>
      </c>
      <c r="S29" s="43">
        <f t="shared" si="33"/>
        <v>60800.607179507861</v>
      </c>
      <c r="T29" s="108">
        <f t="shared" si="34"/>
        <v>6975.3928204921413</v>
      </c>
      <c r="U29" s="47">
        <f t="shared" si="35"/>
        <v>67776</v>
      </c>
      <c r="V29" s="45">
        <f t="shared" si="36"/>
        <v>53200.531282069373</v>
      </c>
      <c r="W29" s="108">
        <f t="shared" si="37"/>
        <v>6103.4687179306229</v>
      </c>
      <c r="X29" s="46">
        <f t="shared" si="38"/>
        <v>59303.999999999993</v>
      </c>
      <c r="Y29" s="43">
        <f t="shared" si="39"/>
        <v>45600.455384630892</v>
      </c>
      <c r="Z29" s="108">
        <f t="shared" si="40"/>
        <v>5231.5446153691055</v>
      </c>
      <c r="AA29" s="46">
        <f t="shared" si="41"/>
        <v>50832</v>
      </c>
    </row>
    <row r="30" spans="1:27">
      <c r="A30" s="327">
        <v>149</v>
      </c>
      <c r="B30" s="50">
        <v>40756</v>
      </c>
      <c r="C30" s="61">
        <f>VLOOKUP(B30,'base(indices)'!$A$4:$C$183,3,FALSE)</f>
        <v>545</v>
      </c>
      <c r="D30" s="192">
        <f>'base(indices)'!G23</f>
        <v>1.8247034799999999</v>
      </c>
      <c r="E30" s="54">
        <f t="shared" si="42"/>
        <v>994.46339660000001</v>
      </c>
      <c r="F30" s="82">
        <f>'base(indices)'!I23</f>
        <v>0.60997000000000001</v>
      </c>
      <c r="G30" s="54">
        <f t="shared" si="23"/>
        <v>606.59283802410198</v>
      </c>
      <c r="H30" s="267">
        <f t="shared" si="24"/>
        <v>1601.056234624102</v>
      </c>
      <c r="I30" s="359">
        <f t="shared" si="43"/>
        <v>246189.59743950603</v>
      </c>
      <c r="J30" s="58">
        <f t="shared" si="44"/>
        <v>76000.758974384822</v>
      </c>
      <c r="K30" s="91">
        <f t="shared" si="25"/>
        <v>8719.2410256151761</v>
      </c>
      <c r="L30" s="284">
        <f t="shared" si="26"/>
        <v>84720</v>
      </c>
      <c r="M30" s="57">
        <f t="shared" si="27"/>
        <v>72200.721025665582</v>
      </c>
      <c r="N30" s="91">
        <f t="shared" si="28"/>
        <v>8283.2789743344165</v>
      </c>
      <c r="O30" s="60">
        <f t="shared" si="29"/>
        <v>80484</v>
      </c>
      <c r="P30" s="58">
        <f t="shared" si="30"/>
        <v>68400.683076946341</v>
      </c>
      <c r="Q30" s="91">
        <f t="shared" si="31"/>
        <v>7847.3169230536587</v>
      </c>
      <c r="R30" s="59">
        <f t="shared" si="32"/>
        <v>76248</v>
      </c>
      <c r="S30" s="57">
        <f t="shared" si="33"/>
        <v>60800.607179507861</v>
      </c>
      <c r="T30" s="91">
        <f t="shared" si="34"/>
        <v>6975.3928204921413</v>
      </c>
      <c r="U30" s="60">
        <f t="shared" si="35"/>
        <v>67776</v>
      </c>
      <c r="V30" s="58">
        <f t="shared" si="36"/>
        <v>53200.531282069373</v>
      </c>
      <c r="W30" s="91">
        <f t="shared" si="37"/>
        <v>6103.4687179306229</v>
      </c>
      <c r="X30" s="59">
        <f t="shared" si="38"/>
        <v>59303.999999999993</v>
      </c>
      <c r="Y30" s="57">
        <f t="shared" si="39"/>
        <v>45600.455384630892</v>
      </c>
      <c r="Z30" s="91">
        <f t="shared" si="40"/>
        <v>5231.5446153691055</v>
      </c>
      <c r="AA30" s="59">
        <f t="shared" si="41"/>
        <v>50832</v>
      </c>
    </row>
    <row r="31" spans="1:27">
      <c r="A31" s="327">
        <v>148</v>
      </c>
      <c r="B31" s="40">
        <v>40787</v>
      </c>
      <c r="C31" s="61">
        <f>VLOOKUP(B31,'base(indices)'!$A$4:$C$183,3,FALSE)</f>
        <v>545</v>
      </c>
      <c r="D31" s="192">
        <f>'base(indices)'!G24</f>
        <v>1.81979004</v>
      </c>
      <c r="E31" s="63">
        <f t="shared" si="42"/>
        <v>991.78557179999996</v>
      </c>
      <c r="F31" s="82">
        <f>'base(indices)'!I24</f>
        <v>0.60997000000000001</v>
      </c>
      <c r="G31" s="63">
        <f t="shared" si="23"/>
        <v>604.95944523084597</v>
      </c>
      <c r="H31" s="268">
        <f t="shared" si="24"/>
        <v>1596.7450170308459</v>
      </c>
      <c r="I31" s="360">
        <f t="shared" si="43"/>
        <v>244588.54120488194</v>
      </c>
      <c r="J31" s="119">
        <f t="shared" si="44"/>
        <v>76000.758974384822</v>
      </c>
      <c r="K31" s="108">
        <f t="shared" si="25"/>
        <v>8719.2410256151761</v>
      </c>
      <c r="L31" s="46">
        <f t="shared" si="26"/>
        <v>84720</v>
      </c>
      <c r="M31" s="43">
        <f t="shared" si="27"/>
        <v>72200.721025665582</v>
      </c>
      <c r="N31" s="108">
        <f t="shared" si="28"/>
        <v>8283.2789743344165</v>
      </c>
      <c r="O31" s="47">
        <f t="shared" si="29"/>
        <v>80484</v>
      </c>
      <c r="P31" s="119">
        <f t="shared" si="30"/>
        <v>68400.683076946341</v>
      </c>
      <c r="Q31" s="108">
        <f t="shared" si="31"/>
        <v>7847.3169230536587</v>
      </c>
      <c r="R31" s="46">
        <f t="shared" si="32"/>
        <v>76248</v>
      </c>
      <c r="S31" s="43">
        <f t="shared" si="33"/>
        <v>60800.607179507861</v>
      </c>
      <c r="T31" s="108">
        <f t="shared" si="34"/>
        <v>6975.3928204921413</v>
      </c>
      <c r="U31" s="47">
        <f t="shared" si="35"/>
        <v>67776</v>
      </c>
      <c r="V31" s="45">
        <f t="shared" si="36"/>
        <v>53200.531282069373</v>
      </c>
      <c r="W31" s="108">
        <f t="shared" si="37"/>
        <v>6103.4687179306229</v>
      </c>
      <c r="X31" s="46">
        <f t="shared" si="38"/>
        <v>59303.999999999993</v>
      </c>
      <c r="Y31" s="43">
        <f t="shared" si="39"/>
        <v>45600.455384630892</v>
      </c>
      <c r="Z31" s="108">
        <f t="shared" si="40"/>
        <v>5231.5446153691055</v>
      </c>
      <c r="AA31" s="46">
        <f t="shared" si="41"/>
        <v>50832</v>
      </c>
    </row>
    <row r="32" spans="1:27">
      <c r="A32" s="327">
        <v>147</v>
      </c>
      <c r="B32" s="50">
        <v>40817</v>
      </c>
      <c r="C32" s="61">
        <f>VLOOKUP(B32,'base(indices)'!$A$4:$C$183,3,FALSE)</f>
        <v>545</v>
      </c>
      <c r="D32" s="192">
        <f>'base(indices)'!G25</f>
        <v>1.8101960100000001</v>
      </c>
      <c r="E32" s="54">
        <f t="shared" si="42"/>
        <v>986.55682545000002</v>
      </c>
      <c r="F32" s="82">
        <f>'base(indices)'!I25</f>
        <v>0.60997000000000001</v>
      </c>
      <c r="G32" s="54">
        <f t="shared" si="23"/>
        <v>601.77006681973648</v>
      </c>
      <c r="H32" s="267">
        <f t="shared" si="24"/>
        <v>1588.3268922697366</v>
      </c>
      <c r="I32" s="359">
        <f t="shared" si="43"/>
        <v>242991.79618785108</v>
      </c>
      <c r="J32" s="58">
        <f t="shared" si="44"/>
        <v>76000.758974384822</v>
      </c>
      <c r="K32" s="91">
        <f t="shared" si="25"/>
        <v>8719.2410256151761</v>
      </c>
      <c r="L32" s="284">
        <f t="shared" si="26"/>
        <v>84720</v>
      </c>
      <c r="M32" s="57">
        <f t="shared" si="27"/>
        <v>72200.721025665582</v>
      </c>
      <c r="N32" s="91">
        <f t="shared" si="28"/>
        <v>8283.2789743344165</v>
      </c>
      <c r="O32" s="60">
        <f t="shared" si="29"/>
        <v>80484</v>
      </c>
      <c r="P32" s="58">
        <f t="shared" si="30"/>
        <v>68400.683076946341</v>
      </c>
      <c r="Q32" s="91">
        <f t="shared" si="31"/>
        <v>7847.3169230536587</v>
      </c>
      <c r="R32" s="59">
        <f t="shared" si="32"/>
        <v>76248</v>
      </c>
      <c r="S32" s="57">
        <f t="shared" si="33"/>
        <v>60800.607179507861</v>
      </c>
      <c r="T32" s="91">
        <f t="shared" si="34"/>
        <v>6975.3928204921413</v>
      </c>
      <c r="U32" s="60">
        <f t="shared" si="35"/>
        <v>67776</v>
      </c>
      <c r="V32" s="58">
        <f t="shared" si="36"/>
        <v>53200.531282069373</v>
      </c>
      <c r="W32" s="91">
        <f t="shared" si="37"/>
        <v>6103.4687179306229</v>
      </c>
      <c r="X32" s="59">
        <f t="shared" si="38"/>
        <v>59303.999999999993</v>
      </c>
      <c r="Y32" s="57">
        <f t="shared" si="39"/>
        <v>45600.455384630892</v>
      </c>
      <c r="Z32" s="91">
        <f t="shared" si="40"/>
        <v>5231.5446153691055</v>
      </c>
      <c r="AA32" s="59">
        <f t="shared" si="41"/>
        <v>50832</v>
      </c>
    </row>
    <row r="33" spans="1:27">
      <c r="A33" s="327">
        <v>146</v>
      </c>
      <c r="B33" s="40">
        <v>40848</v>
      </c>
      <c r="C33" s="61">
        <f>VLOOKUP(B33,'base(indices)'!$A$4:$C$183,3,FALSE)</f>
        <v>545</v>
      </c>
      <c r="D33" s="192">
        <f>'base(indices)'!G26</f>
        <v>1.80262498</v>
      </c>
      <c r="E33" s="63">
        <f t="shared" si="42"/>
        <v>982.43061410000007</v>
      </c>
      <c r="F33" s="82">
        <f>'base(indices)'!I26</f>
        <v>0.60997000000000001</v>
      </c>
      <c r="G33" s="63">
        <f t="shared" si="23"/>
        <v>599.25320168257701</v>
      </c>
      <c r="H33" s="268">
        <f t="shared" si="24"/>
        <v>1581.6838157825771</v>
      </c>
      <c r="I33" s="360">
        <f t="shared" si="43"/>
        <v>241403.46929558134</v>
      </c>
      <c r="J33" s="119">
        <f t="shared" si="44"/>
        <v>76000.758974384822</v>
      </c>
      <c r="K33" s="108">
        <f t="shared" si="25"/>
        <v>8719.2410256151761</v>
      </c>
      <c r="L33" s="46">
        <f t="shared" si="26"/>
        <v>84720</v>
      </c>
      <c r="M33" s="43">
        <f t="shared" si="27"/>
        <v>72200.721025665582</v>
      </c>
      <c r="N33" s="108">
        <f t="shared" si="28"/>
        <v>8283.2789743344165</v>
      </c>
      <c r="O33" s="47">
        <f t="shared" si="29"/>
        <v>80484</v>
      </c>
      <c r="P33" s="119">
        <f t="shared" si="30"/>
        <v>68400.683076946341</v>
      </c>
      <c r="Q33" s="108">
        <f t="shared" si="31"/>
        <v>7847.3169230536587</v>
      </c>
      <c r="R33" s="46">
        <f t="shared" si="32"/>
        <v>76248</v>
      </c>
      <c r="S33" s="43">
        <f t="shared" si="33"/>
        <v>60800.607179507861</v>
      </c>
      <c r="T33" s="108">
        <f t="shared" si="34"/>
        <v>6975.3928204921413</v>
      </c>
      <c r="U33" s="47">
        <f t="shared" si="35"/>
        <v>67776</v>
      </c>
      <c r="V33" s="45">
        <f t="shared" si="36"/>
        <v>53200.531282069373</v>
      </c>
      <c r="W33" s="108">
        <f t="shared" si="37"/>
        <v>6103.4687179306229</v>
      </c>
      <c r="X33" s="46">
        <f t="shared" si="38"/>
        <v>59303.999999999993</v>
      </c>
      <c r="Y33" s="43">
        <f t="shared" si="39"/>
        <v>45600.455384630892</v>
      </c>
      <c r="Z33" s="108">
        <f t="shared" si="40"/>
        <v>5231.5446153691055</v>
      </c>
      <c r="AA33" s="46">
        <f t="shared" si="41"/>
        <v>50832</v>
      </c>
    </row>
    <row r="34" spans="1:27" ht="13.5" thickBot="1">
      <c r="A34" s="356">
        <v>145</v>
      </c>
      <c r="B34" s="300">
        <v>40878</v>
      </c>
      <c r="C34" s="61">
        <f>VLOOKUP(B34,'base(indices)'!$A$4:$C$183,3,FALSE)</f>
        <v>545</v>
      </c>
      <c r="D34" s="335">
        <f>'base(indices)'!G27</f>
        <v>1.7943708700000001</v>
      </c>
      <c r="E34" s="163">
        <f t="shared" si="42"/>
        <v>977.93212415000005</v>
      </c>
      <c r="F34" s="304">
        <f>'base(indices)'!I27</f>
        <v>0.60997000000000001</v>
      </c>
      <c r="G34" s="163">
        <f t="shared" si="23"/>
        <v>596.50925776777558</v>
      </c>
      <c r="H34" s="355">
        <f t="shared" si="24"/>
        <v>1574.4413819177757</v>
      </c>
      <c r="I34" s="361">
        <f t="shared" si="43"/>
        <v>239821.78547979877</v>
      </c>
      <c r="J34" s="58">
        <f t="shared" si="44"/>
        <v>76000.758974384822</v>
      </c>
      <c r="K34" s="202">
        <f t="shared" si="25"/>
        <v>8719.2410256151761</v>
      </c>
      <c r="L34" s="286">
        <f t="shared" si="26"/>
        <v>84720</v>
      </c>
      <c r="M34" s="282">
        <f t="shared" si="27"/>
        <v>72200.721025665582</v>
      </c>
      <c r="N34" s="202">
        <f t="shared" si="28"/>
        <v>8283.2789743344165</v>
      </c>
      <c r="O34" s="289">
        <f t="shared" si="29"/>
        <v>80484</v>
      </c>
      <c r="P34" s="285">
        <f t="shared" si="30"/>
        <v>68400.683076946341</v>
      </c>
      <c r="Q34" s="202">
        <f t="shared" si="31"/>
        <v>7847.3169230536587</v>
      </c>
      <c r="R34" s="203">
        <f t="shared" si="32"/>
        <v>76248</v>
      </c>
      <c r="S34" s="282">
        <f t="shared" si="33"/>
        <v>60800.607179507861</v>
      </c>
      <c r="T34" s="202">
        <f t="shared" si="34"/>
        <v>6975.3928204921413</v>
      </c>
      <c r="U34" s="289">
        <f t="shared" si="35"/>
        <v>67776</v>
      </c>
      <c r="V34" s="285">
        <f t="shared" si="36"/>
        <v>53200.531282069373</v>
      </c>
      <c r="W34" s="202">
        <f t="shared" si="37"/>
        <v>6103.4687179306229</v>
      </c>
      <c r="X34" s="203">
        <f t="shared" si="38"/>
        <v>59303.999999999993</v>
      </c>
      <c r="Y34" s="282">
        <f t="shared" si="39"/>
        <v>45600.455384630892</v>
      </c>
      <c r="Z34" s="202">
        <f t="shared" si="40"/>
        <v>5231.5446153691055</v>
      </c>
      <c r="AA34" s="203">
        <f t="shared" si="41"/>
        <v>50832</v>
      </c>
    </row>
    <row r="35" spans="1:27">
      <c r="A35" s="177">
        <v>144</v>
      </c>
      <c r="B35" s="351">
        <v>40909</v>
      </c>
      <c r="C35" s="120">
        <f>VLOOKUP(B35,'base(indices)'!$A$4:$C$183,3,FALSE)</f>
        <v>622</v>
      </c>
      <c r="D35" s="193">
        <f>'base(indices)'!G28</f>
        <v>1.7843783600000001</v>
      </c>
      <c r="E35" s="78">
        <f>C35*D35</f>
        <v>1109.88333992</v>
      </c>
      <c r="F35" s="79">
        <f>'base(indices)'!I28</f>
        <v>0.60997000000000001</v>
      </c>
      <c r="G35" s="78">
        <f t="shared" si="23"/>
        <v>676.99554085100237</v>
      </c>
      <c r="H35" s="266">
        <f t="shared" si="24"/>
        <v>1786.8788807710025</v>
      </c>
      <c r="I35" s="357">
        <f t="shared" si="43"/>
        <v>238247.344097881</v>
      </c>
      <c r="J35" s="48">
        <f>IF((I35)+K35&gt;$I$97,$I$197-K35,(I35))</f>
        <v>76000.758974384822</v>
      </c>
      <c r="K35" s="109">
        <f t="shared" si="25"/>
        <v>8719.2410256151761</v>
      </c>
      <c r="L35" s="49">
        <f t="shared" si="26"/>
        <v>84720</v>
      </c>
      <c r="M35" s="138">
        <f t="shared" si="27"/>
        <v>72200.721025665582</v>
      </c>
      <c r="N35" s="109">
        <f t="shared" si="28"/>
        <v>8283.2789743344165</v>
      </c>
      <c r="O35" s="139">
        <f t="shared" si="29"/>
        <v>80484</v>
      </c>
      <c r="P35" s="291">
        <f t="shared" si="30"/>
        <v>68400.683076946341</v>
      </c>
      <c r="Q35" s="109">
        <f t="shared" si="31"/>
        <v>7847.3169230536587</v>
      </c>
      <c r="R35" s="49">
        <f t="shared" si="32"/>
        <v>76248</v>
      </c>
      <c r="S35" s="138">
        <f t="shared" si="33"/>
        <v>60800.607179507861</v>
      </c>
      <c r="T35" s="109">
        <f t="shared" si="34"/>
        <v>6975.3928204921413</v>
      </c>
      <c r="U35" s="139">
        <f t="shared" si="35"/>
        <v>67776</v>
      </c>
      <c r="V35" s="48">
        <f t="shared" si="36"/>
        <v>53200.531282069373</v>
      </c>
      <c r="W35" s="109">
        <f t="shared" si="37"/>
        <v>6103.4687179306229</v>
      </c>
      <c r="X35" s="49">
        <f t="shared" si="38"/>
        <v>59303.999999999993</v>
      </c>
      <c r="Y35" s="138">
        <f t="shared" si="39"/>
        <v>45600.455384630892</v>
      </c>
      <c r="Z35" s="109">
        <f t="shared" si="40"/>
        <v>5231.5446153691055</v>
      </c>
      <c r="AA35" s="49">
        <f t="shared" si="41"/>
        <v>50832</v>
      </c>
    </row>
    <row r="36" spans="1:27">
      <c r="A36" s="105">
        <v>143</v>
      </c>
      <c r="B36" s="339">
        <v>40940</v>
      </c>
      <c r="C36" s="61">
        <f>VLOOKUP(B36,'base(indices)'!$A$4:$C$183,3,FALSE)</f>
        <v>622</v>
      </c>
      <c r="D36" s="192">
        <f>'base(indices)'!G29</f>
        <v>1.7728548</v>
      </c>
      <c r="E36" s="54">
        <f t="shared" ref="E36:E46" si="45">C36*D36</f>
        <v>1102.7156855999999</v>
      </c>
      <c r="F36" s="82">
        <f>'base(indices)'!I29</f>
        <v>0.60997000000000001</v>
      </c>
      <c r="G36" s="54">
        <f t="shared" si="23"/>
        <v>672.62348674543193</v>
      </c>
      <c r="H36" s="267">
        <f t="shared" si="24"/>
        <v>1775.339172345432</v>
      </c>
      <c r="I36" s="352">
        <f t="shared" si="43"/>
        <v>236460.46521711</v>
      </c>
      <c r="J36" s="58">
        <f>IF((I36)+K36&gt;$I$197,$I$197-K36,(I36))</f>
        <v>76000.758974384822</v>
      </c>
      <c r="K36" s="91">
        <f t="shared" si="25"/>
        <v>8719.2410256151761</v>
      </c>
      <c r="L36" s="284">
        <f t="shared" si="26"/>
        <v>84720</v>
      </c>
      <c r="M36" s="57">
        <f t="shared" si="27"/>
        <v>72200.721025665582</v>
      </c>
      <c r="N36" s="91">
        <f t="shared" si="28"/>
        <v>8283.2789743344165</v>
      </c>
      <c r="O36" s="60">
        <f t="shared" si="29"/>
        <v>80484</v>
      </c>
      <c r="P36" s="58">
        <f t="shared" si="30"/>
        <v>68400.683076946341</v>
      </c>
      <c r="Q36" s="91">
        <f t="shared" si="31"/>
        <v>7847.3169230536587</v>
      </c>
      <c r="R36" s="59">
        <f t="shared" si="32"/>
        <v>76248</v>
      </c>
      <c r="S36" s="57">
        <f t="shared" si="33"/>
        <v>60800.607179507861</v>
      </c>
      <c r="T36" s="91">
        <f t="shared" si="34"/>
        <v>6975.3928204921413</v>
      </c>
      <c r="U36" s="60">
        <f t="shared" si="35"/>
        <v>67776</v>
      </c>
      <c r="V36" s="58">
        <f t="shared" si="36"/>
        <v>53200.531282069373</v>
      </c>
      <c r="W36" s="91">
        <f t="shared" si="37"/>
        <v>6103.4687179306229</v>
      </c>
      <c r="X36" s="59">
        <f t="shared" si="38"/>
        <v>59303.999999999993</v>
      </c>
      <c r="Y36" s="57">
        <f t="shared" si="39"/>
        <v>45600.455384630892</v>
      </c>
      <c r="Z36" s="91">
        <f t="shared" si="40"/>
        <v>5231.5446153691055</v>
      </c>
      <c r="AA36" s="59">
        <f t="shared" si="41"/>
        <v>50832</v>
      </c>
    </row>
    <row r="37" spans="1:27">
      <c r="A37" s="105">
        <v>142</v>
      </c>
      <c r="B37" s="340">
        <v>40969</v>
      </c>
      <c r="C37" s="61">
        <f>VLOOKUP(B37,'base(indices)'!$A$4:$C$183,3,FALSE)</f>
        <v>622</v>
      </c>
      <c r="D37" s="192">
        <f>'base(indices)'!G30</f>
        <v>1.7635082099999999</v>
      </c>
      <c r="E37" s="63">
        <f t="shared" si="45"/>
        <v>1096.90210662</v>
      </c>
      <c r="F37" s="82">
        <f>'base(indices)'!I30</f>
        <v>0.60997000000000001</v>
      </c>
      <c r="G37" s="63">
        <f t="shared" si="23"/>
        <v>669.07737797500147</v>
      </c>
      <c r="H37" s="268">
        <f t="shared" si="24"/>
        <v>1765.9794845950014</v>
      </c>
      <c r="I37" s="353">
        <f t="shared" si="43"/>
        <v>234685.12604476456</v>
      </c>
      <c r="J37" s="119">
        <f>IF((I37)+K37&gt;$I$197,$I$197-K37,(I37))</f>
        <v>76000.758974384822</v>
      </c>
      <c r="K37" s="108">
        <f t="shared" si="25"/>
        <v>8719.2410256151761</v>
      </c>
      <c r="L37" s="46">
        <f t="shared" si="26"/>
        <v>84720</v>
      </c>
      <c r="M37" s="43">
        <f t="shared" si="27"/>
        <v>72200.721025665582</v>
      </c>
      <c r="N37" s="108">
        <f t="shared" si="28"/>
        <v>8283.2789743344165</v>
      </c>
      <c r="O37" s="47">
        <f t="shared" si="29"/>
        <v>80484</v>
      </c>
      <c r="P37" s="119">
        <f t="shared" si="30"/>
        <v>68400.683076946341</v>
      </c>
      <c r="Q37" s="108">
        <f t="shared" si="31"/>
        <v>7847.3169230536587</v>
      </c>
      <c r="R37" s="46">
        <f t="shared" si="32"/>
        <v>76248</v>
      </c>
      <c r="S37" s="43">
        <f t="shared" si="33"/>
        <v>60800.607179507861</v>
      </c>
      <c r="T37" s="108">
        <f t="shared" si="34"/>
        <v>6975.3928204921413</v>
      </c>
      <c r="U37" s="47">
        <f t="shared" si="35"/>
        <v>67776</v>
      </c>
      <c r="V37" s="45">
        <f t="shared" si="36"/>
        <v>53200.531282069373</v>
      </c>
      <c r="W37" s="108">
        <f t="shared" si="37"/>
        <v>6103.4687179306229</v>
      </c>
      <c r="X37" s="46">
        <f t="shared" si="38"/>
        <v>59303.999999999993</v>
      </c>
      <c r="Y37" s="43">
        <f t="shared" si="39"/>
        <v>45600.455384630892</v>
      </c>
      <c r="Z37" s="108">
        <f t="shared" si="40"/>
        <v>5231.5446153691055</v>
      </c>
      <c r="AA37" s="46">
        <f t="shared" si="41"/>
        <v>50832</v>
      </c>
    </row>
    <row r="38" spans="1:27">
      <c r="A38" s="105">
        <v>141</v>
      </c>
      <c r="B38" s="339">
        <v>41000</v>
      </c>
      <c r="C38" s="61">
        <f>VLOOKUP(B38,'base(indices)'!$A$4:$C$183,3,FALSE)</f>
        <v>622</v>
      </c>
      <c r="D38" s="192">
        <f>'base(indices)'!G31</f>
        <v>1.75911043</v>
      </c>
      <c r="E38" s="54">
        <f t="shared" si="45"/>
        <v>1094.16668746</v>
      </c>
      <c r="F38" s="82">
        <f>'base(indices)'!I31</f>
        <v>0.60997000000000001</v>
      </c>
      <c r="G38" s="54">
        <f t="shared" si="23"/>
        <v>667.4088543499762</v>
      </c>
      <c r="H38" s="267">
        <f t="shared" si="24"/>
        <v>1761.5755418099761</v>
      </c>
      <c r="I38" s="352">
        <f t="shared" si="43"/>
        <v>232919.14656016955</v>
      </c>
      <c r="J38" s="58">
        <f>IF((I38)+K38&gt;$I$197,$I$197-K38,(I38))</f>
        <v>76000.758974384822</v>
      </c>
      <c r="K38" s="91">
        <f t="shared" si="25"/>
        <v>8719.2410256151761</v>
      </c>
      <c r="L38" s="284">
        <f t="shared" si="26"/>
        <v>84720</v>
      </c>
      <c r="M38" s="57">
        <f t="shared" si="27"/>
        <v>72200.721025665582</v>
      </c>
      <c r="N38" s="91">
        <f t="shared" si="28"/>
        <v>8283.2789743344165</v>
      </c>
      <c r="O38" s="60">
        <f t="shared" si="29"/>
        <v>80484</v>
      </c>
      <c r="P38" s="58">
        <f t="shared" si="30"/>
        <v>68400.683076946341</v>
      </c>
      <c r="Q38" s="91">
        <f t="shared" si="31"/>
        <v>7847.3169230536587</v>
      </c>
      <c r="R38" s="59">
        <f t="shared" si="32"/>
        <v>76248</v>
      </c>
      <c r="S38" s="57">
        <f t="shared" si="33"/>
        <v>60800.607179507861</v>
      </c>
      <c r="T38" s="91">
        <f t="shared" si="34"/>
        <v>6975.3928204921413</v>
      </c>
      <c r="U38" s="60">
        <f>S38+T38</f>
        <v>67776</v>
      </c>
      <c r="V38" s="58">
        <f t="shared" si="36"/>
        <v>53200.531282069373</v>
      </c>
      <c r="W38" s="91">
        <f t="shared" si="37"/>
        <v>6103.4687179306229</v>
      </c>
      <c r="X38" s="59">
        <f t="shared" si="38"/>
        <v>59303.999999999993</v>
      </c>
      <c r="Y38" s="57">
        <f t="shared" si="39"/>
        <v>45600.455384630892</v>
      </c>
      <c r="Z38" s="91">
        <f t="shared" si="40"/>
        <v>5231.5446153691055</v>
      </c>
      <c r="AA38" s="59">
        <f t="shared" si="41"/>
        <v>50832</v>
      </c>
    </row>
    <row r="39" spans="1:27">
      <c r="A39" s="105">
        <v>140</v>
      </c>
      <c r="B39" s="340">
        <v>41030</v>
      </c>
      <c r="C39" s="61">
        <f>VLOOKUP(B39,'base(indices)'!$A$4:$C$183,3,FALSE)</f>
        <v>622</v>
      </c>
      <c r="D39" s="192">
        <f>'base(indices)'!G32</f>
        <v>1.75157864</v>
      </c>
      <c r="E39" s="63">
        <f t="shared" si="45"/>
        <v>1089.48191408</v>
      </c>
      <c r="F39" s="82">
        <f>'base(indices)'!I32</f>
        <v>0.60997000000000001</v>
      </c>
      <c r="G39" s="63">
        <f t="shared" si="23"/>
        <v>664.55128313137766</v>
      </c>
      <c r="H39" s="268">
        <f t="shared" si="24"/>
        <v>1754.0331972113777</v>
      </c>
      <c r="I39" s="353">
        <f t="shared" si="43"/>
        <v>231157.57101835957</v>
      </c>
      <c r="J39" s="119">
        <f t="shared" ref="J39:J46" si="46">IF((I39)+K39&gt;$I$197,$I$197-K39,(I39))</f>
        <v>76000.758974384822</v>
      </c>
      <c r="K39" s="108">
        <f t="shared" si="25"/>
        <v>8719.2410256151761</v>
      </c>
      <c r="L39" s="46">
        <f t="shared" si="26"/>
        <v>84720</v>
      </c>
      <c r="M39" s="43">
        <f t="shared" si="27"/>
        <v>72200.721025665582</v>
      </c>
      <c r="N39" s="108">
        <f t="shared" si="28"/>
        <v>8283.2789743344165</v>
      </c>
      <c r="O39" s="47">
        <f t="shared" si="29"/>
        <v>80484</v>
      </c>
      <c r="P39" s="119">
        <f t="shared" si="30"/>
        <v>68400.683076946341</v>
      </c>
      <c r="Q39" s="108">
        <f t="shared" si="31"/>
        <v>7847.3169230536587</v>
      </c>
      <c r="R39" s="46">
        <f t="shared" si="32"/>
        <v>76248</v>
      </c>
      <c r="S39" s="43">
        <f t="shared" si="33"/>
        <v>60800.607179507861</v>
      </c>
      <c r="T39" s="108">
        <f t="shared" si="34"/>
        <v>6975.3928204921413</v>
      </c>
      <c r="U39" s="47">
        <f t="shared" si="35"/>
        <v>67776</v>
      </c>
      <c r="V39" s="45">
        <f t="shared" si="36"/>
        <v>53200.531282069373</v>
      </c>
      <c r="W39" s="108">
        <f t="shared" si="37"/>
        <v>6103.4687179306229</v>
      </c>
      <c r="X39" s="46">
        <f t="shared" si="38"/>
        <v>59303.999999999993</v>
      </c>
      <c r="Y39" s="43">
        <f t="shared" si="39"/>
        <v>45600.455384630892</v>
      </c>
      <c r="Z39" s="108">
        <f t="shared" si="40"/>
        <v>5231.5446153691055</v>
      </c>
      <c r="AA39" s="46">
        <f t="shared" si="41"/>
        <v>50832</v>
      </c>
    </row>
    <row r="40" spans="1:27">
      <c r="A40" s="105">
        <v>139</v>
      </c>
      <c r="B40" s="339">
        <v>41061</v>
      </c>
      <c r="C40" s="61">
        <f>VLOOKUP(B40,'base(indices)'!$A$4:$C$183,3,FALSE)</f>
        <v>622</v>
      </c>
      <c r="D40" s="192">
        <f>'base(indices)'!G33</f>
        <v>1.74269092</v>
      </c>
      <c r="E40" s="54">
        <f t="shared" si="45"/>
        <v>1083.9537522400001</v>
      </c>
      <c r="F40" s="82">
        <f>'base(indices)'!I33</f>
        <v>0.60997000000000001</v>
      </c>
      <c r="G40" s="54">
        <f t="shared" si="23"/>
        <v>661.1792702538329</v>
      </c>
      <c r="H40" s="267">
        <f t="shared" si="24"/>
        <v>1745.1330224938329</v>
      </c>
      <c r="I40" s="352">
        <f t="shared" si="43"/>
        <v>229403.5378211482</v>
      </c>
      <c r="J40" s="58">
        <f t="shared" si="46"/>
        <v>76000.758974384822</v>
      </c>
      <c r="K40" s="91">
        <f t="shared" si="25"/>
        <v>8719.2410256151761</v>
      </c>
      <c r="L40" s="284">
        <f t="shared" si="26"/>
        <v>84720</v>
      </c>
      <c r="M40" s="57">
        <f t="shared" si="27"/>
        <v>72200.721025665582</v>
      </c>
      <c r="N40" s="91">
        <f t="shared" si="28"/>
        <v>8283.2789743344165</v>
      </c>
      <c r="O40" s="60">
        <f t="shared" si="29"/>
        <v>80484</v>
      </c>
      <c r="P40" s="58">
        <f t="shared" si="30"/>
        <v>68400.683076946341</v>
      </c>
      <c r="Q40" s="91">
        <f t="shared" si="31"/>
        <v>7847.3169230536587</v>
      </c>
      <c r="R40" s="59">
        <f t="shared" si="32"/>
        <v>76248</v>
      </c>
      <c r="S40" s="57">
        <f t="shared" si="33"/>
        <v>60800.607179507861</v>
      </c>
      <c r="T40" s="91">
        <f t="shared" si="34"/>
        <v>6975.3928204921413</v>
      </c>
      <c r="U40" s="60">
        <f t="shared" si="35"/>
        <v>67776</v>
      </c>
      <c r="V40" s="58">
        <f t="shared" si="36"/>
        <v>53200.531282069373</v>
      </c>
      <c r="W40" s="91">
        <f t="shared" si="37"/>
        <v>6103.4687179306229</v>
      </c>
      <c r="X40" s="59">
        <f t="shared" si="38"/>
        <v>59303.999999999993</v>
      </c>
      <c r="Y40" s="57">
        <f t="shared" si="39"/>
        <v>45600.455384630892</v>
      </c>
      <c r="Z40" s="91">
        <f t="shared" si="40"/>
        <v>5231.5446153691055</v>
      </c>
      <c r="AA40" s="59">
        <f t="shared" si="41"/>
        <v>50832</v>
      </c>
    </row>
    <row r="41" spans="1:27">
      <c r="A41" s="105">
        <v>138</v>
      </c>
      <c r="B41" s="340">
        <v>41091</v>
      </c>
      <c r="C41" s="61">
        <f>VLOOKUP(B41,'base(indices)'!$A$4:$C$183,3,FALSE)</f>
        <v>622</v>
      </c>
      <c r="D41" s="192">
        <f>'base(indices)'!G34</f>
        <v>1.73955971</v>
      </c>
      <c r="E41" s="63">
        <f t="shared" si="45"/>
        <v>1082.0061396199999</v>
      </c>
      <c r="F41" s="82">
        <f>'base(indices)'!I34</f>
        <v>0.60997000000000001</v>
      </c>
      <c r="G41" s="63">
        <f t="shared" si="23"/>
        <v>659.99128498401137</v>
      </c>
      <c r="H41" s="268">
        <f t="shared" si="24"/>
        <v>1741.9974246040113</v>
      </c>
      <c r="I41" s="353">
        <f t="shared" si="43"/>
        <v>227658.40479865437</v>
      </c>
      <c r="J41" s="119">
        <f t="shared" si="46"/>
        <v>76000.758974384822</v>
      </c>
      <c r="K41" s="108">
        <f t="shared" si="25"/>
        <v>8719.2410256151761</v>
      </c>
      <c r="L41" s="46">
        <f t="shared" si="26"/>
        <v>84720</v>
      </c>
      <c r="M41" s="43">
        <f t="shared" si="27"/>
        <v>72200.721025665582</v>
      </c>
      <c r="N41" s="108">
        <f t="shared" si="28"/>
        <v>8283.2789743344165</v>
      </c>
      <c r="O41" s="47">
        <f t="shared" si="29"/>
        <v>80484</v>
      </c>
      <c r="P41" s="119">
        <f t="shared" si="30"/>
        <v>68400.683076946341</v>
      </c>
      <c r="Q41" s="108">
        <f t="shared" si="31"/>
        <v>7847.3169230536587</v>
      </c>
      <c r="R41" s="46">
        <f t="shared" si="32"/>
        <v>76248</v>
      </c>
      <c r="S41" s="43">
        <f t="shared" si="33"/>
        <v>60800.607179507861</v>
      </c>
      <c r="T41" s="108">
        <f t="shared" si="34"/>
        <v>6975.3928204921413</v>
      </c>
      <c r="U41" s="47">
        <f t="shared" si="35"/>
        <v>67776</v>
      </c>
      <c r="V41" s="45">
        <f t="shared" si="36"/>
        <v>53200.531282069373</v>
      </c>
      <c r="W41" s="108">
        <f t="shared" si="37"/>
        <v>6103.4687179306229</v>
      </c>
      <c r="X41" s="46">
        <f t="shared" si="38"/>
        <v>59303.999999999993</v>
      </c>
      <c r="Y41" s="43">
        <f t="shared" si="39"/>
        <v>45600.455384630892</v>
      </c>
      <c r="Z41" s="108">
        <f t="shared" si="40"/>
        <v>5231.5446153691055</v>
      </c>
      <c r="AA41" s="46">
        <f t="shared" si="41"/>
        <v>50832</v>
      </c>
    </row>
    <row r="42" spans="1:27">
      <c r="A42" s="105">
        <v>137</v>
      </c>
      <c r="B42" s="339">
        <v>41122</v>
      </c>
      <c r="C42" s="61">
        <f>VLOOKUP(B42,'base(indices)'!$A$4:$C$183,3,FALSE)</f>
        <v>622</v>
      </c>
      <c r="D42" s="192">
        <f>'base(indices)'!G35</f>
        <v>1.7338380499999999</v>
      </c>
      <c r="E42" s="54">
        <f t="shared" si="45"/>
        <v>1078.4472670999999</v>
      </c>
      <c r="F42" s="82">
        <f>'base(indices)'!I35</f>
        <v>0.60997000000000001</v>
      </c>
      <c r="G42" s="54">
        <f t="shared" si="23"/>
        <v>657.82047951298694</v>
      </c>
      <c r="H42" s="267">
        <f t="shared" si="24"/>
        <v>1736.2677466129867</v>
      </c>
      <c r="I42" s="352">
        <f t="shared" si="43"/>
        <v>225916.40737405035</v>
      </c>
      <c r="J42" s="58">
        <f t="shared" si="46"/>
        <v>76000.758974384822</v>
      </c>
      <c r="K42" s="91">
        <f t="shared" si="25"/>
        <v>8719.2410256151761</v>
      </c>
      <c r="L42" s="284">
        <f t="shared" si="26"/>
        <v>84720</v>
      </c>
      <c r="M42" s="57">
        <f t="shared" si="27"/>
        <v>72200.721025665582</v>
      </c>
      <c r="N42" s="91">
        <f t="shared" si="28"/>
        <v>8283.2789743344165</v>
      </c>
      <c r="O42" s="60">
        <f t="shared" si="29"/>
        <v>80484</v>
      </c>
      <c r="P42" s="58">
        <f t="shared" si="30"/>
        <v>68400.683076946341</v>
      </c>
      <c r="Q42" s="91">
        <f t="shared" si="31"/>
        <v>7847.3169230536587</v>
      </c>
      <c r="R42" s="59">
        <f t="shared" si="32"/>
        <v>76248</v>
      </c>
      <c r="S42" s="57">
        <f t="shared" si="33"/>
        <v>60800.607179507861</v>
      </c>
      <c r="T42" s="91">
        <f t="shared" si="34"/>
        <v>6975.3928204921413</v>
      </c>
      <c r="U42" s="60">
        <f t="shared" si="35"/>
        <v>67776</v>
      </c>
      <c r="V42" s="58">
        <f t="shared" si="36"/>
        <v>53200.531282069373</v>
      </c>
      <c r="W42" s="91">
        <f t="shared" si="37"/>
        <v>6103.4687179306229</v>
      </c>
      <c r="X42" s="59">
        <f t="shared" si="38"/>
        <v>59303.999999999993</v>
      </c>
      <c r="Y42" s="57">
        <f t="shared" si="39"/>
        <v>45600.455384630892</v>
      </c>
      <c r="Z42" s="91">
        <f t="shared" si="40"/>
        <v>5231.5446153691055</v>
      </c>
      <c r="AA42" s="59">
        <f t="shared" si="41"/>
        <v>50832</v>
      </c>
    </row>
    <row r="43" spans="1:27">
      <c r="A43" s="105">
        <v>136</v>
      </c>
      <c r="B43" s="340">
        <v>41153</v>
      </c>
      <c r="C43" s="61">
        <f>VLOOKUP(B43,'base(indices)'!$A$4:$C$183,3,FALSE)</f>
        <v>622</v>
      </c>
      <c r="D43" s="192">
        <f>'base(indices)'!G36</f>
        <v>1.72710235</v>
      </c>
      <c r="E43" s="63">
        <f t="shared" si="45"/>
        <v>1074.2576617</v>
      </c>
      <c r="F43" s="82">
        <f>'base(indices)'!I36</f>
        <v>0.60997000000000001</v>
      </c>
      <c r="G43" s="63">
        <f t="shared" si="23"/>
        <v>655.26494590714901</v>
      </c>
      <c r="H43" s="268">
        <f t="shared" si="24"/>
        <v>1729.522607607149</v>
      </c>
      <c r="I43" s="353">
        <f t="shared" si="43"/>
        <v>224180.13962743737</v>
      </c>
      <c r="J43" s="119">
        <f t="shared" si="46"/>
        <v>76000.758974384822</v>
      </c>
      <c r="K43" s="108">
        <f t="shared" si="25"/>
        <v>8719.2410256151761</v>
      </c>
      <c r="L43" s="46">
        <f t="shared" si="26"/>
        <v>84720</v>
      </c>
      <c r="M43" s="43">
        <f t="shared" si="27"/>
        <v>72200.721025665582</v>
      </c>
      <c r="N43" s="108">
        <f t="shared" si="28"/>
        <v>8283.2789743344165</v>
      </c>
      <c r="O43" s="47">
        <f t="shared" si="29"/>
        <v>80484</v>
      </c>
      <c r="P43" s="119">
        <f t="shared" si="30"/>
        <v>68400.683076946341</v>
      </c>
      <c r="Q43" s="108">
        <f t="shared" si="31"/>
        <v>7847.3169230536587</v>
      </c>
      <c r="R43" s="46">
        <f t="shared" si="32"/>
        <v>76248</v>
      </c>
      <c r="S43" s="43">
        <f t="shared" si="33"/>
        <v>60800.607179507861</v>
      </c>
      <c r="T43" s="108">
        <f t="shared" si="34"/>
        <v>6975.3928204921413</v>
      </c>
      <c r="U43" s="47">
        <f t="shared" si="35"/>
        <v>67776</v>
      </c>
      <c r="V43" s="45">
        <f t="shared" si="36"/>
        <v>53200.531282069373</v>
      </c>
      <c r="W43" s="108">
        <f t="shared" si="37"/>
        <v>6103.4687179306229</v>
      </c>
      <c r="X43" s="46">
        <f t="shared" si="38"/>
        <v>59303.999999999993</v>
      </c>
      <c r="Y43" s="43">
        <f t="shared" si="39"/>
        <v>45600.455384630892</v>
      </c>
      <c r="Z43" s="108">
        <f t="shared" si="40"/>
        <v>5231.5446153691055</v>
      </c>
      <c r="AA43" s="46">
        <f t="shared" si="41"/>
        <v>50832</v>
      </c>
    </row>
    <row r="44" spans="1:27">
      <c r="A44" s="105">
        <v>135</v>
      </c>
      <c r="B44" s="339">
        <v>41183</v>
      </c>
      <c r="C44" s="61">
        <f>VLOOKUP(B44,'base(indices)'!$A$4:$C$183,3,FALSE)</f>
        <v>622</v>
      </c>
      <c r="D44" s="192">
        <f>'base(indices)'!G37</f>
        <v>1.71885186</v>
      </c>
      <c r="E44" s="54">
        <f t="shared" si="45"/>
        <v>1069.1258569199999</v>
      </c>
      <c r="F44" s="82">
        <f>'base(indices)'!I37</f>
        <v>0.60997000000000001</v>
      </c>
      <c r="G44" s="54">
        <f t="shared" si="23"/>
        <v>652.13469894549235</v>
      </c>
      <c r="H44" s="267">
        <f t="shared" si="24"/>
        <v>1721.2605558654923</v>
      </c>
      <c r="I44" s="352">
        <f t="shared" si="43"/>
        <v>222450.61701983021</v>
      </c>
      <c r="J44" s="58">
        <f t="shared" si="46"/>
        <v>76000.758974384822</v>
      </c>
      <c r="K44" s="91">
        <f t="shared" si="25"/>
        <v>8719.2410256151761</v>
      </c>
      <c r="L44" s="284">
        <f t="shared" si="26"/>
        <v>84720</v>
      </c>
      <c r="M44" s="57">
        <f t="shared" si="27"/>
        <v>72200.721025665582</v>
      </c>
      <c r="N44" s="91">
        <f t="shared" si="28"/>
        <v>8283.2789743344165</v>
      </c>
      <c r="O44" s="60">
        <f t="shared" si="29"/>
        <v>80484</v>
      </c>
      <c r="P44" s="58">
        <f t="shared" si="30"/>
        <v>68400.683076946341</v>
      </c>
      <c r="Q44" s="91">
        <f t="shared" si="31"/>
        <v>7847.3169230536587</v>
      </c>
      <c r="R44" s="59">
        <f t="shared" si="32"/>
        <v>76248</v>
      </c>
      <c r="S44" s="57">
        <f t="shared" si="33"/>
        <v>60800.607179507861</v>
      </c>
      <c r="T44" s="91">
        <f t="shared" si="34"/>
        <v>6975.3928204921413</v>
      </c>
      <c r="U44" s="60">
        <f t="shared" si="35"/>
        <v>67776</v>
      </c>
      <c r="V44" s="58">
        <f t="shared" si="36"/>
        <v>53200.531282069373</v>
      </c>
      <c r="W44" s="91">
        <f t="shared" si="37"/>
        <v>6103.4687179306229</v>
      </c>
      <c r="X44" s="59">
        <f t="shared" si="38"/>
        <v>59303.999999999993</v>
      </c>
      <c r="Y44" s="57">
        <f t="shared" si="39"/>
        <v>45600.455384630892</v>
      </c>
      <c r="Z44" s="91">
        <f t="shared" si="40"/>
        <v>5231.5446153691055</v>
      </c>
      <c r="AA44" s="59">
        <f t="shared" si="41"/>
        <v>50832</v>
      </c>
    </row>
    <row r="45" spans="1:27">
      <c r="A45" s="105">
        <v>134</v>
      </c>
      <c r="B45" s="340">
        <v>41214</v>
      </c>
      <c r="C45" s="61">
        <f>VLOOKUP(B45,'base(indices)'!$A$4:$C$183,3,FALSE)</f>
        <v>622</v>
      </c>
      <c r="D45" s="192">
        <f>'base(indices)'!G38</f>
        <v>1.70775147</v>
      </c>
      <c r="E45" s="63">
        <f t="shared" si="45"/>
        <v>1062.2214143400001</v>
      </c>
      <c r="F45" s="82">
        <f>'base(indices)'!I38</f>
        <v>0.60997000000000001</v>
      </c>
      <c r="G45" s="63">
        <f t="shared" si="23"/>
        <v>647.92319610496986</v>
      </c>
      <c r="H45" s="268">
        <f t="shared" si="24"/>
        <v>1710.1446104449701</v>
      </c>
      <c r="I45" s="353">
        <f t="shared" si="43"/>
        <v>220729.35646396471</v>
      </c>
      <c r="J45" s="119">
        <f t="shared" si="46"/>
        <v>76000.758974384822</v>
      </c>
      <c r="K45" s="108">
        <f t="shared" si="25"/>
        <v>8719.2410256151761</v>
      </c>
      <c r="L45" s="46">
        <f t="shared" si="26"/>
        <v>84720</v>
      </c>
      <c r="M45" s="43">
        <f t="shared" si="27"/>
        <v>72200.721025665582</v>
      </c>
      <c r="N45" s="108">
        <f t="shared" si="28"/>
        <v>8283.2789743344165</v>
      </c>
      <c r="O45" s="47">
        <f t="shared" si="29"/>
        <v>80484</v>
      </c>
      <c r="P45" s="119">
        <f t="shared" si="30"/>
        <v>68400.683076946341</v>
      </c>
      <c r="Q45" s="108">
        <f t="shared" si="31"/>
        <v>7847.3169230536587</v>
      </c>
      <c r="R45" s="46">
        <f t="shared" si="32"/>
        <v>76248</v>
      </c>
      <c r="S45" s="43">
        <f t="shared" si="33"/>
        <v>60800.607179507861</v>
      </c>
      <c r="T45" s="108">
        <f t="shared" si="34"/>
        <v>6975.3928204921413</v>
      </c>
      <c r="U45" s="47">
        <f t="shared" si="35"/>
        <v>67776</v>
      </c>
      <c r="V45" s="45">
        <f t="shared" si="36"/>
        <v>53200.531282069373</v>
      </c>
      <c r="W45" s="108">
        <f t="shared" si="37"/>
        <v>6103.4687179306229</v>
      </c>
      <c r="X45" s="46">
        <f t="shared" si="38"/>
        <v>59303.999999999993</v>
      </c>
      <c r="Y45" s="43">
        <f t="shared" si="39"/>
        <v>45600.455384630892</v>
      </c>
      <c r="Z45" s="108">
        <f t="shared" si="40"/>
        <v>5231.5446153691055</v>
      </c>
      <c r="AA45" s="46">
        <f t="shared" si="41"/>
        <v>50832</v>
      </c>
    </row>
    <row r="46" spans="1:27" ht="13.5" thickBot="1">
      <c r="A46" s="161">
        <v>133</v>
      </c>
      <c r="B46" s="342">
        <v>41244</v>
      </c>
      <c r="C46" s="61">
        <f>VLOOKUP(B46,'base(indices)'!$A$4:$C$183,3,FALSE)</f>
        <v>622</v>
      </c>
      <c r="D46" s="335">
        <f>'base(indices)'!G39</f>
        <v>1.69857915</v>
      </c>
      <c r="E46" s="163">
        <f t="shared" si="45"/>
        <v>1056.5162313000001</v>
      </c>
      <c r="F46" s="304">
        <f>'base(indices)'!I39</f>
        <v>0.60997000000000001</v>
      </c>
      <c r="G46" s="163">
        <f t="shared" si="23"/>
        <v>644.44320560606104</v>
      </c>
      <c r="H46" s="355">
        <f t="shared" si="24"/>
        <v>1700.959436906061</v>
      </c>
      <c r="I46" s="354">
        <f t="shared" si="43"/>
        <v>219019.21185351975</v>
      </c>
      <c r="J46" s="58">
        <f t="shared" si="46"/>
        <v>76000.758974384822</v>
      </c>
      <c r="K46" s="202">
        <f t="shared" si="25"/>
        <v>8719.2410256151761</v>
      </c>
      <c r="L46" s="286">
        <f t="shared" si="26"/>
        <v>84720</v>
      </c>
      <c r="M46" s="282">
        <f t="shared" si="27"/>
        <v>72200.721025665582</v>
      </c>
      <c r="N46" s="202">
        <f t="shared" si="28"/>
        <v>8283.2789743344165</v>
      </c>
      <c r="O46" s="289">
        <f t="shared" si="29"/>
        <v>80484</v>
      </c>
      <c r="P46" s="285">
        <f t="shared" si="30"/>
        <v>68400.683076946341</v>
      </c>
      <c r="Q46" s="202">
        <f t="shared" si="31"/>
        <v>7847.3169230536587</v>
      </c>
      <c r="R46" s="203">
        <f t="shared" si="32"/>
        <v>76248</v>
      </c>
      <c r="S46" s="282">
        <f t="shared" si="33"/>
        <v>60800.607179507861</v>
      </c>
      <c r="T46" s="202">
        <f t="shared" si="34"/>
        <v>6975.3928204921413</v>
      </c>
      <c r="U46" s="289">
        <f t="shared" si="35"/>
        <v>67776</v>
      </c>
      <c r="V46" s="285">
        <f t="shared" si="36"/>
        <v>53200.531282069373</v>
      </c>
      <c r="W46" s="202">
        <f t="shared" si="37"/>
        <v>6103.4687179306229</v>
      </c>
      <c r="X46" s="203">
        <f t="shared" si="38"/>
        <v>59303.999999999993</v>
      </c>
      <c r="Y46" s="282">
        <f t="shared" si="39"/>
        <v>45600.455384630892</v>
      </c>
      <c r="Z46" s="202">
        <f t="shared" si="40"/>
        <v>5231.5446153691055</v>
      </c>
      <c r="AA46" s="203">
        <f t="shared" si="41"/>
        <v>50832</v>
      </c>
    </row>
    <row r="47" spans="1:27">
      <c r="A47" s="158">
        <v>132</v>
      </c>
      <c r="B47" s="338">
        <v>41275</v>
      </c>
      <c r="C47" s="120">
        <f>VLOOKUP(B47,'base(indices)'!$A$4:$C$183,3,FALSE)</f>
        <v>678</v>
      </c>
      <c r="D47" s="193">
        <f>'base(indices)'!G40</f>
        <v>1.6869392700000001</v>
      </c>
      <c r="E47" s="78">
        <f>C47*D47</f>
        <v>1143.74482506</v>
      </c>
      <c r="F47" s="79">
        <f>'base(indices)'!I40</f>
        <v>0.60997000000000001</v>
      </c>
      <c r="G47" s="78">
        <f t="shared" si="23"/>
        <v>697.65003094184829</v>
      </c>
      <c r="H47" s="266">
        <f t="shared" si="24"/>
        <v>1841.3948560018484</v>
      </c>
      <c r="I47" s="345">
        <f t="shared" si="43"/>
        <v>217318.25241661369</v>
      </c>
      <c r="J47" s="48">
        <f>IF((I47)+K47&gt;$I$97,$I$197-K47,(I47))</f>
        <v>76000.758974384822</v>
      </c>
      <c r="K47" s="109">
        <f t="shared" si="25"/>
        <v>8719.2410256151761</v>
      </c>
      <c r="L47" s="49">
        <f t="shared" si="26"/>
        <v>84720</v>
      </c>
      <c r="M47" s="138">
        <f t="shared" si="27"/>
        <v>72200.721025665582</v>
      </c>
      <c r="N47" s="109">
        <f t="shared" si="28"/>
        <v>8283.2789743344165</v>
      </c>
      <c r="O47" s="139">
        <f t="shared" si="29"/>
        <v>80484</v>
      </c>
      <c r="P47" s="291">
        <f t="shared" si="30"/>
        <v>68400.683076946341</v>
      </c>
      <c r="Q47" s="109">
        <f t="shared" si="31"/>
        <v>7847.3169230536587</v>
      </c>
      <c r="R47" s="49">
        <f t="shared" si="32"/>
        <v>76248</v>
      </c>
      <c r="S47" s="138">
        <f t="shared" si="33"/>
        <v>60800.607179507861</v>
      </c>
      <c r="T47" s="109">
        <f t="shared" si="34"/>
        <v>6975.3928204921413</v>
      </c>
      <c r="U47" s="139">
        <f t="shared" si="35"/>
        <v>67776</v>
      </c>
      <c r="V47" s="48">
        <f t="shared" si="36"/>
        <v>53200.531282069373</v>
      </c>
      <c r="W47" s="109">
        <f t="shared" si="37"/>
        <v>6103.4687179306229</v>
      </c>
      <c r="X47" s="49">
        <f t="shared" si="38"/>
        <v>59303.999999999993</v>
      </c>
      <c r="Y47" s="138">
        <f t="shared" si="39"/>
        <v>45600.455384630892</v>
      </c>
      <c r="Z47" s="109">
        <f t="shared" si="40"/>
        <v>5231.5446153691055</v>
      </c>
      <c r="AA47" s="49">
        <f t="shared" si="41"/>
        <v>50832</v>
      </c>
    </row>
    <row r="48" spans="1:27">
      <c r="A48" s="105">
        <v>131</v>
      </c>
      <c r="B48" s="339">
        <v>41306</v>
      </c>
      <c r="C48" s="61">
        <f>VLOOKUP(B48,'base(indices)'!$A$4:$C$183,3,FALSE)</f>
        <v>678</v>
      </c>
      <c r="D48" s="192">
        <f>'base(indices)'!G41</f>
        <v>1.6722237</v>
      </c>
      <c r="E48" s="54">
        <f t="shared" ref="E48:E58" si="47">C48*D48</f>
        <v>1133.7676686</v>
      </c>
      <c r="F48" s="82">
        <f>'base(indices)'!I41</f>
        <v>0.60997000000000001</v>
      </c>
      <c r="G48" s="54">
        <f t="shared" si="23"/>
        <v>691.56426481594201</v>
      </c>
      <c r="H48" s="267">
        <f t="shared" si="24"/>
        <v>1825.3319334159419</v>
      </c>
      <c r="I48" s="346">
        <f t="shared" si="43"/>
        <v>215476.85756061182</v>
      </c>
      <c r="J48" s="58">
        <f>IF((I48)+K48&gt;$I$197,$I$197-K48,(I48))</f>
        <v>76000.758974384822</v>
      </c>
      <c r="K48" s="91">
        <f t="shared" si="25"/>
        <v>8719.2410256151761</v>
      </c>
      <c r="L48" s="284">
        <f t="shared" si="26"/>
        <v>84720</v>
      </c>
      <c r="M48" s="57">
        <f t="shared" si="27"/>
        <v>72200.721025665582</v>
      </c>
      <c r="N48" s="91">
        <f t="shared" si="28"/>
        <v>8283.2789743344165</v>
      </c>
      <c r="O48" s="60">
        <f t="shared" si="29"/>
        <v>80484</v>
      </c>
      <c r="P48" s="58">
        <f t="shared" si="30"/>
        <v>68400.683076946341</v>
      </c>
      <c r="Q48" s="91">
        <f t="shared" si="31"/>
        <v>7847.3169230536587</v>
      </c>
      <c r="R48" s="59">
        <f t="shared" si="32"/>
        <v>76248</v>
      </c>
      <c r="S48" s="57">
        <f t="shared" si="33"/>
        <v>60800.607179507861</v>
      </c>
      <c r="T48" s="91">
        <f t="shared" si="34"/>
        <v>6975.3928204921413</v>
      </c>
      <c r="U48" s="60">
        <f t="shared" si="35"/>
        <v>67776</v>
      </c>
      <c r="V48" s="58">
        <f t="shared" si="36"/>
        <v>53200.531282069373</v>
      </c>
      <c r="W48" s="91">
        <f t="shared" si="37"/>
        <v>6103.4687179306229</v>
      </c>
      <c r="X48" s="59">
        <f t="shared" si="38"/>
        <v>59303.999999999993</v>
      </c>
      <c r="Y48" s="57">
        <f t="shared" si="39"/>
        <v>45600.455384630892</v>
      </c>
      <c r="Z48" s="91">
        <f t="shared" si="40"/>
        <v>5231.5446153691055</v>
      </c>
      <c r="AA48" s="59">
        <f t="shared" si="41"/>
        <v>50832</v>
      </c>
    </row>
    <row r="49" spans="1:27">
      <c r="A49" s="105">
        <v>130</v>
      </c>
      <c r="B49" s="340">
        <v>41334</v>
      </c>
      <c r="C49" s="61">
        <f>VLOOKUP(B49,'base(indices)'!$A$4:$C$183,3,FALSE)</f>
        <v>678</v>
      </c>
      <c r="D49" s="192">
        <f>'base(indices)'!G42</f>
        <v>1.66092938</v>
      </c>
      <c r="E49" s="63">
        <f t="shared" si="47"/>
        <v>1126.11011964</v>
      </c>
      <c r="F49" s="82">
        <f>'base(indices)'!I42</f>
        <v>0.60997000000000001</v>
      </c>
      <c r="G49" s="63">
        <f t="shared" si="23"/>
        <v>686.89338967681078</v>
      </c>
      <c r="H49" s="268">
        <f t="shared" si="24"/>
        <v>1813.0035093168108</v>
      </c>
      <c r="I49" s="347">
        <f t="shared" si="43"/>
        <v>213651.52562719589</v>
      </c>
      <c r="J49" s="119">
        <f>IF((I49)+K49&gt;$I$197,$I$197-K49,(I49))</f>
        <v>76000.758974384822</v>
      </c>
      <c r="K49" s="108">
        <f t="shared" si="25"/>
        <v>8719.2410256151761</v>
      </c>
      <c r="L49" s="46">
        <f t="shared" si="26"/>
        <v>84720</v>
      </c>
      <c r="M49" s="43">
        <f t="shared" si="27"/>
        <v>72200.721025665582</v>
      </c>
      <c r="N49" s="108">
        <f t="shared" si="28"/>
        <v>8283.2789743344165</v>
      </c>
      <c r="O49" s="47">
        <f t="shared" si="29"/>
        <v>80484</v>
      </c>
      <c r="P49" s="119">
        <f t="shared" si="30"/>
        <v>68400.683076946341</v>
      </c>
      <c r="Q49" s="108">
        <f t="shared" si="31"/>
        <v>7847.3169230536587</v>
      </c>
      <c r="R49" s="46">
        <f t="shared" si="32"/>
        <v>76248</v>
      </c>
      <c r="S49" s="43">
        <f t="shared" si="33"/>
        <v>60800.607179507861</v>
      </c>
      <c r="T49" s="108">
        <f t="shared" si="34"/>
        <v>6975.3928204921413</v>
      </c>
      <c r="U49" s="47">
        <f t="shared" si="35"/>
        <v>67776</v>
      </c>
      <c r="V49" s="45">
        <f t="shared" si="36"/>
        <v>53200.531282069373</v>
      </c>
      <c r="W49" s="108">
        <f t="shared" si="37"/>
        <v>6103.4687179306229</v>
      </c>
      <c r="X49" s="46">
        <f t="shared" si="38"/>
        <v>59303.999999999993</v>
      </c>
      <c r="Y49" s="43">
        <f t="shared" si="39"/>
        <v>45600.455384630892</v>
      </c>
      <c r="Z49" s="108">
        <f t="shared" si="40"/>
        <v>5231.5446153691055</v>
      </c>
      <c r="AA49" s="46">
        <f t="shared" si="41"/>
        <v>50832</v>
      </c>
    </row>
    <row r="50" spans="1:27">
      <c r="A50" s="105">
        <v>129</v>
      </c>
      <c r="B50" s="339">
        <v>41365</v>
      </c>
      <c r="C50" s="61">
        <f>VLOOKUP(B50,'base(indices)'!$A$4:$C$183,3,FALSE)</f>
        <v>678</v>
      </c>
      <c r="D50" s="192">
        <f>'base(indices)'!G43</f>
        <v>1.65283051</v>
      </c>
      <c r="E50" s="54">
        <f t="shared" si="47"/>
        <v>1120.61908578</v>
      </c>
      <c r="F50" s="82">
        <f>'base(indices)'!I43</f>
        <v>0.60997000000000001</v>
      </c>
      <c r="G50" s="54">
        <f t="shared" si="23"/>
        <v>683.54402375322661</v>
      </c>
      <c r="H50" s="267">
        <f t="shared" si="24"/>
        <v>1804.1631095332266</v>
      </c>
      <c r="I50" s="346">
        <f t="shared" si="43"/>
        <v>211838.5221178791</v>
      </c>
      <c r="J50" s="58">
        <f>IF((I50)+K50&gt;$I$197,$I$197-K50,(I50))</f>
        <v>76000.758974384822</v>
      </c>
      <c r="K50" s="91">
        <f t="shared" si="25"/>
        <v>8719.2410256151761</v>
      </c>
      <c r="L50" s="284">
        <f t="shared" si="26"/>
        <v>84720</v>
      </c>
      <c r="M50" s="57">
        <f t="shared" si="27"/>
        <v>72200.721025665582</v>
      </c>
      <c r="N50" s="91">
        <f t="shared" si="28"/>
        <v>8283.2789743344165</v>
      </c>
      <c r="O50" s="60">
        <f t="shared" si="29"/>
        <v>80484</v>
      </c>
      <c r="P50" s="58">
        <f t="shared" si="30"/>
        <v>68400.683076946341</v>
      </c>
      <c r="Q50" s="91">
        <f t="shared" si="31"/>
        <v>7847.3169230536587</v>
      </c>
      <c r="R50" s="59">
        <f t="shared" si="32"/>
        <v>76248</v>
      </c>
      <c r="S50" s="57">
        <f t="shared" si="33"/>
        <v>60800.607179507861</v>
      </c>
      <c r="T50" s="91">
        <f t="shared" si="34"/>
        <v>6975.3928204921413</v>
      </c>
      <c r="U50" s="60">
        <f t="shared" si="35"/>
        <v>67776</v>
      </c>
      <c r="V50" s="58">
        <f t="shared" si="36"/>
        <v>53200.531282069373</v>
      </c>
      <c r="W50" s="91">
        <f t="shared" si="37"/>
        <v>6103.4687179306229</v>
      </c>
      <c r="X50" s="59">
        <f t="shared" si="38"/>
        <v>59303.999999999993</v>
      </c>
      <c r="Y50" s="57">
        <f t="shared" si="39"/>
        <v>45600.455384630892</v>
      </c>
      <c r="Z50" s="91">
        <f t="shared" si="40"/>
        <v>5231.5446153691055</v>
      </c>
      <c r="AA50" s="59">
        <f t="shared" si="41"/>
        <v>50832</v>
      </c>
    </row>
    <row r="51" spans="1:27">
      <c r="A51" s="105">
        <v>128</v>
      </c>
      <c r="B51" s="340">
        <v>41395</v>
      </c>
      <c r="C51" s="61">
        <f>VLOOKUP(B51,'base(indices)'!$A$4:$C$183,3,FALSE)</f>
        <v>678</v>
      </c>
      <c r="D51" s="192">
        <f>'base(indices)'!G44</f>
        <v>1.6444438400000001</v>
      </c>
      <c r="E51" s="63">
        <f t="shared" si="47"/>
        <v>1114.93292352</v>
      </c>
      <c r="F51" s="82">
        <f>'base(indices)'!I44</f>
        <v>0.60997000000000001</v>
      </c>
      <c r="G51" s="63">
        <f t="shared" si="23"/>
        <v>680.07563535949441</v>
      </c>
      <c r="H51" s="268">
        <f t="shared" si="24"/>
        <v>1795.0085588794946</v>
      </c>
      <c r="I51" s="347">
        <f t="shared" si="43"/>
        <v>210034.35900834587</v>
      </c>
      <c r="J51" s="119">
        <f t="shared" ref="J51:J58" si="48">IF((I51)+K51&gt;$I$197,$I$197-K51,(I51))</f>
        <v>76000.758974384822</v>
      </c>
      <c r="K51" s="108">
        <f t="shared" si="25"/>
        <v>8719.2410256151761</v>
      </c>
      <c r="L51" s="46">
        <f t="shared" si="26"/>
        <v>84720</v>
      </c>
      <c r="M51" s="43">
        <f t="shared" si="27"/>
        <v>72200.721025665582</v>
      </c>
      <c r="N51" s="108">
        <f t="shared" si="28"/>
        <v>8283.2789743344165</v>
      </c>
      <c r="O51" s="47">
        <f t="shared" si="29"/>
        <v>80484</v>
      </c>
      <c r="P51" s="119">
        <f t="shared" si="30"/>
        <v>68400.683076946341</v>
      </c>
      <c r="Q51" s="108">
        <f t="shared" si="31"/>
        <v>7847.3169230536587</v>
      </c>
      <c r="R51" s="46">
        <f t="shared" si="32"/>
        <v>76248</v>
      </c>
      <c r="S51" s="43">
        <f t="shared" si="33"/>
        <v>60800.607179507861</v>
      </c>
      <c r="T51" s="108">
        <f t="shared" si="34"/>
        <v>6975.3928204921413</v>
      </c>
      <c r="U51" s="47">
        <f t="shared" si="35"/>
        <v>67776</v>
      </c>
      <c r="V51" s="45">
        <f t="shared" si="36"/>
        <v>53200.531282069373</v>
      </c>
      <c r="W51" s="108">
        <f t="shared" si="37"/>
        <v>6103.4687179306229</v>
      </c>
      <c r="X51" s="46">
        <f t="shared" si="38"/>
        <v>59303.999999999993</v>
      </c>
      <c r="Y51" s="43">
        <f t="shared" si="39"/>
        <v>45600.455384630892</v>
      </c>
      <c r="Z51" s="108">
        <f t="shared" si="40"/>
        <v>5231.5446153691055</v>
      </c>
      <c r="AA51" s="46">
        <f t="shared" si="41"/>
        <v>50832</v>
      </c>
    </row>
    <row r="52" spans="1:27">
      <c r="A52" s="105">
        <v>127</v>
      </c>
      <c r="B52" s="339">
        <v>41426</v>
      </c>
      <c r="C52" s="61">
        <f>VLOOKUP(B52,'base(indices)'!$A$4:$C$183,3,FALSE)</f>
        <v>678</v>
      </c>
      <c r="D52" s="192">
        <f>'base(indices)'!G45</f>
        <v>1.63691404</v>
      </c>
      <c r="E52" s="54">
        <f t="shared" si="47"/>
        <v>1109.82771912</v>
      </c>
      <c r="F52" s="82">
        <f>'base(indices)'!I45</f>
        <v>0.60997000000000001</v>
      </c>
      <c r="G52" s="54">
        <f t="shared" si="23"/>
        <v>676.96161383162644</v>
      </c>
      <c r="H52" s="267">
        <f t="shared" si="24"/>
        <v>1786.7893329516264</v>
      </c>
      <c r="I52" s="346">
        <f t="shared" si="43"/>
        <v>208239.35044946638</v>
      </c>
      <c r="J52" s="58">
        <f t="shared" si="48"/>
        <v>76000.758974384822</v>
      </c>
      <c r="K52" s="91">
        <f t="shared" si="25"/>
        <v>8719.2410256151761</v>
      </c>
      <c r="L52" s="284">
        <f t="shared" si="26"/>
        <v>84720</v>
      </c>
      <c r="M52" s="57">
        <f t="shared" si="27"/>
        <v>72200.721025665582</v>
      </c>
      <c r="N52" s="91">
        <f t="shared" si="28"/>
        <v>8283.2789743344165</v>
      </c>
      <c r="O52" s="60">
        <f t="shared" si="29"/>
        <v>80484</v>
      </c>
      <c r="P52" s="58">
        <f t="shared" si="30"/>
        <v>68400.683076946341</v>
      </c>
      <c r="Q52" s="91">
        <f t="shared" si="31"/>
        <v>7847.3169230536587</v>
      </c>
      <c r="R52" s="59">
        <f t="shared" si="32"/>
        <v>76248</v>
      </c>
      <c r="S52" s="57">
        <f t="shared" si="33"/>
        <v>60800.607179507861</v>
      </c>
      <c r="T52" s="91">
        <f t="shared" si="34"/>
        <v>6975.3928204921413</v>
      </c>
      <c r="U52" s="60">
        <f t="shared" si="35"/>
        <v>67776</v>
      </c>
      <c r="V52" s="58">
        <f t="shared" si="36"/>
        <v>53200.531282069373</v>
      </c>
      <c r="W52" s="91">
        <f t="shared" si="37"/>
        <v>6103.4687179306229</v>
      </c>
      <c r="X52" s="59">
        <f t="shared" si="38"/>
        <v>59303.999999999993</v>
      </c>
      <c r="Y52" s="57">
        <f t="shared" si="39"/>
        <v>45600.455384630892</v>
      </c>
      <c r="Z52" s="91">
        <f t="shared" si="40"/>
        <v>5231.5446153691055</v>
      </c>
      <c r="AA52" s="59">
        <f t="shared" si="41"/>
        <v>50832</v>
      </c>
    </row>
    <row r="53" spans="1:27">
      <c r="A53" s="105">
        <v>126</v>
      </c>
      <c r="B53" s="340">
        <v>41456</v>
      </c>
      <c r="C53" s="61">
        <f>VLOOKUP(B53,'base(indices)'!$A$4:$C$183,3,FALSE)</f>
        <v>678</v>
      </c>
      <c r="D53" s="192">
        <f>'base(indices)'!G46</f>
        <v>1.6307173100000001</v>
      </c>
      <c r="E53" s="63">
        <f t="shared" si="47"/>
        <v>1105.62633618</v>
      </c>
      <c r="F53" s="82">
        <f>'base(indices)'!I46</f>
        <v>0.60997000000000001</v>
      </c>
      <c r="G53" s="63">
        <f t="shared" si="23"/>
        <v>674.39889627971456</v>
      </c>
      <c r="H53" s="268">
        <f t="shared" si="24"/>
        <v>1780.0252324597145</v>
      </c>
      <c r="I53" s="347">
        <f t="shared" si="43"/>
        <v>206452.56111651476</v>
      </c>
      <c r="J53" s="119">
        <f t="shared" si="48"/>
        <v>76000.758974384822</v>
      </c>
      <c r="K53" s="108">
        <f t="shared" si="25"/>
        <v>8719.2410256151761</v>
      </c>
      <c r="L53" s="46">
        <f t="shared" si="26"/>
        <v>84720</v>
      </c>
      <c r="M53" s="43">
        <f t="shared" si="27"/>
        <v>72200.721025665582</v>
      </c>
      <c r="N53" s="108">
        <f t="shared" si="28"/>
        <v>8283.2789743344165</v>
      </c>
      <c r="O53" s="47">
        <f t="shared" si="29"/>
        <v>80484</v>
      </c>
      <c r="P53" s="119">
        <f t="shared" si="30"/>
        <v>68400.683076946341</v>
      </c>
      <c r="Q53" s="108">
        <f t="shared" si="31"/>
        <v>7847.3169230536587</v>
      </c>
      <c r="R53" s="46">
        <f t="shared" si="32"/>
        <v>76248</v>
      </c>
      <c r="S53" s="43">
        <f t="shared" si="33"/>
        <v>60800.607179507861</v>
      </c>
      <c r="T53" s="108">
        <f t="shared" si="34"/>
        <v>6975.3928204921413</v>
      </c>
      <c r="U53" s="47">
        <f t="shared" si="35"/>
        <v>67776</v>
      </c>
      <c r="V53" s="45">
        <f t="shared" si="36"/>
        <v>53200.531282069373</v>
      </c>
      <c r="W53" s="108">
        <f t="shared" si="37"/>
        <v>6103.4687179306229</v>
      </c>
      <c r="X53" s="46">
        <f t="shared" si="38"/>
        <v>59303.999999999993</v>
      </c>
      <c r="Y53" s="43">
        <f t="shared" si="39"/>
        <v>45600.455384630892</v>
      </c>
      <c r="Z53" s="108">
        <f t="shared" si="40"/>
        <v>5231.5446153691055</v>
      </c>
      <c r="AA53" s="46">
        <f t="shared" si="41"/>
        <v>50832</v>
      </c>
    </row>
    <row r="54" spans="1:27">
      <c r="A54" s="105">
        <v>125</v>
      </c>
      <c r="B54" s="339">
        <v>41487</v>
      </c>
      <c r="C54" s="61">
        <f>VLOOKUP(B54,'base(indices)'!$A$4:$C$183,3,FALSE)</f>
        <v>678</v>
      </c>
      <c r="D54" s="192">
        <f>'base(indices)'!G47</f>
        <v>1.62957661</v>
      </c>
      <c r="E54" s="54">
        <f t="shared" si="47"/>
        <v>1104.8529415799999</v>
      </c>
      <c r="F54" s="82">
        <f>'base(indices)'!I47</f>
        <v>0.60997000000000001</v>
      </c>
      <c r="G54" s="54">
        <f t="shared" si="23"/>
        <v>673.9271487755525</v>
      </c>
      <c r="H54" s="267">
        <f t="shared" si="24"/>
        <v>1778.7800903555524</v>
      </c>
      <c r="I54" s="346">
        <f t="shared" si="43"/>
        <v>204672.53588405505</v>
      </c>
      <c r="J54" s="58">
        <f t="shared" si="48"/>
        <v>76000.758974384822</v>
      </c>
      <c r="K54" s="91">
        <f t="shared" si="25"/>
        <v>8719.2410256151761</v>
      </c>
      <c r="L54" s="284">
        <f t="shared" si="26"/>
        <v>84720</v>
      </c>
      <c r="M54" s="57">
        <f t="shared" si="27"/>
        <v>72200.721025665582</v>
      </c>
      <c r="N54" s="91">
        <f t="shared" si="28"/>
        <v>8283.2789743344165</v>
      </c>
      <c r="O54" s="60">
        <f t="shared" si="29"/>
        <v>80484</v>
      </c>
      <c r="P54" s="58">
        <f t="shared" si="30"/>
        <v>68400.683076946341</v>
      </c>
      <c r="Q54" s="91">
        <f t="shared" si="31"/>
        <v>7847.3169230536587</v>
      </c>
      <c r="R54" s="59">
        <f t="shared" si="32"/>
        <v>76248</v>
      </c>
      <c r="S54" s="57">
        <f t="shared" si="33"/>
        <v>60800.607179507861</v>
      </c>
      <c r="T54" s="91">
        <f t="shared" si="34"/>
        <v>6975.3928204921413</v>
      </c>
      <c r="U54" s="60">
        <f t="shared" si="35"/>
        <v>67776</v>
      </c>
      <c r="V54" s="58">
        <f t="shared" si="36"/>
        <v>53200.531282069373</v>
      </c>
      <c r="W54" s="91">
        <f t="shared" si="37"/>
        <v>6103.4687179306229</v>
      </c>
      <c r="X54" s="59">
        <f t="shared" si="38"/>
        <v>59303.999999999993</v>
      </c>
      <c r="Y54" s="57">
        <f t="shared" si="39"/>
        <v>45600.455384630892</v>
      </c>
      <c r="Z54" s="91">
        <f t="shared" si="40"/>
        <v>5231.5446153691055</v>
      </c>
      <c r="AA54" s="59">
        <f t="shared" si="41"/>
        <v>50832</v>
      </c>
    </row>
    <row r="55" spans="1:27">
      <c r="A55" s="105">
        <v>124</v>
      </c>
      <c r="B55" s="340">
        <v>41518</v>
      </c>
      <c r="C55" s="61">
        <f>VLOOKUP(B55,'base(indices)'!$A$4:$C$183,3,FALSE)</f>
        <v>678</v>
      </c>
      <c r="D55" s="192">
        <f>'base(indices)'!G48</f>
        <v>1.6269734499999999</v>
      </c>
      <c r="E55" s="63">
        <f t="shared" si="47"/>
        <v>1103.0879990999999</v>
      </c>
      <c r="F55" s="82">
        <f>'base(indices)'!I48</f>
        <v>0.60997000000000001</v>
      </c>
      <c r="G55" s="63">
        <f t="shared" si="23"/>
        <v>672.85058681102703</v>
      </c>
      <c r="H55" s="268">
        <f t="shared" si="24"/>
        <v>1775.9385859110271</v>
      </c>
      <c r="I55" s="347">
        <f t="shared" si="43"/>
        <v>202893.7557936995</v>
      </c>
      <c r="J55" s="119">
        <f t="shared" si="48"/>
        <v>76000.758974384822</v>
      </c>
      <c r="K55" s="108">
        <f t="shared" si="25"/>
        <v>8719.2410256151761</v>
      </c>
      <c r="L55" s="46">
        <f t="shared" si="26"/>
        <v>84720</v>
      </c>
      <c r="M55" s="43">
        <f t="shared" si="27"/>
        <v>72200.721025665582</v>
      </c>
      <c r="N55" s="108">
        <f t="shared" si="28"/>
        <v>8283.2789743344165</v>
      </c>
      <c r="O55" s="47">
        <f t="shared" si="29"/>
        <v>80484</v>
      </c>
      <c r="P55" s="119">
        <f t="shared" si="30"/>
        <v>68400.683076946341</v>
      </c>
      <c r="Q55" s="108">
        <f t="shared" si="31"/>
        <v>7847.3169230536587</v>
      </c>
      <c r="R55" s="46">
        <f t="shared" si="32"/>
        <v>76248</v>
      </c>
      <c r="S55" s="43">
        <f t="shared" si="33"/>
        <v>60800.607179507861</v>
      </c>
      <c r="T55" s="108">
        <f t="shared" si="34"/>
        <v>6975.3928204921413</v>
      </c>
      <c r="U55" s="47">
        <f t="shared" si="35"/>
        <v>67776</v>
      </c>
      <c r="V55" s="45">
        <f t="shared" si="36"/>
        <v>53200.531282069373</v>
      </c>
      <c r="W55" s="108">
        <f t="shared" si="37"/>
        <v>6103.4687179306229</v>
      </c>
      <c r="X55" s="46">
        <f t="shared" si="38"/>
        <v>59303.999999999993</v>
      </c>
      <c r="Y55" s="43">
        <f t="shared" si="39"/>
        <v>45600.455384630892</v>
      </c>
      <c r="Z55" s="108">
        <f t="shared" si="40"/>
        <v>5231.5446153691055</v>
      </c>
      <c r="AA55" s="46">
        <f t="shared" si="41"/>
        <v>50832</v>
      </c>
    </row>
    <row r="56" spans="1:27">
      <c r="A56" s="105">
        <v>123</v>
      </c>
      <c r="B56" s="339">
        <v>41548</v>
      </c>
      <c r="C56" s="61">
        <f>VLOOKUP(B56,'base(indices)'!$A$4:$C$183,3,FALSE)</f>
        <v>678</v>
      </c>
      <c r="D56" s="192">
        <f>'base(indices)'!G49</f>
        <v>1.62259245</v>
      </c>
      <c r="E56" s="54">
        <f t="shared" si="47"/>
        <v>1100.1176811</v>
      </c>
      <c r="F56" s="82">
        <f>'base(indices)'!I49</f>
        <v>0.60997000000000001</v>
      </c>
      <c r="G56" s="54">
        <f t="shared" si="23"/>
        <v>671.03878194056699</v>
      </c>
      <c r="H56" s="267">
        <f t="shared" si="24"/>
        <v>1771.1564630405669</v>
      </c>
      <c r="I56" s="346">
        <f t="shared" si="43"/>
        <v>201117.81720778847</v>
      </c>
      <c r="J56" s="58">
        <f t="shared" si="48"/>
        <v>76000.758974384822</v>
      </c>
      <c r="K56" s="91">
        <f t="shared" si="25"/>
        <v>8719.2410256151761</v>
      </c>
      <c r="L56" s="284">
        <f t="shared" si="26"/>
        <v>84720</v>
      </c>
      <c r="M56" s="57">
        <f t="shared" si="27"/>
        <v>72200.721025665582</v>
      </c>
      <c r="N56" s="91">
        <f t="shared" si="28"/>
        <v>8283.2789743344165</v>
      </c>
      <c r="O56" s="60">
        <f t="shared" si="29"/>
        <v>80484</v>
      </c>
      <c r="P56" s="58">
        <f t="shared" si="30"/>
        <v>68400.683076946341</v>
      </c>
      <c r="Q56" s="91">
        <f t="shared" si="31"/>
        <v>7847.3169230536587</v>
      </c>
      <c r="R56" s="59">
        <f t="shared" si="32"/>
        <v>76248</v>
      </c>
      <c r="S56" s="57">
        <f t="shared" si="33"/>
        <v>60800.607179507861</v>
      </c>
      <c r="T56" s="91">
        <f t="shared" si="34"/>
        <v>6975.3928204921413</v>
      </c>
      <c r="U56" s="60">
        <f t="shared" si="35"/>
        <v>67776</v>
      </c>
      <c r="V56" s="58">
        <f t="shared" si="36"/>
        <v>53200.531282069373</v>
      </c>
      <c r="W56" s="91">
        <f t="shared" si="37"/>
        <v>6103.4687179306229</v>
      </c>
      <c r="X56" s="59">
        <f t="shared" si="38"/>
        <v>59303.999999999993</v>
      </c>
      <c r="Y56" s="57">
        <f t="shared" si="39"/>
        <v>45600.455384630892</v>
      </c>
      <c r="Z56" s="91">
        <f t="shared" si="40"/>
        <v>5231.5446153691055</v>
      </c>
      <c r="AA56" s="59">
        <f t="shared" si="41"/>
        <v>50832</v>
      </c>
    </row>
    <row r="57" spans="1:27">
      <c r="A57" s="105">
        <v>122</v>
      </c>
      <c r="B57" s="340">
        <v>41579</v>
      </c>
      <c r="C57" s="61">
        <f>VLOOKUP(B57,'base(indices)'!$A$4:$C$183,3,FALSE)</f>
        <v>678</v>
      </c>
      <c r="D57" s="192">
        <f>'base(indices)'!G50</f>
        <v>1.61484121</v>
      </c>
      <c r="E57" s="63">
        <f t="shared" si="47"/>
        <v>1094.86234038</v>
      </c>
      <c r="F57" s="82">
        <f>'base(indices)'!I50</f>
        <v>0.60997000000000001</v>
      </c>
      <c r="G57" s="63">
        <f t="shared" si="23"/>
        <v>667.83318176158855</v>
      </c>
      <c r="H57" s="268">
        <f t="shared" si="24"/>
        <v>1762.6955221415885</v>
      </c>
      <c r="I57" s="347">
        <f t="shared" si="43"/>
        <v>199346.6607447479</v>
      </c>
      <c r="J57" s="119">
        <f t="shared" si="48"/>
        <v>76000.758974384822</v>
      </c>
      <c r="K57" s="108">
        <f t="shared" si="25"/>
        <v>8719.2410256151761</v>
      </c>
      <c r="L57" s="46">
        <f t="shared" si="26"/>
        <v>84720</v>
      </c>
      <c r="M57" s="43">
        <f t="shared" si="27"/>
        <v>72200.721025665582</v>
      </c>
      <c r="N57" s="108">
        <f t="shared" si="28"/>
        <v>8283.2789743344165</v>
      </c>
      <c r="O57" s="47">
        <f t="shared" si="29"/>
        <v>80484</v>
      </c>
      <c r="P57" s="119">
        <f t="shared" si="30"/>
        <v>68400.683076946341</v>
      </c>
      <c r="Q57" s="108">
        <f t="shared" si="31"/>
        <v>7847.3169230536587</v>
      </c>
      <c r="R57" s="46">
        <f t="shared" si="32"/>
        <v>76248</v>
      </c>
      <c r="S57" s="43">
        <f t="shared" si="33"/>
        <v>60800.607179507861</v>
      </c>
      <c r="T57" s="108">
        <f t="shared" si="34"/>
        <v>6975.3928204921413</v>
      </c>
      <c r="U57" s="47">
        <f t="shared" si="35"/>
        <v>67776</v>
      </c>
      <c r="V57" s="45">
        <f t="shared" si="36"/>
        <v>53200.531282069373</v>
      </c>
      <c r="W57" s="108">
        <f t="shared" si="37"/>
        <v>6103.4687179306229</v>
      </c>
      <c r="X57" s="46">
        <f t="shared" si="38"/>
        <v>59303.999999999993</v>
      </c>
      <c r="Y57" s="43">
        <f t="shared" si="39"/>
        <v>45600.455384630892</v>
      </c>
      <c r="Z57" s="108">
        <f t="shared" si="40"/>
        <v>5231.5446153691055</v>
      </c>
      <c r="AA57" s="46">
        <f t="shared" si="41"/>
        <v>50832</v>
      </c>
    </row>
    <row r="58" spans="1:27" ht="13.5" thickBot="1">
      <c r="A58" s="161">
        <v>121</v>
      </c>
      <c r="B58" s="342">
        <v>41609</v>
      </c>
      <c r="C58" s="61">
        <f>VLOOKUP(B58,'base(indices)'!$A$4:$C$183,3,FALSE)</f>
        <v>678</v>
      </c>
      <c r="D58" s="335">
        <f>'base(indices)'!G51</f>
        <v>1.6056887900000001</v>
      </c>
      <c r="E58" s="163">
        <f t="shared" si="47"/>
        <v>1088.6569996200001</v>
      </c>
      <c r="F58" s="304">
        <f>'base(indices)'!I51</f>
        <v>0.60997000000000001</v>
      </c>
      <c r="G58" s="163">
        <f t="shared" si="23"/>
        <v>664.04811005821148</v>
      </c>
      <c r="H58" s="355">
        <f t="shared" si="24"/>
        <v>1752.7051096782116</v>
      </c>
      <c r="I58" s="348">
        <f t="shared" si="43"/>
        <v>197583.96522260632</v>
      </c>
      <c r="J58" s="58">
        <f t="shared" si="48"/>
        <v>76000.758974384822</v>
      </c>
      <c r="K58" s="202">
        <f t="shared" si="25"/>
        <v>8719.2410256151761</v>
      </c>
      <c r="L58" s="286">
        <f t="shared" si="26"/>
        <v>84720</v>
      </c>
      <c r="M58" s="282">
        <f t="shared" si="27"/>
        <v>72200.721025665582</v>
      </c>
      <c r="N58" s="202">
        <f t="shared" si="28"/>
        <v>8283.2789743344165</v>
      </c>
      <c r="O58" s="289">
        <f t="shared" si="29"/>
        <v>80484</v>
      </c>
      <c r="P58" s="285">
        <f t="shared" si="30"/>
        <v>68400.683076946341</v>
      </c>
      <c r="Q58" s="202">
        <f t="shared" si="31"/>
        <v>7847.3169230536587</v>
      </c>
      <c r="R58" s="203">
        <f t="shared" si="32"/>
        <v>76248</v>
      </c>
      <c r="S58" s="282">
        <f t="shared" si="33"/>
        <v>60800.607179507861</v>
      </c>
      <c r="T58" s="202">
        <f t="shared" si="34"/>
        <v>6975.3928204921413</v>
      </c>
      <c r="U58" s="289">
        <f t="shared" si="35"/>
        <v>67776</v>
      </c>
      <c r="V58" s="285">
        <f t="shared" si="36"/>
        <v>53200.531282069373</v>
      </c>
      <c r="W58" s="202">
        <f t="shared" si="37"/>
        <v>6103.4687179306229</v>
      </c>
      <c r="X58" s="203">
        <f t="shared" si="38"/>
        <v>59303.999999999993</v>
      </c>
      <c r="Y58" s="282">
        <f t="shared" si="39"/>
        <v>45600.455384630892</v>
      </c>
      <c r="Z58" s="202">
        <f t="shared" si="40"/>
        <v>5231.5446153691055</v>
      </c>
      <c r="AA58" s="203">
        <f t="shared" si="41"/>
        <v>50832</v>
      </c>
    </row>
    <row r="59" spans="1:27">
      <c r="A59" s="158">
        <v>120</v>
      </c>
      <c r="B59" s="334">
        <v>41640</v>
      </c>
      <c r="C59" s="120">
        <f>VLOOKUP(B59,'base(indices)'!$A$4:$C$183,3,FALSE)</f>
        <v>724</v>
      </c>
      <c r="D59" s="193">
        <f>'base(indices)'!G52</f>
        <v>1.5937357700000001</v>
      </c>
      <c r="E59" s="78">
        <f>C59*D59</f>
        <v>1153.8646974800001</v>
      </c>
      <c r="F59" s="79">
        <f>'base(indices)'!I52</f>
        <v>0.60997000000000001</v>
      </c>
      <c r="G59" s="78">
        <f t="shared" si="23"/>
        <v>703.8228495218757</v>
      </c>
      <c r="H59" s="266">
        <f t="shared" si="24"/>
        <v>1857.6875470018758</v>
      </c>
      <c r="I59" s="345">
        <f t="shared" si="43"/>
        <v>195831.26011292811</v>
      </c>
      <c r="J59" s="48">
        <f>IF((I59)+K59&gt;$I$97,$I$197-K59,(I59))</f>
        <v>76000.758974384822</v>
      </c>
      <c r="K59" s="109">
        <f t="shared" si="25"/>
        <v>8719.2410256151761</v>
      </c>
      <c r="L59" s="49">
        <f t="shared" si="26"/>
        <v>84720</v>
      </c>
      <c r="M59" s="138">
        <f t="shared" si="27"/>
        <v>72200.721025665582</v>
      </c>
      <c r="N59" s="109">
        <f t="shared" si="28"/>
        <v>8283.2789743344165</v>
      </c>
      <c r="O59" s="139">
        <f t="shared" si="29"/>
        <v>80484</v>
      </c>
      <c r="P59" s="291">
        <f t="shared" si="30"/>
        <v>68400.683076946341</v>
      </c>
      <c r="Q59" s="109">
        <f t="shared" si="31"/>
        <v>7847.3169230536587</v>
      </c>
      <c r="R59" s="49">
        <f t="shared" si="32"/>
        <v>76248</v>
      </c>
      <c r="S59" s="138">
        <f t="shared" si="33"/>
        <v>60800.607179507861</v>
      </c>
      <c r="T59" s="109">
        <f t="shared" si="34"/>
        <v>6975.3928204921413</v>
      </c>
      <c r="U59" s="139">
        <f t="shared" si="35"/>
        <v>67776</v>
      </c>
      <c r="V59" s="48">
        <f t="shared" si="36"/>
        <v>53200.531282069373</v>
      </c>
      <c r="W59" s="109">
        <f t="shared" si="37"/>
        <v>6103.4687179306229</v>
      </c>
      <c r="X59" s="49">
        <f t="shared" si="38"/>
        <v>59303.999999999993</v>
      </c>
      <c r="Y59" s="138">
        <f t="shared" si="39"/>
        <v>45600.455384630892</v>
      </c>
      <c r="Z59" s="109">
        <f t="shared" si="40"/>
        <v>5231.5446153691055</v>
      </c>
      <c r="AA59" s="49">
        <f t="shared" si="41"/>
        <v>50832</v>
      </c>
    </row>
    <row r="60" spans="1:27">
      <c r="A60" s="105">
        <v>119</v>
      </c>
      <c r="B60" s="106">
        <v>41671</v>
      </c>
      <c r="C60" s="61">
        <f>VLOOKUP(B60,'base(indices)'!$A$4:$C$183,3,FALSE)</f>
        <v>724</v>
      </c>
      <c r="D60" s="192">
        <f>'base(indices)'!G53</f>
        <v>1.5831288100000001</v>
      </c>
      <c r="E60" s="54">
        <f t="shared" ref="E60:E70" si="49">C60*D60</f>
        <v>1146.1852584400001</v>
      </c>
      <c r="F60" s="82">
        <f>'base(indices)'!I53</f>
        <v>0.60997000000000001</v>
      </c>
      <c r="G60" s="54">
        <f t="shared" si="23"/>
        <v>699.13862209064689</v>
      </c>
      <c r="H60" s="267">
        <f t="shared" si="24"/>
        <v>1845.3238805306469</v>
      </c>
      <c r="I60" s="346">
        <f t="shared" si="43"/>
        <v>193973.57256592624</v>
      </c>
      <c r="J60" s="58">
        <f>IF((I60)+K60&gt;$I$197,$I$197-K60,(I60))</f>
        <v>76000.758974384822</v>
      </c>
      <c r="K60" s="91">
        <f t="shared" si="25"/>
        <v>8719.2410256151761</v>
      </c>
      <c r="L60" s="284">
        <f t="shared" si="26"/>
        <v>84720</v>
      </c>
      <c r="M60" s="57">
        <f t="shared" si="27"/>
        <v>72200.721025665582</v>
      </c>
      <c r="N60" s="91">
        <f t="shared" si="28"/>
        <v>8283.2789743344165</v>
      </c>
      <c r="O60" s="60">
        <f t="shared" si="29"/>
        <v>80484</v>
      </c>
      <c r="P60" s="58">
        <f t="shared" si="30"/>
        <v>68400.683076946341</v>
      </c>
      <c r="Q60" s="91">
        <f t="shared" si="31"/>
        <v>7847.3169230536587</v>
      </c>
      <c r="R60" s="59">
        <f t="shared" si="32"/>
        <v>76248</v>
      </c>
      <c r="S60" s="57">
        <f t="shared" si="33"/>
        <v>60800.607179507861</v>
      </c>
      <c r="T60" s="91">
        <f t="shared" si="34"/>
        <v>6975.3928204921413</v>
      </c>
      <c r="U60" s="60">
        <f t="shared" si="35"/>
        <v>67776</v>
      </c>
      <c r="V60" s="58">
        <f t="shared" si="36"/>
        <v>53200.531282069373</v>
      </c>
      <c r="W60" s="91">
        <f t="shared" si="37"/>
        <v>6103.4687179306229</v>
      </c>
      <c r="X60" s="59">
        <f t="shared" si="38"/>
        <v>59303.999999999993</v>
      </c>
      <c r="Y60" s="57">
        <f t="shared" si="39"/>
        <v>45600.455384630892</v>
      </c>
      <c r="Z60" s="91">
        <f t="shared" si="40"/>
        <v>5231.5446153691055</v>
      </c>
      <c r="AA60" s="59">
        <f t="shared" si="41"/>
        <v>50832</v>
      </c>
    </row>
    <row r="61" spans="1:27">
      <c r="A61" s="105">
        <v>118</v>
      </c>
      <c r="B61" s="333">
        <v>41699</v>
      </c>
      <c r="C61" s="61">
        <f>VLOOKUP(B61,'base(indices)'!$A$4:$C$183,3,FALSE)</f>
        <v>724</v>
      </c>
      <c r="D61" s="192">
        <f>'base(indices)'!G54</f>
        <v>1.57212394</v>
      </c>
      <c r="E61" s="63">
        <f t="shared" si="49"/>
        <v>1138.2177325600001</v>
      </c>
      <c r="F61" s="82">
        <f>'base(indices)'!I54</f>
        <v>0.60997000000000001</v>
      </c>
      <c r="G61" s="63">
        <f t="shared" si="23"/>
        <v>694.2786703296232</v>
      </c>
      <c r="H61" s="268">
        <f t="shared" si="24"/>
        <v>1832.4964028896234</v>
      </c>
      <c r="I61" s="347">
        <f t="shared" si="43"/>
        <v>192128.24868539558</v>
      </c>
      <c r="J61" s="119">
        <f>IF((I61)+K61&gt;$I$197,$I$197-K61,(I61))</f>
        <v>76000.758974384822</v>
      </c>
      <c r="K61" s="108">
        <f t="shared" si="25"/>
        <v>8719.2410256151761</v>
      </c>
      <c r="L61" s="46">
        <f t="shared" si="26"/>
        <v>84720</v>
      </c>
      <c r="M61" s="43">
        <f t="shared" si="27"/>
        <v>72200.721025665582</v>
      </c>
      <c r="N61" s="108">
        <f t="shared" si="28"/>
        <v>8283.2789743344165</v>
      </c>
      <c r="O61" s="47">
        <f t="shared" si="29"/>
        <v>80484</v>
      </c>
      <c r="P61" s="119">
        <f t="shared" si="30"/>
        <v>68400.683076946341</v>
      </c>
      <c r="Q61" s="108">
        <f t="shared" si="31"/>
        <v>7847.3169230536587</v>
      </c>
      <c r="R61" s="46">
        <f t="shared" si="32"/>
        <v>76248</v>
      </c>
      <c r="S61" s="43">
        <f t="shared" si="33"/>
        <v>60800.607179507861</v>
      </c>
      <c r="T61" s="108">
        <f t="shared" si="34"/>
        <v>6975.3928204921413</v>
      </c>
      <c r="U61" s="47">
        <f t="shared" si="35"/>
        <v>67776</v>
      </c>
      <c r="V61" s="45">
        <f t="shared" si="36"/>
        <v>53200.531282069373</v>
      </c>
      <c r="W61" s="108">
        <f t="shared" si="37"/>
        <v>6103.4687179306229</v>
      </c>
      <c r="X61" s="46">
        <f t="shared" si="38"/>
        <v>59303.999999999993</v>
      </c>
      <c r="Y61" s="43">
        <f t="shared" si="39"/>
        <v>45600.455384630892</v>
      </c>
      <c r="Z61" s="108">
        <f t="shared" si="40"/>
        <v>5231.5446153691055</v>
      </c>
      <c r="AA61" s="46">
        <f t="shared" si="41"/>
        <v>50832</v>
      </c>
    </row>
    <row r="62" spans="1:27">
      <c r="A62" s="105">
        <v>117</v>
      </c>
      <c r="B62" s="106">
        <v>41730</v>
      </c>
      <c r="C62" s="61">
        <f>VLOOKUP(B62,'base(indices)'!$A$4:$C$183,3,FALSE)</f>
        <v>724</v>
      </c>
      <c r="D62" s="192">
        <f>'base(indices)'!G55</f>
        <v>1.56073061</v>
      </c>
      <c r="E62" s="54">
        <f t="shared" si="49"/>
        <v>1129.9689616400001</v>
      </c>
      <c r="F62" s="82">
        <f>'base(indices)'!I55</f>
        <v>0.60997000000000001</v>
      </c>
      <c r="G62" s="54">
        <f t="shared" si="23"/>
        <v>689.24716753155087</v>
      </c>
      <c r="H62" s="267">
        <f t="shared" si="24"/>
        <v>1819.2161291715511</v>
      </c>
      <c r="I62" s="346">
        <f t="shared" si="43"/>
        <v>190295.75228250594</v>
      </c>
      <c r="J62" s="58">
        <f>IF((I62)+K62&gt;$I$197,$I$197-K62,(I62))</f>
        <v>76000.758974384822</v>
      </c>
      <c r="K62" s="91">
        <f t="shared" si="25"/>
        <v>8719.2410256151761</v>
      </c>
      <c r="L62" s="284">
        <f t="shared" si="26"/>
        <v>84720</v>
      </c>
      <c r="M62" s="57">
        <f t="shared" si="27"/>
        <v>72200.721025665582</v>
      </c>
      <c r="N62" s="91">
        <f t="shared" si="28"/>
        <v>8283.2789743344165</v>
      </c>
      <c r="O62" s="60">
        <f t="shared" si="29"/>
        <v>80484</v>
      </c>
      <c r="P62" s="58">
        <f t="shared" si="30"/>
        <v>68400.683076946341</v>
      </c>
      <c r="Q62" s="91">
        <f t="shared" si="31"/>
        <v>7847.3169230536587</v>
      </c>
      <c r="R62" s="59">
        <f t="shared" si="32"/>
        <v>76248</v>
      </c>
      <c r="S62" s="57">
        <f t="shared" si="33"/>
        <v>60800.607179507861</v>
      </c>
      <c r="T62" s="91">
        <f t="shared" si="34"/>
        <v>6975.3928204921413</v>
      </c>
      <c r="U62" s="60">
        <f t="shared" si="35"/>
        <v>67776</v>
      </c>
      <c r="V62" s="58">
        <f t="shared" si="36"/>
        <v>53200.531282069373</v>
      </c>
      <c r="W62" s="91">
        <f t="shared" si="37"/>
        <v>6103.4687179306229</v>
      </c>
      <c r="X62" s="59">
        <f t="shared" si="38"/>
        <v>59303.999999999993</v>
      </c>
      <c r="Y62" s="57">
        <f t="shared" si="39"/>
        <v>45600.455384630892</v>
      </c>
      <c r="Z62" s="91">
        <f t="shared" si="40"/>
        <v>5231.5446153691055</v>
      </c>
      <c r="AA62" s="59">
        <f t="shared" si="41"/>
        <v>50832</v>
      </c>
    </row>
    <row r="63" spans="1:27">
      <c r="A63" s="105">
        <v>116</v>
      </c>
      <c r="B63" s="333">
        <v>41760</v>
      </c>
      <c r="C63" s="61">
        <f>VLOOKUP(B63,'base(indices)'!$A$4:$C$183,3,FALSE)</f>
        <v>724</v>
      </c>
      <c r="D63" s="192">
        <f>'base(indices)'!G56</f>
        <v>1.5486511300000001</v>
      </c>
      <c r="E63" s="63">
        <f t="shared" si="49"/>
        <v>1121.2234181200001</v>
      </c>
      <c r="F63" s="82">
        <f>'base(indices)'!I56</f>
        <v>0.60997000000000001</v>
      </c>
      <c r="G63" s="63">
        <f t="shared" si="23"/>
        <v>683.91264835065647</v>
      </c>
      <c r="H63" s="268">
        <f t="shared" si="24"/>
        <v>1805.1360664706567</v>
      </c>
      <c r="I63" s="347">
        <f t="shared" si="43"/>
        <v>188476.5361533344</v>
      </c>
      <c r="J63" s="119">
        <f t="shared" ref="J63:J70" si="50">IF((I63)+K63&gt;$I$197,$I$197-K63,(I63))</f>
        <v>76000.758974384822</v>
      </c>
      <c r="K63" s="108">
        <f t="shared" si="25"/>
        <v>8719.2410256151761</v>
      </c>
      <c r="L63" s="46">
        <f t="shared" si="26"/>
        <v>84720</v>
      </c>
      <c r="M63" s="43">
        <f t="shared" si="27"/>
        <v>72200.721025665582</v>
      </c>
      <c r="N63" s="108">
        <f t="shared" si="28"/>
        <v>8283.2789743344165</v>
      </c>
      <c r="O63" s="47">
        <f t="shared" si="29"/>
        <v>80484</v>
      </c>
      <c r="P63" s="119">
        <f t="shared" si="30"/>
        <v>68400.683076946341</v>
      </c>
      <c r="Q63" s="108">
        <f t="shared" si="31"/>
        <v>7847.3169230536587</v>
      </c>
      <c r="R63" s="46">
        <f t="shared" si="32"/>
        <v>76248</v>
      </c>
      <c r="S63" s="43">
        <f t="shared" si="33"/>
        <v>60800.607179507861</v>
      </c>
      <c r="T63" s="108">
        <f t="shared" si="34"/>
        <v>6975.3928204921413</v>
      </c>
      <c r="U63" s="47">
        <f t="shared" si="35"/>
        <v>67776</v>
      </c>
      <c r="V63" s="45">
        <f t="shared" si="36"/>
        <v>53200.531282069373</v>
      </c>
      <c r="W63" s="108">
        <f t="shared" si="37"/>
        <v>6103.4687179306229</v>
      </c>
      <c r="X63" s="46">
        <f t="shared" si="38"/>
        <v>59303.999999999993</v>
      </c>
      <c r="Y63" s="43">
        <f t="shared" si="39"/>
        <v>45600.455384630892</v>
      </c>
      <c r="Z63" s="108">
        <f t="shared" si="40"/>
        <v>5231.5446153691055</v>
      </c>
      <c r="AA63" s="46">
        <f t="shared" si="41"/>
        <v>50832</v>
      </c>
    </row>
    <row r="64" spans="1:27">
      <c r="A64" s="105">
        <v>115</v>
      </c>
      <c r="B64" s="106">
        <v>41791</v>
      </c>
      <c r="C64" s="61">
        <f>VLOOKUP(B64,'base(indices)'!$A$4:$C$183,3,FALSE)</f>
        <v>724</v>
      </c>
      <c r="D64" s="192">
        <f>'base(indices)'!G57</f>
        <v>1.5397207500000001</v>
      </c>
      <c r="E64" s="54">
        <f t="shared" si="49"/>
        <v>1114.7578230000001</v>
      </c>
      <c r="F64" s="82">
        <f>'base(indices)'!I57</f>
        <v>0.60997000000000001</v>
      </c>
      <c r="G64" s="54">
        <f t="shared" si="23"/>
        <v>679.96882929531012</v>
      </c>
      <c r="H64" s="267">
        <f t="shared" si="24"/>
        <v>1794.7266522953103</v>
      </c>
      <c r="I64" s="346">
        <f t="shared" si="43"/>
        <v>186671.40008686375</v>
      </c>
      <c r="J64" s="58">
        <f t="shared" si="50"/>
        <v>76000.758974384822</v>
      </c>
      <c r="K64" s="91">
        <f t="shared" si="25"/>
        <v>8719.2410256151761</v>
      </c>
      <c r="L64" s="284">
        <f t="shared" si="26"/>
        <v>84720</v>
      </c>
      <c r="M64" s="57">
        <f t="shared" si="27"/>
        <v>72200.721025665582</v>
      </c>
      <c r="N64" s="91">
        <f t="shared" si="28"/>
        <v>8283.2789743344165</v>
      </c>
      <c r="O64" s="60">
        <f t="shared" si="29"/>
        <v>80484</v>
      </c>
      <c r="P64" s="58">
        <f t="shared" si="30"/>
        <v>68400.683076946341</v>
      </c>
      <c r="Q64" s="91">
        <f t="shared" si="31"/>
        <v>7847.3169230536587</v>
      </c>
      <c r="R64" s="59">
        <f t="shared" si="32"/>
        <v>76248</v>
      </c>
      <c r="S64" s="57">
        <f t="shared" si="33"/>
        <v>60800.607179507861</v>
      </c>
      <c r="T64" s="91">
        <f t="shared" si="34"/>
        <v>6975.3928204921413</v>
      </c>
      <c r="U64" s="60">
        <f t="shared" si="35"/>
        <v>67776</v>
      </c>
      <c r="V64" s="58">
        <f t="shared" si="36"/>
        <v>53200.531282069373</v>
      </c>
      <c r="W64" s="91">
        <f t="shared" si="37"/>
        <v>6103.4687179306229</v>
      </c>
      <c r="X64" s="59">
        <f t="shared" si="38"/>
        <v>59303.999999999993</v>
      </c>
      <c r="Y64" s="57">
        <f t="shared" si="39"/>
        <v>45600.455384630892</v>
      </c>
      <c r="Z64" s="91">
        <f t="shared" si="40"/>
        <v>5231.5446153691055</v>
      </c>
      <c r="AA64" s="59">
        <f t="shared" si="41"/>
        <v>50832</v>
      </c>
    </row>
    <row r="65" spans="1:27">
      <c r="A65" s="105">
        <v>114</v>
      </c>
      <c r="B65" s="333">
        <v>41821</v>
      </c>
      <c r="C65" s="61">
        <f>VLOOKUP(B65,'base(indices)'!$A$4:$C$183,3,FALSE)</f>
        <v>724</v>
      </c>
      <c r="D65" s="192">
        <f>'base(indices)'!G58</f>
        <v>1.5325179099999999</v>
      </c>
      <c r="E65" s="63">
        <f t="shared" si="49"/>
        <v>1109.54296684</v>
      </c>
      <c r="F65" s="82">
        <f>'base(indices)'!I58</f>
        <v>0.60997000000000001</v>
      </c>
      <c r="G65" s="63">
        <f t="shared" si="23"/>
        <v>676.78792348339482</v>
      </c>
      <c r="H65" s="268">
        <f t="shared" si="24"/>
        <v>1786.3308903233947</v>
      </c>
      <c r="I65" s="347">
        <f t="shared" si="43"/>
        <v>184876.67343456845</v>
      </c>
      <c r="J65" s="119">
        <f t="shared" si="50"/>
        <v>76000.758974384822</v>
      </c>
      <c r="K65" s="108">
        <f t="shared" si="25"/>
        <v>8719.2410256151761</v>
      </c>
      <c r="L65" s="46">
        <f t="shared" si="26"/>
        <v>84720</v>
      </c>
      <c r="M65" s="43">
        <f t="shared" si="27"/>
        <v>72200.721025665582</v>
      </c>
      <c r="N65" s="108">
        <f t="shared" si="28"/>
        <v>8283.2789743344165</v>
      </c>
      <c r="O65" s="47">
        <f t="shared" si="29"/>
        <v>80484</v>
      </c>
      <c r="P65" s="119">
        <f t="shared" si="30"/>
        <v>68400.683076946341</v>
      </c>
      <c r="Q65" s="108">
        <f t="shared" si="31"/>
        <v>7847.3169230536587</v>
      </c>
      <c r="R65" s="46">
        <f t="shared" si="32"/>
        <v>76248</v>
      </c>
      <c r="S65" s="43">
        <f t="shared" si="33"/>
        <v>60800.607179507861</v>
      </c>
      <c r="T65" s="108">
        <f t="shared" si="34"/>
        <v>6975.3928204921413</v>
      </c>
      <c r="U65" s="47">
        <f t="shared" si="35"/>
        <v>67776</v>
      </c>
      <c r="V65" s="45">
        <f t="shared" si="36"/>
        <v>53200.531282069373</v>
      </c>
      <c r="W65" s="108">
        <f t="shared" si="37"/>
        <v>6103.4687179306229</v>
      </c>
      <c r="X65" s="46">
        <f t="shared" si="38"/>
        <v>59303.999999999993</v>
      </c>
      <c r="Y65" s="43">
        <f t="shared" si="39"/>
        <v>45600.455384630892</v>
      </c>
      <c r="Z65" s="108">
        <f t="shared" si="40"/>
        <v>5231.5446153691055</v>
      </c>
      <c r="AA65" s="46">
        <f t="shared" si="41"/>
        <v>50832</v>
      </c>
    </row>
    <row r="66" spans="1:27">
      <c r="A66" s="105">
        <v>113</v>
      </c>
      <c r="B66" s="106">
        <v>41852</v>
      </c>
      <c r="C66" s="61">
        <f>VLOOKUP(B66,'base(indices)'!$A$4:$C$183,3,FALSE)</f>
        <v>724</v>
      </c>
      <c r="D66" s="192">
        <f>'base(indices)'!G59</f>
        <v>1.5299170499999999</v>
      </c>
      <c r="E66" s="54">
        <f t="shared" si="49"/>
        <v>1107.6599441999999</v>
      </c>
      <c r="F66" s="82">
        <f>'base(indices)'!I59</f>
        <v>0.60997000000000001</v>
      </c>
      <c r="G66" s="54">
        <f t="shared" si="23"/>
        <v>675.63933616367399</v>
      </c>
      <c r="H66" s="267">
        <f t="shared" si="24"/>
        <v>1783.2992803636739</v>
      </c>
      <c r="I66" s="346">
        <f t="shared" si="43"/>
        <v>183090.34254424507</v>
      </c>
      <c r="J66" s="58">
        <f t="shared" si="50"/>
        <v>76000.758974384822</v>
      </c>
      <c r="K66" s="91">
        <f t="shared" si="25"/>
        <v>8719.2410256151761</v>
      </c>
      <c r="L66" s="284">
        <f t="shared" si="26"/>
        <v>84720</v>
      </c>
      <c r="M66" s="57">
        <f t="shared" si="27"/>
        <v>72200.721025665582</v>
      </c>
      <c r="N66" s="91">
        <f t="shared" si="28"/>
        <v>8283.2789743344165</v>
      </c>
      <c r="O66" s="60">
        <f t="shared" si="29"/>
        <v>80484</v>
      </c>
      <c r="P66" s="58">
        <f t="shared" si="30"/>
        <v>68400.683076946341</v>
      </c>
      <c r="Q66" s="91">
        <f t="shared" si="31"/>
        <v>7847.3169230536587</v>
      </c>
      <c r="R66" s="59">
        <f t="shared" si="32"/>
        <v>76248</v>
      </c>
      <c r="S66" s="57">
        <f t="shared" si="33"/>
        <v>60800.607179507861</v>
      </c>
      <c r="T66" s="91">
        <f t="shared" si="34"/>
        <v>6975.3928204921413</v>
      </c>
      <c r="U66" s="60">
        <f t="shared" si="35"/>
        <v>67776</v>
      </c>
      <c r="V66" s="58">
        <f t="shared" si="36"/>
        <v>53200.531282069373</v>
      </c>
      <c r="W66" s="91">
        <f t="shared" si="37"/>
        <v>6103.4687179306229</v>
      </c>
      <c r="X66" s="59">
        <f t="shared" si="38"/>
        <v>59303.999999999993</v>
      </c>
      <c r="Y66" s="57">
        <f t="shared" si="39"/>
        <v>45600.455384630892</v>
      </c>
      <c r="Z66" s="91">
        <f t="shared" si="40"/>
        <v>5231.5446153691055</v>
      </c>
      <c r="AA66" s="59">
        <f t="shared" si="41"/>
        <v>50832</v>
      </c>
    </row>
    <row r="67" spans="1:27">
      <c r="A67" s="105">
        <v>112</v>
      </c>
      <c r="B67" s="333">
        <v>41883</v>
      </c>
      <c r="C67" s="61">
        <f>VLOOKUP(B67,'base(indices)'!$A$4:$C$183,3,FALSE)</f>
        <v>724</v>
      </c>
      <c r="D67" s="192">
        <f>'base(indices)'!G60</f>
        <v>1.5277781699999999</v>
      </c>
      <c r="E67" s="63">
        <f t="shared" si="49"/>
        <v>1106.11139508</v>
      </c>
      <c r="F67" s="82">
        <f>'base(indices)'!I60</f>
        <v>0.60997000000000001</v>
      </c>
      <c r="G67" s="63">
        <f t="shared" si="23"/>
        <v>674.69476765694765</v>
      </c>
      <c r="H67" s="268">
        <f t="shared" si="24"/>
        <v>1780.8061627369475</v>
      </c>
      <c r="I67" s="347">
        <f t="shared" si="43"/>
        <v>181307.04326388138</v>
      </c>
      <c r="J67" s="119">
        <f t="shared" si="50"/>
        <v>76000.758974384822</v>
      </c>
      <c r="K67" s="108">
        <f t="shared" si="25"/>
        <v>8719.2410256151761</v>
      </c>
      <c r="L67" s="46">
        <f t="shared" si="26"/>
        <v>84720</v>
      </c>
      <c r="M67" s="43">
        <f t="shared" si="27"/>
        <v>72200.721025665582</v>
      </c>
      <c r="N67" s="108">
        <f t="shared" si="28"/>
        <v>8283.2789743344165</v>
      </c>
      <c r="O67" s="47">
        <f t="shared" si="29"/>
        <v>80484</v>
      </c>
      <c r="P67" s="119">
        <f t="shared" si="30"/>
        <v>68400.683076946341</v>
      </c>
      <c r="Q67" s="108">
        <f t="shared" si="31"/>
        <v>7847.3169230536587</v>
      </c>
      <c r="R67" s="46">
        <f t="shared" si="32"/>
        <v>76248</v>
      </c>
      <c r="S67" s="43">
        <f t="shared" si="33"/>
        <v>60800.607179507861</v>
      </c>
      <c r="T67" s="108">
        <f t="shared" si="34"/>
        <v>6975.3928204921413</v>
      </c>
      <c r="U67" s="47">
        <f t="shared" si="35"/>
        <v>67776</v>
      </c>
      <c r="V67" s="45">
        <f t="shared" si="36"/>
        <v>53200.531282069373</v>
      </c>
      <c r="W67" s="108">
        <f t="shared" si="37"/>
        <v>6103.4687179306229</v>
      </c>
      <c r="X67" s="46">
        <f t="shared" si="38"/>
        <v>59303.999999999993</v>
      </c>
      <c r="Y67" s="43">
        <f t="shared" si="39"/>
        <v>45600.455384630892</v>
      </c>
      <c r="Z67" s="108">
        <f t="shared" si="40"/>
        <v>5231.5446153691055</v>
      </c>
      <c r="AA67" s="46">
        <f t="shared" si="41"/>
        <v>50832</v>
      </c>
    </row>
    <row r="68" spans="1:27">
      <c r="A68" s="105">
        <v>111</v>
      </c>
      <c r="B68" s="106">
        <v>41913</v>
      </c>
      <c r="C68" s="61">
        <f>VLOOKUP(B68,'base(indices)'!$A$4:$C$183,3,FALSE)</f>
        <v>724</v>
      </c>
      <c r="D68" s="192">
        <f>'base(indices)'!G61</f>
        <v>1.52184298</v>
      </c>
      <c r="E68" s="54">
        <f t="shared" si="49"/>
        <v>1101.81431752</v>
      </c>
      <c r="F68" s="82">
        <f>'base(indices)'!I61</f>
        <v>0.60997000000000001</v>
      </c>
      <c r="G68" s="54">
        <f t="shared" si="23"/>
        <v>672.07367925767448</v>
      </c>
      <c r="H68" s="267">
        <f t="shared" si="24"/>
        <v>1773.8879967776745</v>
      </c>
      <c r="I68" s="346">
        <f t="shared" si="43"/>
        <v>179526.23710114442</v>
      </c>
      <c r="J68" s="58">
        <f t="shared" si="50"/>
        <v>76000.758974384822</v>
      </c>
      <c r="K68" s="91">
        <f t="shared" si="25"/>
        <v>8719.2410256151761</v>
      </c>
      <c r="L68" s="284">
        <f t="shared" si="26"/>
        <v>84720</v>
      </c>
      <c r="M68" s="57">
        <f t="shared" si="27"/>
        <v>72200.721025665582</v>
      </c>
      <c r="N68" s="91">
        <f t="shared" si="28"/>
        <v>8283.2789743344165</v>
      </c>
      <c r="O68" s="60">
        <f t="shared" si="29"/>
        <v>80484</v>
      </c>
      <c r="P68" s="58">
        <f t="shared" si="30"/>
        <v>68400.683076946341</v>
      </c>
      <c r="Q68" s="91">
        <f t="shared" si="31"/>
        <v>7847.3169230536587</v>
      </c>
      <c r="R68" s="59">
        <f t="shared" si="32"/>
        <v>76248</v>
      </c>
      <c r="S68" s="57">
        <f t="shared" si="33"/>
        <v>60800.607179507861</v>
      </c>
      <c r="T68" s="91">
        <f t="shared" si="34"/>
        <v>6975.3928204921413</v>
      </c>
      <c r="U68" s="60">
        <f t="shared" si="35"/>
        <v>67776</v>
      </c>
      <c r="V68" s="58">
        <f t="shared" si="36"/>
        <v>53200.531282069373</v>
      </c>
      <c r="W68" s="91">
        <f t="shared" si="37"/>
        <v>6103.4687179306229</v>
      </c>
      <c r="X68" s="59">
        <f t="shared" si="38"/>
        <v>59303.999999999993</v>
      </c>
      <c r="Y68" s="57">
        <f t="shared" si="39"/>
        <v>45600.455384630892</v>
      </c>
      <c r="Z68" s="91">
        <f t="shared" si="40"/>
        <v>5231.5446153691055</v>
      </c>
      <c r="AA68" s="59">
        <f t="shared" si="41"/>
        <v>50832</v>
      </c>
    </row>
    <row r="69" spans="1:27">
      <c r="A69" s="105">
        <v>110</v>
      </c>
      <c r="B69" s="333">
        <v>41944</v>
      </c>
      <c r="C69" s="61">
        <f>VLOOKUP(B69,'base(indices)'!$A$4:$C$183,3,FALSE)</f>
        <v>724</v>
      </c>
      <c r="D69" s="192">
        <f>'base(indices)'!G62</f>
        <v>1.51457303</v>
      </c>
      <c r="E69" s="63">
        <f t="shared" si="49"/>
        <v>1096.55087372</v>
      </c>
      <c r="F69" s="82">
        <f>'base(indices)'!I62</f>
        <v>0.60997000000000001</v>
      </c>
      <c r="G69" s="63">
        <f t="shared" si="23"/>
        <v>668.86313644298843</v>
      </c>
      <c r="H69" s="268">
        <f t="shared" si="24"/>
        <v>1765.4140101629885</v>
      </c>
      <c r="I69" s="347">
        <f t="shared" si="43"/>
        <v>177752.34910436673</v>
      </c>
      <c r="J69" s="119">
        <f t="shared" si="50"/>
        <v>76000.758974384822</v>
      </c>
      <c r="K69" s="108">
        <f t="shared" si="25"/>
        <v>8719.2410256151761</v>
      </c>
      <c r="L69" s="46">
        <f t="shared" si="26"/>
        <v>84720</v>
      </c>
      <c r="M69" s="43">
        <f t="shared" si="27"/>
        <v>72200.721025665582</v>
      </c>
      <c r="N69" s="108">
        <f t="shared" si="28"/>
        <v>8283.2789743344165</v>
      </c>
      <c r="O69" s="47">
        <f t="shared" si="29"/>
        <v>80484</v>
      </c>
      <c r="P69" s="119">
        <f t="shared" si="30"/>
        <v>68400.683076946341</v>
      </c>
      <c r="Q69" s="108">
        <f t="shared" si="31"/>
        <v>7847.3169230536587</v>
      </c>
      <c r="R69" s="46">
        <f t="shared" si="32"/>
        <v>76248</v>
      </c>
      <c r="S69" s="43">
        <f t="shared" si="33"/>
        <v>60800.607179507861</v>
      </c>
      <c r="T69" s="108">
        <f t="shared" si="34"/>
        <v>6975.3928204921413</v>
      </c>
      <c r="U69" s="47">
        <f t="shared" si="35"/>
        <v>67776</v>
      </c>
      <c r="V69" s="45">
        <f t="shared" si="36"/>
        <v>53200.531282069373</v>
      </c>
      <c r="W69" s="108">
        <f t="shared" si="37"/>
        <v>6103.4687179306229</v>
      </c>
      <c r="X69" s="46">
        <f t="shared" si="38"/>
        <v>59303.999999999993</v>
      </c>
      <c r="Y69" s="43">
        <f t="shared" si="39"/>
        <v>45600.455384630892</v>
      </c>
      <c r="Z69" s="108">
        <f t="shared" si="40"/>
        <v>5231.5446153691055</v>
      </c>
      <c r="AA69" s="46">
        <f t="shared" si="41"/>
        <v>50832</v>
      </c>
    </row>
    <row r="70" spans="1:27" ht="13.5" thickBot="1">
      <c r="A70" s="110">
        <v>109</v>
      </c>
      <c r="B70" s="344">
        <v>41974</v>
      </c>
      <c r="C70" s="61">
        <f>VLOOKUP(B70,'base(indices)'!$A$4:$C$183,3,FALSE)</f>
        <v>724</v>
      </c>
      <c r="D70" s="335">
        <f>'base(indices)'!G63</f>
        <v>1.50883944</v>
      </c>
      <c r="E70" s="163">
        <f t="shared" si="49"/>
        <v>1092.39975456</v>
      </c>
      <c r="F70" s="304">
        <f>'base(indices)'!I63</f>
        <v>0.60997000000000001</v>
      </c>
      <c r="G70" s="163">
        <f t="shared" si="23"/>
        <v>666.33107828896323</v>
      </c>
      <c r="H70" s="355">
        <f t="shared" si="24"/>
        <v>1758.7308328489632</v>
      </c>
      <c r="I70" s="348">
        <f t="shared" si="43"/>
        <v>175986.93509420374</v>
      </c>
      <c r="J70" s="58">
        <f t="shared" si="50"/>
        <v>76000.758974384822</v>
      </c>
      <c r="K70" s="202">
        <f t="shared" si="25"/>
        <v>8719.2410256151761</v>
      </c>
      <c r="L70" s="286">
        <f t="shared" si="26"/>
        <v>84720</v>
      </c>
      <c r="M70" s="282">
        <f t="shared" si="27"/>
        <v>72200.721025665582</v>
      </c>
      <c r="N70" s="202">
        <f t="shared" si="28"/>
        <v>8283.2789743344165</v>
      </c>
      <c r="O70" s="289">
        <f t="shared" si="29"/>
        <v>80484</v>
      </c>
      <c r="P70" s="285">
        <f t="shared" si="30"/>
        <v>68400.683076946341</v>
      </c>
      <c r="Q70" s="202">
        <f t="shared" si="31"/>
        <v>7847.3169230536587</v>
      </c>
      <c r="R70" s="203">
        <f t="shared" si="32"/>
        <v>76248</v>
      </c>
      <c r="S70" s="282">
        <f t="shared" si="33"/>
        <v>60800.607179507861</v>
      </c>
      <c r="T70" s="202">
        <f t="shared" si="34"/>
        <v>6975.3928204921413</v>
      </c>
      <c r="U70" s="289">
        <f t="shared" si="35"/>
        <v>67776</v>
      </c>
      <c r="V70" s="285">
        <f t="shared" si="36"/>
        <v>53200.531282069373</v>
      </c>
      <c r="W70" s="202">
        <f t="shared" si="37"/>
        <v>6103.4687179306229</v>
      </c>
      <c r="X70" s="203">
        <f t="shared" si="38"/>
        <v>59303.999999999993</v>
      </c>
      <c r="Y70" s="282">
        <f t="shared" si="39"/>
        <v>45600.455384630892</v>
      </c>
      <c r="Z70" s="202">
        <f t="shared" si="40"/>
        <v>5231.5446153691055</v>
      </c>
      <c r="AA70" s="203">
        <f t="shared" si="41"/>
        <v>50832</v>
      </c>
    </row>
    <row r="71" spans="1:27">
      <c r="A71" s="190">
        <v>108</v>
      </c>
      <c r="B71" s="338">
        <v>42005</v>
      </c>
      <c r="C71" s="120">
        <f>VLOOKUP(B71,'base(indices)'!$A$4:$C$183,3,FALSE)</f>
        <v>788</v>
      </c>
      <c r="D71" s="193">
        <f>'base(indices)'!G64</f>
        <v>1.49701303</v>
      </c>
      <c r="E71" s="78">
        <f>C71*D71</f>
        <v>1179.6462676399999</v>
      </c>
      <c r="F71" s="79">
        <f>'base(indices)'!I64</f>
        <v>0.60997000000000001</v>
      </c>
      <c r="G71" s="78">
        <f t="shared" si="23"/>
        <v>719.54883387237078</v>
      </c>
      <c r="H71" s="266">
        <f t="shared" si="24"/>
        <v>1899.1951015123707</v>
      </c>
      <c r="I71" s="345">
        <f t="shared" si="43"/>
        <v>174228.20426135478</v>
      </c>
      <c r="J71" s="48">
        <f>IF((I71)+K71&gt;$I$97,$I$197-K71,(I71))</f>
        <v>76000.758974384822</v>
      </c>
      <c r="K71" s="109">
        <f t="shared" si="25"/>
        <v>8719.2410256151761</v>
      </c>
      <c r="L71" s="49">
        <f t="shared" si="26"/>
        <v>84720</v>
      </c>
      <c r="M71" s="138">
        <f t="shared" si="27"/>
        <v>72200.721025665582</v>
      </c>
      <c r="N71" s="109">
        <f t="shared" si="28"/>
        <v>8283.2789743344165</v>
      </c>
      <c r="O71" s="139">
        <f t="shared" si="29"/>
        <v>80484</v>
      </c>
      <c r="P71" s="291">
        <f t="shared" si="30"/>
        <v>68400.683076946341</v>
      </c>
      <c r="Q71" s="109">
        <f t="shared" si="31"/>
        <v>7847.3169230536587</v>
      </c>
      <c r="R71" s="49">
        <f t="shared" si="32"/>
        <v>76248</v>
      </c>
      <c r="S71" s="138">
        <f t="shared" si="33"/>
        <v>60800.607179507861</v>
      </c>
      <c r="T71" s="109">
        <f t="shared" si="34"/>
        <v>6975.3928204921413</v>
      </c>
      <c r="U71" s="139">
        <f t="shared" si="35"/>
        <v>67776</v>
      </c>
      <c r="V71" s="48">
        <f t="shared" si="36"/>
        <v>53200.531282069373</v>
      </c>
      <c r="W71" s="109">
        <f t="shared" si="37"/>
        <v>6103.4687179306229</v>
      </c>
      <c r="X71" s="49">
        <f t="shared" si="38"/>
        <v>59303.999999999993</v>
      </c>
      <c r="Y71" s="138">
        <f t="shared" si="39"/>
        <v>45600.455384630892</v>
      </c>
      <c r="Z71" s="109">
        <f t="shared" si="40"/>
        <v>5231.5446153691055</v>
      </c>
      <c r="AA71" s="49">
        <f t="shared" si="41"/>
        <v>50832</v>
      </c>
    </row>
    <row r="72" spans="1:27">
      <c r="A72" s="187">
        <v>107</v>
      </c>
      <c r="B72" s="339">
        <v>42036</v>
      </c>
      <c r="C72" s="61">
        <f>VLOOKUP(B72,'base(indices)'!$A$4:$C$183,3,FALSE)</f>
        <v>788</v>
      </c>
      <c r="D72" s="192">
        <f>'base(indices)'!G65</f>
        <v>1.4838071500000001</v>
      </c>
      <c r="E72" s="54">
        <f t="shared" ref="E72:E82" si="51">C72*D72</f>
        <v>1169.2400342000001</v>
      </c>
      <c r="F72" s="82">
        <f>'base(indices)'!I65</f>
        <v>0.60497000000000001</v>
      </c>
      <c r="G72" s="54">
        <f t="shared" si="23"/>
        <v>707.35514348997401</v>
      </c>
      <c r="H72" s="267">
        <f t="shared" si="24"/>
        <v>1876.5951776899742</v>
      </c>
      <c r="I72" s="346">
        <f t="shared" si="43"/>
        <v>172329.00915984242</v>
      </c>
      <c r="J72" s="58">
        <f>IF((I72)+K72&gt;$I$197,$I$197-K72,(I72))</f>
        <v>76000.758974384822</v>
      </c>
      <c r="K72" s="91">
        <f t="shared" si="25"/>
        <v>8719.2410256151761</v>
      </c>
      <c r="L72" s="284">
        <f t="shared" si="26"/>
        <v>84720</v>
      </c>
      <c r="M72" s="57">
        <f t="shared" si="27"/>
        <v>72200.721025665582</v>
      </c>
      <c r="N72" s="91">
        <f t="shared" si="28"/>
        <v>8283.2789743344165</v>
      </c>
      <c r="O72" s="60">
        <f t="shared" si="29"/>
        <v>80484</v>
      </c>
      <c r="P72" s="58">
        <f t="shared" si="30"/>
        <v>68400.683076946341</v>
      </c>
      <c r="Q72" s="91">
        <f t="shared" si="31"/>
        <v>7847.3169230536587</v>
      </c>
      <c r="R72" s="59">
        <f t="shared" si="32"/>
        <v>76248</v>
      </c>
      <c r="S72" s="57">
        <f t="shared" si="33"/>
        <v>60800.607179507861</v>
      </c>
      <c r="T72" s="91">
        <f t="shared" si="34"/>
        <v>6975.3928204921413</v>
      </c>
      <c r="U72" s="60">
        <f t="shared" si="35"/>
        <v>67776</v>
      </c>
      <c r="V72" s="58">
        <f t="shared" si="36"/>
        <v>53200.531282069373</v>
      </c>
      <c r="W72" s="91">
        <f t="shared" si="37"/>
        <v>6103.4687179306229</v>
      </c>
      <c r="X72" s="59">
        <f t="shared" si="38"/>
        <v>59303.999999999993</v>
      </c>
      <c r="Y72" s="57">
        <f t="shared" si="39"/>
        <v>45600.455384630892</v>
      </c>
      <c r="Z72" s="91">
        <f t="shared" si="40"/>
        <v>5231.5446153691055</v>
      </c>
      <c r="AA72" s="59">
        <f t="shared" si="41"/>
        <v>50832</v>
      </c>
    </row>
    <row r="73" spans="1:27">
      <c r="A73" s="187">
        <v>106</v>
      </c>
      <c r="B73" s="340">
        <v>42064</v>
      </c>
      <c r="C73" s="61">
        <f>VLOOKUP(B73,'base(indices)'!$A$4:$C$183,3,FALSE)</f>
        <v>788</v>
      </c>
      <c r="D73" s="192">
        <f>'base(indices)'!G66</f>
        <v>1.4643315400000001</v>
      </c>
      <c r="E73" s="63">
        <f t="shared" si="51"/>
        <v>1153.8932535200001</v>
      </c>
      <c r="F73" s="82">
        <f>'base(indices)'!I66</f>
        <v>0.59997</v>
      </c>
      <c r="G73" s="63">
        <f t="shared" si="23"/>
        <v>692.30133531439446</v>
      </c>
      <c r="H73" s="268">
        <f t="shared" si="24"/>
        <v>1846.1945888343946</v>
      </c>
      <c r="I73" s="347">
        <f t="shared" si="43"/>
        <v>170452.41398215244</v>
      </c>
      <c r="J73" s="119">
        <f>IF((I73)+K73&gt;$I$197,$I$197-K73,(I73))</f>
        <v>76000.758974384822</v>
      </c>
      <c r="K73" s="108">
        <f t="shared" si="25"/>
        <v>8719.2410256151761</v>
      </c>
      <c r="L73" s="46">
        <f t="shared" si="26"/>
        <v>84720</v>
      </c>
      <c r="M73" s="43">
        <f t="shared" si="27"/>
        <v>72200.721025665582</v>
      </c>
      <c r="N73" s="108">
        <f t="shared" si="28"/>
        <v>8283.2789743344165</v>
      </c>
      <c r="O73" s="47">
        <f t="shared" si="29"/>
        <v>80484</v>
      </c>
      <c r="P73" s="119">
        <f t="shared" si="30"/>
        <v>68400.683076946341</v>
      </c>
      <c r="Q73" s="108">
        <f t="shared" si="31"/>
        <v>7847.3169230536587</v>
      </c>
      <c r="R73" s="46">
        <f t="shared" si="32"/>
        <v>76248</v>
      </c>
      <c r="S73" s="43">
        <f t="shared" si="33"/>
        <v>60800.607179507861</v>
      </c>
      <c r="T73" s="108">
        <f t="shared" si="34"/>
        <v>6975.3928204921413</v>
      </c>
      <c r="U73" s="47">
        <f t="shared" si="35"/>
        <v>67776</v>
      </c>
      <c r="V73" s="45">
        <f t="shared" si="36"/>
        <v>53200.531282069373</v>
      </c>
      <c r="W73" s="108">
        <f t="shared" si="37"/>
        <v>6103.4687179306229</v>
      </c>
      <c r="X73" s="46">
        <f t="shared" si="38"/>
        <v>59303.999999999993</v>
      </c>
      <c r="Y73" s="43">
        <f t="shared" si="39"/>
        <v>45600.455384630892</v>
      </c>
      <c r="Z73" s="108">
        <f t="shared" si="40"/>
        <v>5231.5446153691055</v>
      </c>
      <c r="AA73" s="46">
        <f t="shared" si="41"/>
        <v>50832</v>
      </c>
    </row>
    <row r="74" spans="1:27">
      <c r="A74" s="187">
        <v>105</v>
      </c>
      <c r="B74" s="339">
        <v>42095</v>
      </c>
      <c r="C74" s="61">
        <f>VLOOKUP(B74,'base(indices)'!$A$4:$C$183,3,FALSE)</f>
        <v>788</v>
      </c>
      <c r="D74" s="192">
        <f>'base(indices)'!G67</f>
        <v>1.4463962299999999</v>
      </c>
      <c r="E74" s="54">
        <f t="shared" si="51"/>
        <v>1139.7602292399999</v>
      </c>
      <c r="F74" s="82">
        <f>'base(indices)'!I67</f>
        <v>0.59497</v>
      </c>
      <c r="G74" s="54">
        <f t="shared" si="23"/>
        <v>678.12314359092272</v>
      </c>
      <c r="H74" s="267">
        <f t="shared" si="24"/>
        <v>1817.8833728309228</v>
      </c>
      <c r="I74" s="346">
        <f t="shared" si="43"/>
        <v>168606.21939331805</v>
      </c>
      <c r="J74" s="58">
        <f>IF((I74)+K74&gt;$I$197,$I$197-K74,(I74))</f>
        <v>76000.758974384822</v>
      </c>
      <c r="K74" s="91">
        <f t="shared" si="25"/>
        <v>8719.2410256151761</v>
      </c>
      <c r="L74" s="284">
        <f t="shared" si="26"/>
        <v>84720</v>
      </c>
      <c r="M74" s="57">
        <f t="shared" si="27"/>
        <v>72200.721025665582</v>
      </c>
      <c r="N74" s="91">
        <f t="shared" si="28"/>
        <v>8283.2789743344165</v>
      </c>
      <c r="O74" s="60">
        <f t="shared" si="29"/>
        <v>80484</v>
      </c>
      <c r="P74" s="58">
        <f t="shared" si="30"/>
        <v>68400.683076946341</v>
      </c>
      <c r="Q74" s="91">
        <f t="shared" si="31"/>
        <v>7847.3169230536587</v>
      </c>
      <c r="R74" s="59">
        <f t="shared" si="32"/>
        <v>76248</v>
      </c>
      <c r="S74" s="57">
        <f t="shared" si="33"/>
        <v>60800.607179507861</v>
      </c>
      <c r="T74" s="91">
        <f t="shared" si="34"/>
        <v>6975.3928204921413</v>
      </c>
      <c r="U74" s="60">
        <f t="shared" si="35"/>
        <v>67776</v>
      </c>
      <c r="V74" s="58">
        <f t="shared" si="36"/>
        <v>53200.531282069373</v>
      </c>
      <c r="W74" s="91">
        <f t="shared" si="37"/>
        <v>6103.4687179306229</v>
      </c>
      <c r="X74" s="59">
        <f t="shared" si="38"/>
        <v>59303.999999999993</v>
      </c>
      <c r="Y74" s="57">
        <f t="shared" si="39"/>
        <v>45600.455384630892</v>
      </c>
      <c r="Z74" s="91">
        <f t="shared" si="40"/>
        <v>5231.5446153691055</v>
      </c>
      <c r="AA74" s="59">
        <f t="shared" si="41"/>
        <v>50832</v>
      </c>
    </row>
    <row r="75" spans="1:27">
      <c r="A75" s="187">
        <v>104</v>
      </c>
      <c r="B75" s="340">
        <v>42125</v>
      </c>
      <c r="C75" s="61">
        <f>VLOOKUP(B75,'base(indices)'!$A$4:$C$183,3,FALSE)</f>
        <v>788</v>
      </c>
      <c r="D75" s="192">
        <f>'base(indices)'!G68</f>
        <v>1.4310836300000001</v>
      </c>
      <c r="E75" s="63">
        <f t="shared" si="51"/>
        <v>1127.6939004400001</v>
      </c>
      <c r="F75" s="82">
        <f>'base(indices)'!I68</f>
        <v>0.58996999999999999</v>
      </c>
      <c r="G75" s="63">
        <f t="shared" si="23"/>
        <v>665.30557044258683</v>
      </c>
      <c r="H75" s="268">
        <f t="shared" si="24"/>
        <v>1792.999470882587</v>
      </c>
      <c r="I75" s="347">
        <f t="shared" si="43"/>
        <v>166788.33602048713</v>
      </c>
      <c r="J75" s="119">
        <f t="shared" ref="J75:J82" si="52">IF((I75)+K75&gt;$I$197,$I$197-K75,(I75))</f>
        <v>76000.758974384822</v>
      </c>
      <c r="K75" s="108">
        <f t="shared" si="25"/>
        <v>8719.2410256151761</v>
      </c>
      <c r="L75" s="46">
        <f t="shared" si="26"/>
        <v>84720</v>
      </c>
      <c r="M75" s="43">
        <f t="shared" si="27"/>
        <v>72200.721025665582</v>
      </c>
      <c r="N75" s="108">
        <f t="shared" si="28"/>
        <v>8283.2789743344165</v>
      </c>
      <c r="O75" s="47">
        <f t="shared" si="29"/>
        <v>80484</v>
      </c>
      <c r="P75" s="119">
        <f t="shared" si="30"/>
        <v>68400.683076946341</v>
      </c>
      <c r="Q75" s="108">
        <f t="shared" si="31"/>
        <v>7847.3169230536587</v>
      </c>
      <c r="R75" s="46">
        <f t="shared" si="32"/>
        <v>76248</v>
      </c>
      <c r="S75" s="43">
        <f t="shared" si="33"/>
        <v>60800.607179507861</v>
      </c>
      <c r="T75" s="108">
        <f t="shared" si="34"/>
        <v>6975.3928204921413</v>
      </c>
      <c r="U75" s="47">
        <f t="shared" si="35"/>
        <v>67776</v>
      </c>
      <c r="V75" s="45">
        <f t="shared" si="36"/>
        <v>53200.531282069373</v>
      </c>
      <c r="W75" s="108">
        <f t="shared" si="37"/>
        <v>6103.4687179306229</v>
      </c>
      <c r="X75" s="46">
        <f t="shared" si="38"/>
        <v>59303.999999999993</v>
      </c>
      <c r="Y75" s="43">
        <f t="shared" si="39"/>
        <v>45600.455384630892</v>
      </c>
      <c r="Z75" s="108">
        <f t="shared" si="40"/>
        <v>5231.5446153691055</v>
      </c>
      <c r="AA75" s="46">
        <f t="shared" si="41"/>
        <v>50832</v>
      </c>
    </row>
    <row r="76" spans="1:27">
      <c r="A76" s="187">
        <v>103</v>
      </c>
      <c r="B76" s="339">
        <v>42156</v>
      </c>
      <c r="C76" s="61">
        <f>VLOOKUP(B76,'base(indices)'!$A$4:$C$183,3,FALSE)</f>
        <v>788</v>
      </c>
      <c r="D76" s="192">
        <f>'base(indices)'!G69</f>
        <v>1.4225483400000001</v>
      </c>
      <c r="E76" s="54">
        <f t="shared" si="51"/>
        <v>1120.96809192</v>
      </c>
      <c r="F76" s="82">
        <f>'base(indices)'!I69</f>
        <v>0.58496999999999999</v>
      </c>
      <c r="G76" s="54">
        <f t="shared" si="23"/>
        <v>655.73270473044238</v>
      </c>
      <c r="H76" s="267">
        <f t="shared" si="24"/>
        <v>1776.7007966504425</v>
      </c>
      <c r="I76" s="346">
        <f t="shared" si="43"/>
        <v>164995.33654960454</v>
      </c>
      <c r="J76" s="58">
        <f t="shared" si="52"/>
        <v>76000.758974384822</v>
      </c>
      <c r="K76" s="91">
        <f t="shared" si="25"/>
        <v>8719.2410256151761</v>
      </c>
      <c r="L76" s="284">
        <f t="shared" si="26"/>
        <v>84720</v>
      </c>
      <c r="M76" s="57">
        <f t="shared" si="27"/>
        <v>72200.721025665582</v>
      </c>
      <c r="N76" s="91">
        <f t="shared" si="28"/>
        <v>8283.2789743344165</v>
      </c>
      <c r="O76" s="60">
        <f t="shared" si="29"/>
        <v>80484</v>
      </c>
      <c r="P76" s="58">
        <f t="shared" si="30"/>
        <v>68400.683076946341</v>
      </c>
      <c r="Q76" s="91">
        <f t="shared" si="31"/>
        <v>7847.3169230536587</v>
      </c>
      <c r="R76" s="59">
        <f t="shared" si="32"/>
        <v>76248</v>
      </c>
      <c r="S76" s="57">
        <f t="shared" si="33"/>
        <v>60800.607179507861</v>
      </c>
      <c r="T76" s="91">
        <f t="shared" si="34"/>
        <v>6975.3928204921413</v>
      </c>
      <c r="U76" s="60">
        <f t="shared" si="35"/>
        <v>67776</v>
      </c>
      <c r="V76" s="58">
        <f t="shared" si="36"/>
        <v>53200.531282069373</v>
      </c>
      <c r="W76" s="91">
        <f t="shared" si="37"/>
        <v>6103.4687179306229</v>
      </c>
      <c r="X76" s="59">
        <f t="shared" si="38"/>
        <v>59303.999999999993</v>
      </c>
      <c r="Y76" s="57">
        <f t="shared" si="39"/>
        <v>45600.455384630892</v>
      </c>
      <c r="Z76" s="91">
        <f t="shared" si="40"/>
        <v>5231.5446153691055</v>
      </c>
      <c r="AA76" s="59">
        <f t="shared" si="41"/>
        <v>50832</v>
      </c>
    </row>
    <row r="77" spans="1:27">
      <c r="A77" s="187">
        <v>102</v>
      </c>
      <c r="B77" s="340">
        <v>42186</v>
      </c>
      <c r="C77" s="61">
        <f>VLOOKUP(B77,'base(indices)'!$A$4:$C$183,3,FALSE)</f>
        <v>788</v>
      </c>
      <c r="D77" s="192">
        <f>'base(indices)'!G70</f>
        <v>1.4086031699999999</v>
      </c>
      <c r="E77" s="63">
        <f t="shared" si="51"/>
        <v>1109.9792979599999</v>
      </c>
      <c r="F77" s="82">
        <f>'base(indices)'!I70</f>
        <v>0.57996999999999999</v>
      </c>
      <c r="G77" s="63">
        <f t="shared" si="23"/>
        <v>643.75469343786119</v>
      </c>
      <c r="H77" s="268">
        <f t="shared" si="24"/>
        <v>1753.7339913978612</v>
      </c>
      <c r="I77" s="347">
        <f t="shared" si="43"/>
        <v>163218.63575295411</v>
      </c>
      <c r="J77" s="119">
        <f t="shared" si="52"/>
        <v>76000.758974384822</v>
      </c>
      <c r="K77" s="108">
        <f t="shared" si="25"/>
        <v>8719.2410256151761</v>
      </c>
      <c r="L77" s="46">
        <f t="shared" si="26"/>
        <v>84720</v>
      </c>
      <c r="M77" s="43">
        <f t="shared" si="27"/>
        <v>72200.721025665582</v>
      </c>
      <c r="N77" s="108">
        <f t="shared" si="28"/>
        <v>8283.2789743344165</v>
      </c>
      <c r="O77" s="47">
        <f t="shared" si="29"/>
        <v>80484</v>
      </c>
      <c r="P77" s="119">
        <f t="shared" si="30"/>
        <v>68400.683076946341</v>
      </c>
      <c r="Q77" s="108">
        <f t="shared" si="31"/>
        <v>7847.3169230536587</v>
      </c>
      <c r="R77" s="46">
        <f t="shared" si="32"/>
        <v>76248</v>
      </c>
      <c r="S77" s="43">
        <f t="shared" si="33"/>
        <v>60800.607179507861</v>
      </c>
      <c r="T77" s="108">
        <f t="shared" si="34"/>
        <v>6975.3928204921413</v>
      </c>
      <c r="U77" s="47">
        <f t="shared" si="35"/>
        <v>67776</v>
      </c>
      <c r="V77" s="45">
        <f t="shared" si="36"/>
        <v>53200.531282069373</v>
      </c>
      <c r="W77" s="108">
        <f t="shared" si="37"/>
        <v>6103.4687179306229</v>
      </c>
      <c r="X77" s="46">
        <f t="shared" si="38"/>
        <v>59303.999999999993</v>
      </c>
      <c r="Y77" s="43">
        <f t="shared" si="39"/>
        <v>45600.455384630892</v>
      </c>
      <c r="Z77" s="108">
        <f t="shared" si="40"/>
        <v>5231.5446153691055</v>
      </c>
      <c r="AA77" s="46">
        <f t="shared" si="41"/>
        <v>50832</v>
      </c>
    </row>
    <row r="78" spans="1:27">
      <c r="A78" s="187">
        <v>101</v>
      </c>
      <c r="B78" s="339">
        <v>42217</v>
      </c>
      <c r="C78" s="61">
        <f>VLOOKUP(B78,'base(indices)'!$A$4:$C$183,3,FALSE)</f>
        <v>788</v>
      </c>
      <c r="D78" s="192">
        <f>'base(indices)'!G71</f>
        <v>1.40034116</v>
      </c>
      <c r="E78" s="54">
        <f t="shared" si="51"/>
        <v>1103.4688340800001</v>
      </c>
      <c r="F78" s="82">
        <f>'base(indices)'!I71</f>
        <v>0.57496999999999998</v>
      </c>
      <c r="G78" s="54">
        <f t="shared" si="23"/>
        <v>634.46147553097762</v>
      </c>
      <c r="H78" s="267">
        <f t="shared" si="24"/>
        <v>1737.9303096109777</v>
      </c>
      <c r="I78" s="346">
        <f t="shared" si="43"/>
        <v>161464.90176155625</v>
      </c>
      <c r="J78" s="58">
        <f t="shared" si="52"/>
        <v>76000.758974384822</v>
      </c>
      <c r="K78" s="91">
        <f t="shared" si="25"/>
        <v>8719.2410256151761</v>
      </c>
      <c r="L78" s="284">
        <f t="shared" si="26"/>
        <v>84720</v>
      </c>
      <c r="M78" s="57">
        <f t="shared" si="27"/>
        <v>72200.721025665582</v>
      </c>
      <c r="N78" s="91">
        <f t="shared" si="28"/>
        <v>8283.2789743344165</v>
      </c>
      <c r="O78" s="60">
        <f t="shared" si="29"/>
        <v>80484</v>
      </c>
      <c r="P78" s="58">
        <f t="shared" si="30"/>
        <v>68400.683076946341</v>
      </c>
      <c r="Q78" s="91">
        <f t="shared" si="31"/>
        <v>7847.3169230536587</v>
      </c>
      <c r="R78" s="59">
        <f t="shared" si="32"/>
        <v>76248</v>
      </c>
      <c r="S78" s="57">
        <f t="shared" si="33"/>
        <v>60800.607179507861</v>
      </c>
      <c r="T78" s="91">
        <f t="shared" si="34"/>
        <v>6975.3928204921413</v>
      </c>
      <c r="U78" s="60">
        <f t="shared" si="35"/>
        <v>67776</v>
      </c>
      <c r="V78" s="58">
        <f t="shared" si="36"/>
        <v>53200.531282069373</v>
      </c>
      <c r="W78" s="91">
        <f t="shared" si="37"/>
        <v>6103.4687179306229</v>
      </c>
      <c r="X78" s="59">
        <f t="shared" si="38"/>
        <v>59303.999999999993</v>
      </c>
      <c r="Y78" s="57">
        <f t="shared" si="39"/>
        <v>45600.455384630892</v>
      </c>
      <c r="Z78" s="91">
        <f t="shared" si="40"/>
        <v>5231.5446153691055</v>
      </c>
      <c r="AA78" s="59">
        <f t="shared" si="41"/>
        <v>50832</v>
      </c>
    </row>
    <row r="79" spans="1:27">
      <c r="A79" s="187">
        <v>100</v>
      </c>
      <c r="B79" s="340">
        <v>42248</v>
      </c>
      <c r="C79" s="61">
        <f>VLOOKUP(B79,'base(indices)'!$A$4:$C$183,3,FALSE)</f>
        <v>788</v>
      </c>
      <c r="D79" s="192">
        <f>'base(indices)'!G72</f>
        <v>1.39434547</v>
      </c>
      <c r="E79" s="63">
        <f t="shared" si="51"/>
        <v>1098.7442303600001</v>
      </c>
      <c r="F79" s="82">
        <f>'base(indices)'!I72</f>
        <v>0.56996999999999998</v>
      </c>
      <c r="G79" s="63">
        <f t="shared" si="23"/>
        <v>626.25124897828925</v>
      </c>
      <c r="H79" s="268">
        <f t="shared" si="24"/>
        <v>1724.9954793382894</v>
      </c>
      <c r="I79" s="347">
        <f t="shared" si="43"/>
        <v>159726.97145194528</v>
      </c>
      <c r="J79" s="119">
        <f t="shared" si="52"/>
        <v>76000.758974384822</v>
      </c>
      <c r="K79" s="108">
        <f t="shared" si="25"/>
        <v>8719.2410256151761</v>
      </c>
      <c r="L79" s="46">
        <f t="shared" si="26"/>
        <v>84720</v>
      </c>
      <c r="M79" s="43">
        <f t="shared" si="27"/>
        <v>72200.721025665582</v>
      </c>
      <c r="N79" s="108">
        <f t="shared" si="28"/>
        <v>8283.2789743344165</v>
      </c>
      <c r="O79" s="47">
        <f t="shared" si="29"/>
        <v>80484</v>
      </c>
      <c r="P79" s="119">
        <f t="shared" si="30"/>
        <v>68400.683076946341</v>
      </c>
      <c r="Q79" s="108">
        <f t="shared" si="31"/>
        <v>7847.3169230536587</v>
      </c>
      <c r="R79" s="46">
        <f t="shared" si="32"/>
        <v>76248</v>
      </c>
      <c r="S79" s="43">
        <f t="shared" si="33"/>
        <v>60800.607179507861</v>
      </c>
      <c r="T79" s="108">
        <f t="shared" si="34"/>
        <v>6975.3928204921413</v>
      </c>
      <c r="U79" s="47">
        <f t="shared" si="35"/>
        <v>67776</v>
      </c>
      <c r="V79" s="45">
        <f t="shared" si="36"/>
        <v>53200.531282069373</v>
      </c>
      <c r="W79" s="108">
        <f t="shared" si="37"/>
        <v>6103.4687179306229</v>
      </c>
      <c r="X79" s="46">
        <f t="shared" si="38"/>
        <v>59303.999999999993</v>
      </c>
      <c r="Y79" s="43">
        <f t="shared" si="39"/>
        <v>45600.455384630892</v>
      </c>
      <c r="Z79" s="108">
        <f t="shared" si="40"/>
        <v>5231.5446153691055</v>
      </c>
      <c r="AA79" s="46">
        <f t="shared" si="41"/>
        <v>50832</v>
      </c>
    </row>
    <row r="80" spans="1:27">
      <c r="A80" s="187">
        <v>99</v>
      </c>
      <c r="B80" s="339">
        <v>42278</v>
      </c>
      <c r="C80" s="61">
        <f>VLOOKUP(B80,'base(indices)'!$A$4:$C$183,3,FALSE)</f>
        <v>788</v>
      </c>
      <c r="D80" s="192">
        <f>'base(indices)'!G73</f>
        <v>1.38892865</v>
      </c>
      <c r="E80" s="54">
        <f t="shared" si="51"/>
        <v>1094.4757761999999</v>
      </c>
      <c r="F80" s="82">
        <f>'base(indices)'!I73</f>
        <v>0.56496999999999997</v>
      </c>
      <c r="G80" s="54">
        <f t="shared" si="23"/>
        <v>618.3459792797139</v>
      </c>
      <c r="H80" s="267">
        <f t="shared" si="24"/>
        <v>1712.8217554797138</v>
      </c>
      <c r="I80" s="346">
        <f t="shared" si="43"/>
        <v>158001.975972607</v>
      </c>
      <c r="J80" s="58">
        <f t="shared" si="52"/>
        <v>76000.758974384822</v>
      </c>
      <c r="K80" s="91">
        <f t="shared" si="25"/>
        <v>8719.2410256151761</v>
      </c>
      <c r="L80" s="284">
        <f t="shared" si="26"/>
        <v>84720</v>
      </c>
      <c r="M80" s="57">
        <f t="shared" si="27"/>
        <v>72200.721025665582</v>
      </c>
      <c r="N80" s="91">
        <f t="shared" si="28"/>
        <v>8283.2789743344165</v>
      </c>
      <c r="O80" s="60">
        <f t="shared" si="29"/>
        <v>80484</v>
      </c>
      <c r="P80" s="58">
        <f t="shared" si="30"/>
        <v>68400.683076946341</v>
      </c>
      <c r="Q80" s="91">
        <f t="shared" si="31"/>
        <v>7847.3169230536587</v>
      </c>
      <c r="R80" s="59">
        <f t="shared" si="32"/>
        <v>76248</v>
      </c>
      <c r="S80" s="57">
        <f t="shared" si="33"/>
        <v>60800.607179507861</v>
      </c>
      <c r="T80" s="91">
        <f t="shared" si="34"/>
        <v>6975.3928204921413</v>
      </c>
      <c r="U80" s="60">
        <f t="shared" si="35"/>
        <v>67776</v>
      </c>
      <c r="V80" s="58">
        <f t="shared" si="36"/>
        <v>53200.531282069373</v>
      </c>
      <c r="W80" s="91">
        <f t="shared" si="37"/>
        <v>6103.4687179306229</v>
      </c>
      <c r="X80" s="59">
        <f t="shared" si="38"/>
        <v>59303.999999999993</v>
      </c>
      <c r="Y80" s="57">
        <f t="shared" si="39"/>
        <v>45600.455384630892</v>
      </c>
      <c r="Z80" s="91">
        <f t="shared" si="40"/>
        <v>5231.5446153691055</v>
      </c>
      <c r="AA80" s="59">
        <f t="shared" si="41"/>
        <v>50832</v>
      </c>
    </row>
    <row r="81" spans="1:35">
      <c r="A81" s="187">
        <v>98</v>
      </c>
      <c r="B81" s="340">
        <v>42309</v>
      </c>
      <c r="C81" s="61">
        <f>VLOOKUP(B81,'base(indices)'!$A$4:$C$183,3,FALSE)</f>
        <v>788</v>
      </c>
      <c r="D81" s="192">
        <f>'base(indices)'!G74</f>
        <v>1.37982183</v>
      </c>
      <c r="E81" s="63">
        <f t="shared" si="51"/>
        <v>1087.2996020400001</v>
      </c>
      <c r="F81" s="82">
        <f>'base(indices)'!I74</f>
        <v>0.55996999999999997</v>
      </c>
      <c r="G81" s="63">
        <f t="shared" si="23"/>
        <v>608.85515815433882</v>
      </c>
      <c r="H81" s="268">
        <f t="shared" si="24"/>
        <v>1696.1547601943389</v>
      </c>
      <c r="I81" s="347">
        <f t="shared" si="43"/>
        <v>156289.1542171273</v>
      </c>
      <c r="J81" s="119">
        <f t="shared" si="52"/>
        <v>76000.758974384822</v>
      </c>
      <c r="K81" s="108">
        <f t="shared" si="25"/>
        <v>8719.2410256151761</v>
      </c>
      <c r="L81" s="46">
        <f t="shared" si="26"/>
        <v>84720</v>
      </c>
      <c r="M81" s="43">
        <f t="shared" si="27"/>
        <v>72200.721025665582</v>
      </c>
      <c r="N81" s="108">
        <f t="shared" si="28"/>
        <v>8283.2789743344165</v>
      </c>
      <c r="O81" s="47">
        <f t="shared" si="29"/>
        <v>80484</v>
      </c>
      <c r="P81" s="119">
        <f t="shared" si="30"/>
        <v>68400.683076946341</v>
      </c>
      <c r="Q81" s="108">
        <f t="shared" si="31"/>
        <v>7847.3169230536587</v>
      </c>
      <c r="R81" s="46">
        <f t="shared" si="32"/>
        <v>76248</v>
      </c>
      <c r="S81" s="43">
        <f t="shared" si="33"/>
        <v>60800.607179507861</v>
      </c>
      <c r="T81" s="108">
        <f t="shared" si="34"/>
        <v>6975.3928204921413</v>
      </c>
      <c r="U81" s="47">
        <f t="shared" si="35"/>
        <v>67776</v>
      </c>
      <c r="V81" s="45">
        <f t="shared" si="36"/>
        <v>53200.531282069373</v>
      </c>
      <c r="W81" s="108">
        <f t="shared" si="37"/>
        <v>6103.4687179306229</v>
      </c>
      <c r="X81" s="46">
        <f t="shared" si="38"/>
        <v>59303.999999999993</v>
      </c>
      <c r="Y81" s="43">
        <f t="shared" si="39"/>
        <v>45600.455384630892</v>
      </c>
      <c r="Z81" s="108">
        <f t="shared" si="40"/>
        <v>5231.5446153691055</v>
      </c>
      <c r="AA81" s="46">
        <f t="shared" si="41"/>
        <v>50832</v>
      </c>
    </row>
    <row r="82" spans="1:35" ht="13.5" thickBot="1">
      <c r="A82" s="305">
        <v>97</v>
      </c>
      <c r="B82" s="341">
        <v>42339</v>
      </c>
      <c r="C82" s="61">
        <f>VLOOKUP(B82,'base(indices)'!$A$4:$C$183,3,FALSE)</f>
        <v>788</v>
      </c>
      <c r="D82" s="335">
        <f>'base(indices)'!G75</f>
        <v>1.36819219</v>
      </c>
      <c r="E82" s="163">
        <f t="shared" si="51"/>
        <v>1078.13544572</v>
      </c>
      <c r="F82" s="304">
        <f>'base(indices)'!I75</f>
        <v>0.55496999999999996</v>
      </c>
      <c r="G82" s="163">
        <f t="shared" si="23"/>
        <v>598.33282831122835</v>
      </c>
      <c r="H82" s="355">
        <f t="shared" si="24"/>
        <v>1676.4682740312282</v>
      </c>
      <c r="I82" s="348">
        <f t="shared" si="43"/>
        <v>154592.99945693297</v>
      </c>
      <c r="J82" s="58">
        <f t="shared" si="52"/>
        <v>76000.758974384822</v>
      </c>
      <c r="K82" s="202">
        <f t="shared" si="25"/>
        <v>8719.2410256151761</v>
      </c>
      <c r="L82" s="286">
        <f t="shared" si="26"/>
        <v>84720</v>
      </c>
      <c r="M82" s="282">
        <f t="shared" si="27"/>
        <v>72200.721025665582</v>
      </c>
      <c r="N82" s="202">
        <f t="shared" si="28"/>
        <v>8283.2789743344165</v>
      </c>
      <c r="O82" s="289">
        <f t="shared" si="29"/>
        <v>80484</v>
      </c>
      <c r="P82" s="285">
        <f t="shared" si="30"/>
        <v>68400.683076946341</v>
      </c>
      <c r="Q82" s="202">
        <f t="shared" si="31"/>
        <v>7847.3169230536587</v>
      </c>
      <c r="R82" s="203">
        <f t="shared" si="32"/>
        <v>76248</v>
      </c>
      <c r="S82" s="282">
        <f t="shared" si="33"/>
        <v>60800.607179507861</v>
      </c>
      <c r="T82" s="202">
        <f t="shared" si="34"/>
        <v>6975.3928204921413</v>
      </c>
      <c r="U82" s="289">
        <f t="shared" si="35"/>
        <v>67776</v>
      </c>
      <c r="V82" s="285">
        <f t="shared" si="36"/>
        <v>53200.531282069373</v>
      </c>
      <c r="W82" s="202">
        <f t="shared" si="37"/>
        <v>6103.4687179306229</v>
      </c>
      <c r="X82" s="203">
        <f t="shared" si="38"/>
        <v>59303.999999999993</v>
      </c>
      <c r="Y82" s="282">
        <f t="shared" si="39"/>
        <v>45600.455384630892</v>
      </c>
      <c r="Z82" s="202">
        <f t="shared" si="40"/>
        <v>5231.5446153691055</v>
      </c>
      <c r="AA82" s="203">
        <f t="shared" si="41"/>
        <v>50832</v>
      </c>
    </row>
    <row r="83" spans="1:35">
      <c r="A83" s="158">
        <v>96</v>
      </c>
      <c r="B83" s="246">
        <v>42370</v>
      </c>
      <c r="C83" s="120">
        <f>VLOOKUP(B83,'base(indices)'!$A$4:$C$183,3,FALSE)</f>
        <v>880</v>
      </c>
      <c r="D83" s="193">
        <f>'base(indices)'!G76</f>
        <v>1.35223581</v>
      </c>
      <c r="E83" s="78">
        <f>C83*D83</f>
        <v>1189.9675128000001</v>
      </c>
      <c r="F83" s="79">
        <f>'base(indices)'!I76</f>
        <v>0.54996999999999996</v>
      </c>
      <c r="G83" s="78">
        <f t="shared" si="23"/>
        <v>654.44643301461599</v>
      </c>
      <c r="H83" s="266">
        <f t="shared" si="24"/>
        <v>1844.413945814616</v>
      </c>
      <c r="I83" s="345">
        <f t="shared" si="43"/>
        <v>152916.53118290173</v>
      </c>
      <c r="J83" s="48">
        <f>IF((I83)+K83&gt;$I$97,$I$197-K83,(I83))</f>
        <v>76000.758974384822</v>
      </c>
      <c r="K83" s="109">
        <f t="shared" si="25"/>
        <v>8719.2410256151761</v>
      </c>
      <c r="L83" s="49">
        <f>J83+K83</f>
        <v>84720</v>
      </c>
      <c r="M83" s="138">
        <f t="shared" si="27"/>
        <v>72200.721025665582</v>
      </c>
      <c r="N83" s="109">
        <f t="shared" si="28"/>
        <v>8283.2789743344165</v>
      </c>
      <c r="O83" s="139">
        <f>M83+N83</f>
        <v>80484</v>
      </c>
      <c r="P83" s="291">
        <f t="shared" si="30"/>
        <v>68400.683076946341</v>
      </c>
      <c r="Q83" s="109">
        <f t="shared" si="31"/>
        <v>7847.3169230536587</v>
      </c>
      <c r="R83" s="49">
        <f>P83+Q83</f>
        <v>76248</v>
      </c>
      <c r="S83" s="138">
        <f t="shared" si="33"/>
        <v>60800.607179507861</v>
      </c>
      <c r="T83" s="109">
        <f t="shared" si="34"/>
        <v>6975.3928204921413</v>
      </c>
      <c r="U83" s="139">
        <f>S83+T83</f>
        <v>67776</v>
      </c>
      <c r="V83" s="48">
        <f t="shared" si="36"/>
        <v>53200.531282069373</v>
      </c>
      <c r="W83" s="109">
        <f t="shared" si="37"/>
        <v>6103.4687179306229</v>
      </c>
      <c r="X83" s="49">
        <f>V83+W83</f>
        <v>59303.999999999993</v>
      </c>
      <c r="Y83" s="138">
        <f t="shared" si="39"/>
        <v>45600.455384630892</v>
      </c>
      <c r="Z83" s="109">
        <f t="shared" si="40"/>
        <v>5231.5446153691055</v>
      </c>
      <c r="AA83" s="49">
        <f>Y83+Z83</f>
        <v>50832</v>
      </c>
    </row>
    <row r="84" spans="1:35">
      <c r="A84" s="105">
        <v>95</v>
      </c>
      <c r="B84" s="50">
        <v>42401</v>
      </c>
      <c r="C84" s="61">
        <f>VLOOKUP(B84,'base(indices)'!$A$4:$C$183,3,FALSE)</f>
        <v>880</v>
      </c>
      <c r="D84" s="192">
        <f>'base(indices)'!G77</f>
        <v>1.3399086499999999</v>
      </c>
      <c r="E84" s="54">
        <f t="shared" ref="E84:E94" si="53">C84*D84</f>
        <v>1179.119612</v>
      </c>
      <c r="F84" s="82">
        <f>'base(indices)'!I77</f>
        <v>0.54496999999999995</v>
      </c>
      <c r="G84" s="54">
        <f t="shared" si="23"/>
        <v>642.58481495163994</v>
      </c>
      <c r="H84" s="267">
        <f t="shared" si="24"/>
        <v>1821.70442695164</v>
      </c>
      <c r="I84" s="346">
        <f t="shared" si="43"/>
        <v>151072.11723708711</v>
      </c>
      <c r="J84" s="58">
        <f>IF((I84)+K84&gt;$I$197,$I$197-K84,(I84))</f>
        <v>76000.758974384822</v>
      </c>
      <c r="K84" s="91">
        <f t="shared" si="25"/>
        <v>8719.2410256151761</v>
      </c>
      <c r="L84" s="284">
        <f t="shared" ref="L84:L94" si="54">J84+K84</f>
        <v>84720</v>
      </c>
      <c r="M84" s="57">
        <f t="shared" si="27"/>
        <v>72200.721025665582</v>
      </c>
      <c r="N84" s="91">
        <f t="shared" si="28"/>
        <v>8283.2789743344165</v>
      </c>
      <c r="O84" s="60">
        <f t="shared" ref="O84:O94" si="55">M84+N84</f>
        <v>80484</v>
      </c>
      <c r="P84" s="58">
        <f t="shared" si="30"/>
        <v>68400.683076946341</v>
      </c>
      <c r="Q84" s="91">
        <f t="shared" si="31"/>
        <v>7847.3169230536587</v>
      </c>
      <c r="R84" s="59">
        <f t="shared" ref="R84:R89" si="56">P84+Q84</f>
        <v>76248</v>
      </c>
      <c r="S84" s="57">
        <f t="shared" si="33"/>
        <v>60800.607179507861</v>
      </c>
      <c r="T84" s="91">
        <f t="shared" si="34"/>
        <v>6975.3928204921413</v>
      </c>
      <c r="U84" s="60">
        <f t="shared" ref="U84:U94" si="57">S84+T84</f>
        <v>67776</v>
      </c>
      <c r="V84" s="58">
        <f t="shared" si="36"/>
        <v>53200.531282069373</v>
      </c>
      <c r="W84" s="91">
        <f t="shared" si="37"/>
        <v>6103.4687179306229</v>
      </c>
      <c r="X84" s="59">
        <f t="shared" ref="X84:X94" si="58">V84+W84</f>
        <v>59303.999999999993</v>
      </c>
      <c r="Y84" s="57">
        <f t="shared" si="39"/>
        <v>45600.455384630892</v>
      </c>
      <c r="Z84" s="91">
        <f t="shared" si="40"/>
        <v>5231.5446153691055</v>
      </c>
      <c r="AA84" s="59">
        <f t="shared" ref="AA84:AA94" si="59">Y84+Z84</f>
        <v>50832</v>
      </c>
    </row>
    <row r="85" spans="1:35">
      <c r="A85" s="105">
        <v>94</v>
      </c>
      <c r="B85" s="50">
        <v>42430</v>
      </c>
      <c r="C85" s="61">
        <f>VLOOKUP(B85,'base(indices)'!$A$4:$C$183,3,FALSE)</f>
        <v>880</v>
      </c>
      <c r="D85" s="192">
        <f>'base(indices)'!G78</f>
        <v>1.3211483399999999</v>
      </c>
      <c r="E85" s="63">
        <f t="shared" si="53"/>
        <v>1162.6105391999999</v>
      </c>
      <c r="F85" s="82">
        <f>'base(indices)'!I78</f>
        <v>0.53996999999999995</v>
      </c>
      <c r="G85" s="63">
        <f t="shared" si="23"/>
        <v>627.77481285182387</v>
      </c>
      <c r="H85" s="268">
        <f t="shared" si="24"/>
        <v>1790.3853520518237</v>
      </c>
      <c r="I85" s="347">
        <f t="shared" si="43"/>
        <v>149250.41281013546</v>
      </c>
      <c r="J85" s="119">
        <f>IF((I85)+K85&gt;$I$197,$I$197-K85,(I85))</f>
        <v>76000.758974384822</v>
      </c>
      <c r="K85" s="108">
        <f t="shared" si="25"/>
        <v>8719.2410256151761</v>
      </c>
      <c r="L85" s="46">
        <f t="shared" si="54"/>
        <v>84720</v>
      </c>
      <c r="M85" s="43">
        <f t="shared" si="27"/>
        <v>72200.721025665582</v>
      </c>
      <c r="N85" s="108">
        <f t="shared" si="28"/>
        <v>8283.2789743344165</v>
      </c>
      <c r="O85" s="47">
        <f t="shared" si="55"/>
        <v>80484</v>
      </c>
      <c r="P85" s="119">
        <f t="shared" si="30"/>
        <v>68400.683076946341</v>
      </c>
      <c r="Q85" s="108">
        <f t="shared" si="31"/>
        <v>7847.3169230536587</v>
      </c>
      <c r="R85" s="46">
        <f t="shared" si="56"/>
        <v>76248</v>
      </c>
      <c r="S85" s="43">
        <f t="shared" si="33"/>
        <v>60800.607179507861</v>
      </c>
      <c r="T85" s="108">
        <f t="shared" si="34"/>
        <v>6975.3928204921413</v>
      </c>
      <c r="U85" s="47">
        <f t="shared" si="57"/>
        <v>67776</v>
      </c>
      <c r="V85" s="45">
        <f t="shared" si="36"/>
        <v>53200.531282069373</v>
      </c>
      <c r="W85" s="108">
        <f t="shared" si="37"/>
        <v>6103.4687179306229</v>
      </c>
      <c r="X85" s="46">
        <f t="shared" si="58"/>
        <v>59303.999999999993</v>
      </c>
      <c r="Y85" s="43">
        <f t="shared" si="39"/>
        <v>45600.455384630892</v>
      </c>
      <c r="Z85" s="108">
        <f t="shared" si="40"/>
        <v>5231.5446153691055</v>
      </c>
      <c r="AA85" s="46">
        <f t="shared" si="59"/>
        <v>50832</v>
      </c>
    </row>
    <row r="86" spans="1:35">
      <c r="A86" s="105">
        <v>93</v>
      </c>
      <c r="B86" s="50">
        <v>42461</v>
      </c>
      <c r="C86" s="61">
        <f>VLOOKUP(B86,'base(indices)'!$A$4:$C$183,3,FALSE)</f>
        <v>880</v>
      </c>
      <c r="D86" s="192">
        <f>'base(indices)'!G79</f>
        <v>1.31549173</v>
      </c>
      <c r="E86" s="54">
        <f t="shared" si="53"/>
        <v>1157.6327223999999</v>
      </c>
      <c r="F86" s="82">
        <f>'base(indices)'!I79</f>
        <v>0.53496999999999995</v>
      </c>
      <c r="G86" s="54">
        <f t="shared" si="23"/>
        <v>619.29877750232788</v>
      </c>
      <c r="H86" s="267">
        <f t="shared" si="24"/>
        <v>1776.9314999023277</v>
      </c>
      <c r="I86" s="346">
        <f t="shared" si="43"/>
        <v>147460.02745808364</v>
      </c>
      <c r="J86" s="58">
        <f>IF((I86)+K86&gt;$I$197,$I$197-K86,(I86))</f>
        <v>76000.758974384822</v>
      </c>
      <c r="K86" s="91">
        <f t="shared" si="25"/>
        <v>8719.2410256151761</v>
      </c>
      <c r="L86" s="284">
        <f t="shared" si="54"/>
        <v>84720</v>
      </c>
      <c r="M86" s="57">
        <f t="shared" si="27"/>
        <v>72200.721025665582</v>
      </c>
      <c r="N86" s="91">
        <f t="shared" si="28"/>
        <v>8283.2789743344165</v>
      </c>
      <c r="O86" s="60">
        <f t="shared" si="55"/>
        <v>80484</v>
      </c>
      <c r="P86" s="58">
        <f>J86*$P$9</f>
        <v>68400.683076946341</v>
      </c>
      <c r="Q86" s="91">
        <f t="shared" si="31"/>
        <v>7847.3169230536587</v>
      </c>
      <c r="R86" s="59">
        <f t="shared" si="56"/>
        <v>76248</v>
      </c>
      <c r="S86" s="57">
        <f t="shared" si="33"/>
        <v>60800.607179507861</v>
      </c>
      <c r="T86" s="91">
        <f t="shared" si="34"/>
        <v>6975.3928204921413</v>
      </c>
      <c r="U86" s="60">
        <f t="shared" si="57"/>
        <v>67776</v>
      </c>
      <c r="V86" s="58">
        <f t="shared" si="36"/>
        <v>53200.531282069373</v>
      </c>
      <c r="W86" s="91">
        <f t="shared" si="37"/>
        <v>6103.4687179306229</v>
      </c>
      <c r="X86" s="59">
        <f t="shared" si="58"/>
        <v>59303.999999999993</v>
      </c>
      <c r="Y86" s="57">
        <f t="shared" si="39"/>
        <v>45600.455384630892</v>
      </c>
      <c r="Z86" s="91">
        <f t="shared" si="40"/>
        <v>5231.5446153691055</v>
      </c>
      <c r="AA86" s="59">
        <f t="shared" si="59"/>
        <v>50832</v>
      </c>
    </row>
    <row r="87" spans="1:35">
      <c r="A87" s="105">
        <v>92</v>
      </c>
      <c r="B87" s="50">
        <v>42491</v>
      </c>
      <c r="C87" s="61">
        <f>VLOOKUP(B87,'base(indices)'!$A$4:$C$183,3,FALSE)</f>
        <v>880</v>
      </c>
      <c r="D87" s="192">
        <f>'base(indices)'!G80</f>
        <v>1.30881676</v>
      </c>
      <c r="E87" s="63">
        <f t="shared" si="53"/>
        <v>1151.7587487999999</v>
      </c>
      <c r="F87" s="82">
        <f>'base(indices)'!I80</f>
        <v>0.52997000000000005</v>
      </c>
      <c r="G87" s="63">
        <f t="shared" ref="G87:G150" si="60">E87*F87</f>
        <v>610.39758410153604</v>
      </c>
      <c r="H87" s="268">
        <f t="shared" ref="H87:H150" si="61">E87+G87</f>
        <v>1762.156332901536</v>
      </c>
      <c r="I87" s="347">
        <f t="shared" si="43"/>
        <v>145683.09595818131</v>
      </c>
      <c r="J87" s="119">
        <f t="shared" ref="J87:J94" si="62">IF((I87)+K87&gt;$I$197,$I$197-K87,(I87))</f>
        <v>76000.758974384822</v>
      </c>
      <c r="K87" s="108">
        <f t="shared" ref="K87:K150" si="63">I$196</f>
        <v>8719.2410256151761</v>
      </c>
      <c r="L87" s="46">
        <f t="shared" si="54"/>
        <v>84720</v>
      </c>
      <c r="M87" s="43">
        <f t="shared" ref="M87:M94" si="64">J87*M$9</f>
        <v>72200.721025665582</v>
      </c>
      <c r="N87" s="108">
        <f t="shared" ref="N87:N94" si="65">K87*M$9</f>
        <v>8283.2789743344165</v>
      </c>
      <c r="O87" s="47">
        <f t="shared" si="55"/>
        <v>80484</v>
      </c>
      <c r="P87" s="119">
        <f>J87*$P$9</f>
        <v>68400.683076946341</v>
      </c>
      <c r="Q87" s="108">
        <f t="shared" ref="Q87:Q94" si="66">K87*P$9</f>
        <v>7847.3169230536587</v>
      </c>
      <c r="R87" s="46">
        <f t="shared" si="56"/>
        <v>76248</v>
      </c>
      <c r="S87" s="43">
        <f t="shared" ref="S87:S94" si="67">J87*S$9</f>
        <v>60800.607179507861</v>
      </c>
      <c r="T87" s="108">
        <f t="shared" ref="T87:T94" si="68">K87*S$9</f>
        <v>6975.3928204921413</v>
      </c>
      <c r="U87" s="47">
        <f t="shared" si="57"/>
        <v>67776</v>
      </c>
      <c r="V87" s="45">
        <f t="shared" ref="V87:V94" si="69">J87*V$9</f>
        <v>53200.531282069373</v>
      </c>
      <c r="W87" s="108">
        <f t="shared" ref="W87:W94" si="70">K87*V$9</f>
        <v>6103.4687179306229</v>
      </c>
      <c r="X87" s="46">
        <f t="shared" si="58"/>
        <v>59303.999999999993</v>
      </c>
      <c r="Y87" s="43">
        <f t="shared" ref="Y87:Y94" si="71">J87*Y$9</f>
        <v>45600.455384630892</v>
      </c>
      <c r="Z87" s="108">
        <f t="shared" ref="Z87:Z94" si="72">K87*Y$9</f>
        <v>5231.5446153691055</v>
      </c>
      <c r="AA87" s="46">
        <f t="shared" si="59"/>
        <v>50832</v>
      </c>
    </row>
    <row r="88" spans="1:35">
      <c r="A88" s="105">
        <v>91</v>
      </c>
      <c r="B88" s="50">
        <v>42522</v>
      </c>
      <c r="C88" s="61">
        <f>VLOOKUP(B88,'base(indices)'!$A$4:$C$183,3,FALSE)</f>
        <v>880</v>
      </c>
      <c r="D88" s="192">
        <f>'base(indices)'!G81</f>
        <v>1.2976569099999999</v>
      </c>
      <c r="E88" s="54">
        <f t="shared" si="53"/>
        <v>1141.9380807999999</v>
      </c>
      <c r="F88" s="82">
        <f>'base(indices)'!I81</f>
        <v>0.52497000000000005</v>
      </c>
      <c r="G88" s="54">
        <f t="shared" si="60"/>
        <v>599.483234277576</v>
      </c>
      <c r="H88" s="267">
        <f t="shared" si="61"/>
        <v>1741.4213150775759</v>
      </c>
      <c r="I88" s="346">
        <f t="shared" ref="I88:I95" si="73">I87-H87</f>
        <v>143920.93962527977</v>
      </c>
      <c r="J88" s="58">
        <f t="shared" si="62"/>
        <v>76000.758974384822</v>
      </c>
      <c r="K88" s="91">
        <f t="shared" si="63"/>
        <v>8719.2410256151761</v>
      </c>
      <c r="L88" s="284">
        <f t="shared" si="54"/>
        <v>84720</v>
      </c>
      <c r="M88" s="57">
        <f t="shared" si="64"/>
        <v>72200.721025665582</v>
      </c>
      <c r="N88" s="91">
        <f t="shared" si="65"/>
        <v>8283.2789743344165</v>
      </c>
      <c r="O88" s="60">
        <f t="shared" si="55"/>
        <v>80484</v>
      </c>
      <c r="P88" s="58">
        <f t="shared" ref="P88:P94" si="74">J88*$P$9</f>
        <v>68400.683076946341</v>
      </c>
      <c r="Q88" s="91">
        <f t="shared" si="66"/>
        <v>7847.3169230536587</v>
      </c>
      <c r="R88" s="59">
        <f t="shared" si="56"/>
        <v>76248</v>
      </c>
      <c r="S88" s="57">
        <f t="shared" si="67"/>
        <v>60800.607179507861</v>
      </c>
      <c r="T88" s="91">
        <f t="shared" si="68"/>
        <v>6975.3928204921413</v>
      </c>
      <c r="U88" s="60">
        <f t="shared" si="57"/>
        <v>67776</v>
      </c>
      <c r="V88" s="58">
        <f t="shared" si="69"/>
        <v>53200.531282069373</v>
      </c>
      <c r="W88" s="91">
        <f t="shared" si="70"/>
        <v>6103.4687179306229</v>
      </c>
      <c r="X88" s="59">
        <f t="shared" si="58"/>
        <v>59303.999999999993</v>
      </c>
      <c r="Y88" s="57">
        <f t="shared" si="71"/>
        <v>45600.455384630892</v>
      </c>
      <c r="Z88" s="91">
        <f t="shared" si="72"/>
        <v>5231.5446153691055</v>
      </c>
      <c r="AA88" s="59">
        <f t="shared" si="59"/>
        <v>50832</v>
      </c>
    </row>
    <row r="89" spans="1:35">
      <c r="A89" s="105">
        <v>90</v>
      </c>
      <c r="B89" s="50">
        <v>42552</v>
      </c>
      <c r="C89" s="61">
        <f>VLOOKUP(B89,'base(indices)'!$A$4:$C$183,3,FALSE)</f>
        <v>880</v>
      </c>
      <c r="D89" s="192">
        <f>'base(indices)'!G82</f>
        <v>1.2924869699999999</v>
      </c>
      <c r="E89" s="63">
        <f t="shared" si="53"/>
        <v>1137.3885335999998</v>
      </c>
      <c r="F89" s="82">
        <f>'base(indices)'!I82</f>
        <v>0.51997000000000004</v>
      </c>
      <c r="G89" s="63">
        <f t="shared" si="60"/>
        <v>591.40791581599194</v>
      </c>
      <c r="H89" s="268">
        <f t="shared" si="61"/>
        <v>1728.7964494159919</v>
      </c>
      <c r="I89" s="347">
        <f t="shared" si="73"/>
        <v>142179.5183102022</v>
      </c>
      <c r="J89" s="119">
        <f t="shared" si="62"/>
        <v>76000.758974384822</v>
      </c>
      <c r="K89" s="108">
        <f t="shared" si="63"/>
        <v>8719.2410256151761</v>
      </c>
      <c r="L89" s="46">
        <f t="shared" si="54"/>
        <v>84720</v>
      </c>
      <c r="M89" s="43">
        <f t="shared" si="64"/>
        <v>72200.721025665582</v>
      </c>
      <c r="N89" s="108">
        <f t="shared" si="65"/>
        <v>8283.2789743344165</v>
      </c>
      <c r="O89" s="47">
        <f t="shared" si="55"/>
        <v>80484</v>
      </c>
      <c r="P89" s="119">
        <f t="shared" si="74"/>
        <v>68400.683076946341</v>
      </c>
      <c r="Q89" s="108">
        <f t="shared" si="66"/>
        <v>7847.3169230536587</v>
      </c>
      <c r="R89" s="46">
        <f t="shared" si="56"/>
        <v>76248</v>
      </c>
      <c r="S89" s="43">
        <f t="shared" si="67"/>
        <v>60800.607179507861</v>
      </c>
      <c r="T89" s="108">
        <f t="shared" si="68"/>
        <v>6975.3928204921413</v>
      </c>
      <c r="U89" s="47">
        <f t="shared" si="57"/>
        <v>67776</v>
      </c>
      <c r="V89" s="45">
        <f t="shared" si="69"/>
        <v>53200.531282069373</v>
      </c>
      <c r="W89" s="108">
        <f t="shared" si="70"/>
        <v>6103.4687179306229</v>
      </c>
      <c r="X89" s="46">
        <f t="shared" si="58"/>
        <v>59303.999999999993</v>
      </c>
      <c r="Y89" s="43">
        <f t="shared" si="71"/>
        <v>45600.455384630892</v>
      </c>
      <c r="Z89" s="108">
        <f t="shared" si="72"/>
        <v>5231.5446153691055</v>
      </c>
      <c r="AA89" s="46">
        <f t="shared" si="59"/>
        <v>50832</v>
      </c>
    </row>
    <row r="90" spans="1:35">
      <c r="A90" s="105">
        <v>89</v>
      </c>
      <c r="B90" s="50">
        <v>42583</v>
      </c>
      <c r="C90" s="61">
        <f>VLOOKUP(B90,'base(indices)'!$A$4:$C$183,3,FALSE)</f>
        <v>880</v>
      </c>
      <c r="D90" s="192">
        <f>'base(indices)'!G83</f>
        <v>1.28554502</v>
      </c>
      <c r="E90" s="54">
        <f t="shared" si="53"/>
        <v>1131.2796175999999</v>
      </c>
      <c r="F90" s="82">
        <f>'base(indices)'!I83</f>
        <v>0.51497000000000004</v>
      </c>
      <c r="G90" s="54">
        <f t="shared" si="60"/>
        <v>582.57506467547205</v>
      </c>
      <c r="H90" s="267">
        <f t="shared" si="61"/>
        <v>1713.854682275472</v>
      </c>
      <c r="I90" s="346">
        <f t="shared" si="73"/>
        <v>140450.7218607862</v>
      </c>
      <c r="J90" s="58">
        <f t="shared" si="62"/>
        <v>76000.758974384822</v>
      </c>
      <c r="K90" s="91">
        <f t="shared" si="63"/>
        <v>8719.2410256151761</v>
      </c>
      <c r="L90" s="284">
        <f t="shared" si="54"/>
        <v>84720</v>
      </c>
      <c r="M90" s="57">
        <f t="shared" si="64"/>
        <v>72200.721025665582</v>
      </c>
      <c r="N90" s="91">
        <f t="shared" si="65"/>
        <v>8283.2789743344165</v>
      </c>
      <c r="O90" s="60">
        <f t="shared" si="55"/>
        <v>80484</v>
      </c>
      <c r="P90" s="58">
        <f t="shared" si="74"/>
        <v>68400.683076946341</v>
      </c>
      <c r="Q90" s="91">
        <f t="shared" si="66"/>
        <v>7847.3169230536587</v>
      </c>
      <c r="R90" s="59">
        <f>P90+Q90</f>
        <v>76248</v>
      </c>
      <c r="S90" s="57">
        <f t="shared" si="67"/>
        <v>60800.607179507861</v>
      </c>
      <c r="T90" s="91">
        <f t="shared" si="68"/>
        <v>6975.3928204921413</v>
      </c>
      <c r="U90" s="60">
        <f t="shared" si="57"/>
        <v>67776</v>
      </c>
      <c r="V90" s="58">
        <f t="shared" si="69"/>
        <v>53200.531282069373</v>
      </c>
      <c r="W90" s="91">
        <f t="shared" si="70"/>
        <v>6103.4687179306229</v>
      </c>
      <c r="X90" s="59">
        <f t="shared" si="58"/>
        <v>59303.999999999993</v>
      </c>
      <c r="Y90" s="57">
        <f t="shared" si="71"/>
        <v>45600.455384630892</v>
      </c>
      <c r="Z90" s="91">
        <f t="shared" si="72"/>
        <v>5231.5446153691055</v>
      </c>
      <c r="AA90" s="59">
        <f t="shared" si="59"/>
        <v>50832</v>
      </c>
    </row>
    <row r="91" spans="1:35">
      <c r="A91" s="105">
        <v>88</v>
      </c>
      <c r="B91" s="50">
        <v>42614</v>
      </c>
      <c r="C91" s="61">
        <f>VLOOKUP(B91,'base(indices)'!$A$4:$C$183,3,FALSE)</f>
        <v>880</v>
      </c>
      <c r="D91" s="192">
        <f>'base(indices)'!G84</f>
        <v>1.2797859899999999</v>
      </c>
      <c r="E91" s="63">
        <f t="shared" si="53"/>
        <v>1126.2116712</v>
      </c>
      <c r="F91" s="82">
        <f>'base(indices)'!I84</f>
        <v>0.50997000000000003</v>
      </c>
      <c r="G91" s="63">
        <f t="shared" si="60"/>
        <v>574.33416596186396</v>
      </c>
      <c r="H91" s="268">
        <f t="shared" si="61"/>
        <v>1700.5458371618638</v>
      </c>
      <c r="I91" s="347">
        <f t="shared" si="73"/>
        <v>138736.86717851073</v>
      </c>
      <c r="J91" s="119">
        <f t="shared" si="62"/>
        <v>76000.758974384822</v>
      </c>
      <c r="K91" s="108">
        <f t="shared" si="63"/>
        <v>8719.2410256151761</v>
      </c>
      <c r="L91" s="46">
        <f t="shared" si="54"/>
        <v>84720</v>
      </c>
      <c r="M91" s="43">
        <f t="shared" si="64"/>
        <v>72200.721025665582</v>
      </c>
      <c r="N91" s="108">
        <f t="shared" si="65"/>
        <v>8283.2789743344165</v>
      </c>
      <c r="O91" s="47">
        <f t="shared" si="55"/>
        <v>80484</v>
      </c>
      <c r="P91" s="119">
        <f t="shared" si="74"/>
        <v>68400.683076946341</v>
      </c>
      <c r="Q91" s="108">
        <f t="shared" si="66"/>
        <v>7847.3169230536587</v>
      </c>
      <c r="R91" s="46">
        <f t="shared" ref="R91:R94" si="75">P91+Q91</f>
        <v>76248</v>
      </c>
      <c r="S91" s="43">
        <f t="shared" si="67"/>
        <v>60800.607179507861</v>
      </c>
      <c r="T91" s="108">
        <f t="shared" si="68"/>
        <v>6975.3928204921413</v>
      </c>
      <c r="U91" s="47">
        <f t="shared" si="57"/>
        <v>67776</v>
      </c>
      <c r="V91" s="45">
        <f t="shared" si="69"/>
        <v>53200.531282069373</v>
      </c>
      <c r="W91" s="108">
        <f t="shared" si="70"/>
        <v>6103.4687179306229</v>
      </c>
      <c r="X91" s="46">
        <f t="shared" si="58"/>
        <v>59303.999999999993</v>
      </c>
      <c r="Y91" s="43">
        <f t="shared" si="71"/>
        <v>45600.455384630892</v>
      </c>
      <c r="Z91" s="108">
        <f t="shared" si="72"/>
        <v>5231.5446153691055</v>
      </c>
      <c r="AA91" s="46">
        <f t="shared" si="59"/>
        <v>50832</v>
      </c>
    </row>
    <row r="92" spans="1:35">
      <c r="A92" s="105">
        <v>87</v>
      </c>
      <c r="B92" s="50">
        <v>42644</v>
      </c>
      <c r="C92" s="61">
        <f>VLOOKUP(B92,'base(indices)'!$A$4:$C$183,3,FALSE)</f>
        <v>880</v>
      </c>
      <c r="D92" s="192">
        <f>'base(indices)'!G85</f>
        <v>1.2768492300000001</v>
      </c>
      <c r="E92" s="54">
        <f t="shared" si="53"/>
        <v>1123.6273224000001</v>
      </c>
      <c r="F92" s="82">
        <f>'base(indices)'!I85</f>
        <v>0.50497000000000003</v>
      </c>
      <c r="G92" s="54">
        <f t="shared" si="60"/>
        <v>567.3980889923281</v>
      </c>
      <c r="H92" s="267">
        <f t="shared" si="61"/>
        <v>1691.0254113923284</v>
      </c>
      <c r="I92" s="346">
        <f t="shared" si="73"/>
        <v>137036.32134134887</v>
      </c>
      <c r="J92" s="58">
        <f t="shared" si="62"/>
        <v>76000.758974384822</v>
      </c>
      <c r="K92" s="91">
        <f t="shared" si="63"/>
        <v>8719.2410256151761</v>
      </c>
      <c r="L92" s="284">
        <f t="shared" si="54"/>
        <v>84720</v>
      </c>
      <c r="M92" s="57">
        <f t="shared" si="64"/>
        <v>72200.721025665582</v>
      </c>
      <c r="N92" s="91">
        <f t="shared" si="65"/>
        <v>8283.2789743344165</v>
      </c>
      <c r="O92" s="60">
        <f t="shared" si="55"/>
        <v>80484</v>
      </c>
      <c r="P92" s="58">
        <f t="shared" si="74"/>
        <v>68400.683076946341</v>
      </c>
      <c r="Q92" s="91">
        <f t="shared" si="66"/>
        <v>7847.3169230536587</v>
      </c>
      <c r="R92" s="59">
        <f t="shared" si="75"/>
        <v>76248</v>
      </c>
      <c r="S92" s="57">
        <f t="shared" si="67"/>
        <v>60800.607179507861</v>
      </c>
      <c r="T92" s="91">
        <f t="shared" si="68"/>
        <v>6975.3928204921413</v>
      </c>
      <c r="U92" s="60">
        <f t="shared" si="57"/>
        <v>67776</v>
      </c>
      <c r="V92" s="58">
        <f t="shared" si="69"/>
        <v>53200.531282069373</v>
      </c>
      <c r="W92" s="91">
        <f t="shared" si="70"/>
        <v>6103.4687179306229</v>
      </c>
      <c r="X92" s="59">
        <f t="shared" si="58"/>
        <v>59303.999999999993</v>
      </c>
      <c r="Y92" s="57">
        <f t="shared" si="71"/>
        <v>45600.455384630892</v>
      </c>
      <c r="Z92" s="91">
        <f t="shared" si="72"/>
        <v>5231.5446153691055</v>
      </c>
      <c r="AA92" s="59">
        <f t="shared" si="59"/>
        <v>50832</v>
      </c>
    </row>
    <row r="93" spans="1:35">
      <c r="A93" s="105">
        <v>86</v>
      </c>
      <c r="B93" s="50">
        <v>42675</v>
      </c>
      <c r="C93" s="61">
        <f>VLOOKUP(B93,'base(indices)'!$A$4:$C$183,3,FALSE)</f>
        <v>880</v>
      </c>
      <c r="D93" s="192">
        <f>'base(indices)'!G86</f>
        <v>1.2744278200000001</v>
      </c>
      <c r="E93" s="63">
        <f t="shared" si="53"/>
        <v>1121.4964816000002</v>
      </c>
      <c r="F93" s="82">
        <f>'base(indices)'!I86</f>
        <v>0.49997000000000003</v>
      </c>
      <c r="G93" s="63">
        <f t="shared" si="60"/>
        <v>560.71459590555207</v>
      </c>
      <c r="H93" s="268">
        <f t="shared" si="61"/>
        <v>1682.2110775055521</v>
      </c>
      <c r="I93" s="347">
        <f t="shared" si="73"/>
        <v>135345.29592995654</v>
      </c>
      <c r="J93" s="119">
        <f t="shared" si="62"/>
        <v>76000.758974384822</v>
      </c>
      <c r="K93" s="108">
        <f t="shared" si="63"/>
        <v>8719.2410256151761</v>
      </c>
      <c r="L93" s="46">
        <f t="shared" si="54"/>
        <v>84720</v>
      </c>
      <c r="M93" s="43">
        <f t="shared" si="64"/>
        <v>72200.721025665582</v>
      </c>
      <c r="N93" s="108">
        <f t="shared" si="65"/>
        <v>8283.2789743344165</v>
      </c>
      <c r="O93" s="47">
        <f t="shared" si="55"/>
        <v>80484</v>
      </c>
      <c r="P93" s="119">
        <f t="shared" si="74"/>
        <v>68400.683076946341</v>
      </c>
      <c r="Q93" s="108">
        <f t="shared" si="66"/>
        <v>7847.3169230536587</v>
      </c>
      <c r="R93" s="46">
        <f t="shared" si="75"/>
        <v>76248</v>
      </c>
      <c r="S93" s="43">
        <f t="shared" si="67"/>
        <v>60800.607179507861</v>
      </c>
      <c r="T93" s="108">
        <f t="shared" si="68"/>
        <v>6975.3928204921413</v>
      </c>
      <c r="U93" s="47">
        <f t="shared" si="57"/>
        <v>67776</v>
      </c>
      <c r="V93" s="45">
        <f t="shared" si="69"/>
        <v>53200.531282069373</v>
      </c>
      <c r="W93" s="108">
        <f t="shared" si="70"/>
        <v>6103.4687179306229</v>
      </c>
      <c r="X93" s="46">
        <f t="shared" si="58"/>
        <v>59303.999999999993</v>
      </c>
      <c r="Y93" s="43">
        <f t="shared" si="71"/>
        <v>45600.455384630892</v>
      </c>
      <c r="Z93" s="108">
        <f t="shared" si="72"/>
        <v>5231.5446153691055</v>
      </c>
      <c r="AA93" s="46">
        <f t="shared" si="59"/>
        <v>50832</v>
      </c>
    </row>
    <row r="94" spans="1:35" ht="13.5" thickBot="1">
      <c r="A94" s="161">
        <v>85</v>
      </c>
      <c r="B94" s="300">
        <v>42705</v>
      </c>
      <c r="C94" s="61">
        <f>VLOOKUP(B94,'base(indices)'!$A$4:$C$183,3,FALSE)</f>
        <v>880</v>
      </c>
      <c r="D94" s="335">
        <f>'base(indices)'!G87</f>
        <v>1.2711228999999999</v>
      </c>
      <c r="E94" s="163">
        <f t="shared" si="53"/>
        <v>1118.588152</v>
      </c>
      <c r="F94" s="304">
        <f>'base(indices)'!I87</f>
        <v>0.49497000000000002</v>
      </c>
      <c r="G94" s="163">
        <f t="shared" si="60"/>
        <v>553.66757759544009</v>
      </c>
      <c r="H94" s="355">
        <f t="shared" si="61"/>
        <v>1672.2557295954402</v>
      </c>
      <c r="I94" s="349">
        <f t="shared" si="73"/>
        <v>133663.08485245099</v>
      </c>
      <c r="J94" s="58">
        <f t="shared" si="62"/>
        <v>76000.758974384822</v>
      </c>
      <c r="K94" s="86">
        <f t="shared" si="63"/>
        <v>8719.2410256151761</v>
      </c>
      <c r="L94" s="287">
        <f t="shared" si="54"/>
        <v>84720</v>
      </c>
      <c r="M94" s="85">
        <f t="shared" si="64"/>
        <v>72200.721025665582</v>
      </c>
      <c r="N94" s="86">
        <f t="shared" si="65"/>
        <v>8283.2789743344165</v>
      </c>
      <c r="O94" s="107">
        <f t="shared" si="55"/>
        <v>80484</v>
      </c>
      <c r="P94" s="175">
        <f t="shared" si="74"/>
        <v>68400.683076946341</v>
      </c>
      <c r="Q94" s="86">
        <f t="shared" si="66"/>
        <v>7847.3169230536587</v>
      </c>
      <c r="R94" s="165">
        <f t="shared" si="75"/>
        <v>76248</v>
      </c>
      <c r="S94" s="85">
        <f t="shared" si="67"/>
        <v>60800.607179507861</v>
      </c>
      <c r="T94" s="86">
        <f t="shared" si="68"/>
        <v>6975.3928204921413</v>
      </c>
      <c r="U94" s="107">
        <f t="shared" si="57"/>
        <v>67776</v>
      </c>
      <c r="V94" s="175">
        <f t="shared" si="69"/>
        <v>53200.531282069373</v>
      </c>
      <c r="W94" s="86">
        <f t="shared" si="70"/>
        <v>6103.4687179306229</v>
      </c>
      <c r="X94" s="165">
        <f t="shared" si="58"/>
        <v>59303.999999999993</v>
      </c>
      <c r="Y94" s="85">
        <f t="shared" si="71"/>
        <v>45600.455384630892</v>
      </c>
      <c r="Z94" s="86">
        <f t="shared" si="72"/>
        <v>5231.5446153691055</v>
      </c>
      <c r="AA94" s="165">
        <f t="shared" si="59"/>
        <v>50832</v>
      </c>
    </row>
    <row r="95" spans="1:35" ht="13.5" customHeight="1">
      <c r="A95" s="217">
        <v>84</v>
      </c>
      <c r="B95" s="246">
        <v>42736</v>
      </c>
      <c r="C95" s="120">
        <f>VLOOKUP(B95,'base(indices)'!$A$4:$C$183,3,FALSE)</f>
        <v>937</v>
      </c>
      <c r="D95" s="193">
        <f>'base(indices)'!G88</f>
        <v>1.2687123499999999</v>
      </c>
      <c r="E95" s="78">
        <f>C95*D95</f>
        <v>1188.7834719499999</v>
      </c>
      <c r="F95" s="79">
        <f>'base(indices)'!I88</f>
        <v>0.48997000000000002</v>
      </c>
      <c r="G95" s="78">
        <f t="shared" si="60"/>
        <v>582.46823775134146</v>
      </c>
      <c r="H95" s="266">
        <f t="shared" si="61"/>
        <v>1771.2517097013415</v>
      </c>
      <c r="I95" s="281">
        <f t="shared" si="73"/>
        <v>131990.82912285556</v>
      </c>
      <c r="J95" s="48">
        <f>IF((I95)+K95&gt;$I$97,$I$197-K95,(I95))</f>
        <v>76000.758974384822</v>
      </c>
      <c r="K95" s="156">
        <f t="shared" si="63"/>
        <v>8719.2410256151761</v>
      </c>
      <c r="L95" s="150">
        <f>J95+K95</f>
        <v>84720</v>
      </c>
      <c r="M95" s="283">
        <f>J95*M$9</f>
        <v>72200.721025665582</v>
      </c>
      <c r="N95" s="156">
        <f>K95*M$9</f>
        <v>8283.2789743344165</v>
      </c>
      <c r="O95" s="290">
        <f>M95+N95</f>
        <v>80484</v>
      </c>
      <c r="P95" s="292">
        <f>J95*$P$9</f>
        <v>68400.683076946341</v>
      </c>
      <c r="Q95" s="156">
        <f>K95*P$9</f>
        <v>7847.3169230536587</v>
      </c>
      <c r="R95" s="150">
        <f>P95+Q95</f>
        <v>76248</v>
      </c>
      <c r="S95" s="283">
        <f>J95*S$9</f>
        <v>60800.607179507861</v>
      </c>
      <c r="T95" s="156">
        <f>K95*S$9</f>
        <v>6975.3928204921413</v>
      </c>
      <c r="U95" s="290">
        <f>S95+T95</f>
        <v>67776</v>
      </c>
      <c r="V95" s="288">
        <f>J95*V$9</f>
        <v>53200.531282069373</v>
      </c>
      <c r="W95" s="156">
        <f>K95*V$9</f>
        <v>6103.4687179306229</v>
      </c>
      <c r="X95" s="150">
        <f>V95+W95</f>
        <v>59303.999999999993</v>
      </c>
      <c r="Y95" s="283">
        <f>J95*Y$9</f>
        <v>45600.455384630892</v>
      </c>
      <c r="Z95" s="156">
        <f>K95*Y$9</f>
        <v>5231.5446153691055</v>
      </c>
      <c r="AA95" s="150">
        <f>Y95+Z95</f>
        <v>50832</v>
      </c>
      <c r="AB95" s="16"/>
      <c r="AC95" s="16"/>
      <c r="AD95" s="16"/>
      <c r="AE95" s="16"/>
      <c r="AF95" s="16"/>
      <c r="AG95" s="17"/>
      <c r="AH95" s="16"/>
      <c r="AI95" s="16"/>
    </row>
    <row r="96" spans="1:35" s="26" customFormat="1" ht="13.5" customHeight="1">
      <c r="A96" s="187">
        <v>83</v>
      </c>
      <c r="B96" s="50">
        <v>42767</v>
      </c>
      <c r="C96" s="61">
        <f>VLOOKUP(B96,'base(indices)'!$A$4:$C$183,3,FALSE)</f>
        <v>937</v>
      </c>
      <c r="D96" s="192">
        <f>'base(indices)'!G89</f>
        <v>1.2647914899999999</v>
      </c>
      <c r="E96" s="54">
        <f t="shared" ref="E96:E106" si="76">C96*D96</f>
        <v>1185.1096261299999</v>
      </c>
      <c r="F96" s="82">
        <f>'base(indices)'!I89</f>
        <v>0.48497000000000001</v>
      </c>
      <c r="G96" s="54">
        <f t="shared" si="60"/>
        <v>574.74261538426606</v>
      </c>
      <c r="H96" s="267">
        <f t="shared" si="61"/>
        <v>1759.8522415142661</v>
      </c>
      <c r="I96" s="277">
        <f>I95-H95</f>
        <v>130219.57741315421</v>
      </c>
      <c r="J96" s="58">
        <f>IF((I96)+K96&gt;$I$197,$I$197-K96,(I96))</f>
        <v>76000.758974384822</v>
      </c>
      <c r="K96" s="91">
        <f t="shared" si="63"/>
        <v>8719.2410256151761</v>
      </c>
      <c r="L96" s="284">
        <f t="shared" ref="L96:L159" si="77">J96+K96</f>
        <v>84720</v>
      </c>
      <c r="M96" s="57">
        <f t="shared" ref="M96:M159" si="78">J96*M$9</f>
        <v>72200.721025665582</v>
      </c>
      <c r="N96" s="91">
        <f t="shared" ref="N96:N159" si="79">K96*M$9</f>
        <v>8283.2789743344165</v>
      </c>
      <c r="O96" s="60">
        <f t="shared" ref="O96:O159" si="80">M96+N96</f>
        <v>80484</v>
      </c>
      <c r="P96" s="58">
        <f t="shared" ref="P96:P97" si="81">J96*$P$9</f>
        <v>68400.683076946341</v>
      </c>
      <c r="Q96" s="91">
        <f t="shared" ref="Q96:Q159" si="82">K96*P$9</f>
        <v>7847.3169230536587</v>
      </c>
      <c r="R96" s="59">
        <f t="shared" ref="R96:R101" si="83">P96+Q96</f>
        <v>76248</v>
      </c>
      <c r="S96" s="57">
        <f t="shared" ref="S96:S141" si="84">J96*S$9</f>
        <v>60800.607179507861</v>
      </c>
      <c r="T96" s="91">
        <f t="shared" ref="T96:T159" si="85">K96*S$9</f>
        <v>6975.3928204921413</v>
      </c>
      <c r="U96" s="60">
        <f t="shared" ref="U96:U141" si="86">S96+T96</f>
        <v>67776</v>
      </c>
      <c r="V96" s="58">
        <f t="shared" ref="V96:V159" si="87">J96*V$9</f>
        <v>53200.531282069373</v>
      </c>
      <c r="W96" s="91">
        <f t="shared" ref="W96:W159" si="88">K96*V$9</f>
        <v>6103.4687179306229</v>
      </c>
      <c r="X96" s="59">
        <f t="shared" ref="X96:X159" si="89">V96+W96</f>
        <v>59303.999999999993</v>
      </c>
      <c r="Y96" s="57">
        <f t="shared" ref="Y96:Y159" si="90">J96*Y$9</f>
        <v>45600.455384630892</v>
      </c>
      <c r="Z96" s="91">
        <f t="shared" ref="Z96:Z159" si="91">K96*Y$9</f>
        <v>5231.5446153691055</v>
      </c>
      <c r="AA96" s="59">
        <f t="shared" ref="AA96:AA159" si="92">Y96+Z96</f>
        <v>50832</v>
      </c>
      <c r="AB96" s="32"/>
      <c r="AC96" s="32"/>
      <c r="AD96" s="32"/>
      <c r="AE96" s="32"/>
      <c r="AF96" s="32"/>
      <c r="AG96" s="33"/>
      <c r="AH96" s="32"/>
      <c r="AI96" s="32"/>
    </row>
    <row r="97" spans="1:35" ht="13.5" customHeight="1">
      <c r="A97" s="187">
        <v>82</v>
      </c>
      <c r="B97" s="50">
        <v>42795</v>
      </c>
      <c r="C97" s="61">
        <f>VLOOKUP(B97,'base(indices)'!$A$4:$C$183,3,FALSE)</f>
        <v>937</v>
      </c>
      <c r="D97" s="192">
        <f>'base(indices)'!G90</f>
        <v>1.2579982999999999</v>
      </c>
      <c r="E97" s="63">
        <f t="shared" si="76"/>
        <v>1178.7444071</v>
      </c>
      <c r="F97" s="82">
        <f>'base(indices)'!I90</f>
        <v>0.47997000000000001</v>
      </c>
      <c r="G97" s="63">
        <f t="shared" si="60"/>
        <v>565.76195307578701</v>
      </c>
      <c r="H97" s="268">
        <f t="shared" si="61"/>
        <v>1744.506360175787</v>
      </c>
      <c r="I97" s="278">
        <f t="shared" ref="I97:I160" si="93">I96-H96</f>
        <v>128459.72517163995</v>
      </c>
      <c r="J97" s="119">
        <f>IF((I97)+K97&gt;$I$197,$I$197-K97,(I97))</f>
        <v>76000.758974384822</v>
      </c>
      <c r="K97" s="108">
        <f t="shared" si="63"/>
        <v>8719.2410256151761</v>
      </c>
      <c r="L97" s="46">
        <f t="shared" si="77"/>
        <v>84720</v>
      </c>
      <c r="M97" s="43">
        <f t="shared" si="78"/>
        <v>72200.721025665582</v>
      </c>
      <c r="N97" s="108">
        <f t="shared" si="79"/>
        <v>8283.2789743344165</v>
      </c>
      <c r="O97" s="47">
        <f t="shared" si="80"/>
        <v>80484</v>
      </c>
      <c r="P97" s="119">
        <f t="shared" si="81"/>
        <v>68400.683076946341</v>
      </c>
      <c r="Q97" s="108">
        <f t="shared" si="82"/>
        <v>7847.3169230536587</v>
      </c>
      <c r="R97" s="46">
        <f t="shared" si="83"/>
        <v>76248</v>
      </c>
      <c r="S97" s="43">
        <f t="shared" si="84"/>
        <v>60800.607179507861</v>
      </c>
      <c r="T97" s="108">
        <f t="shared" si="85"/>
        <v>6975.3928204921413</v>
      </c>
      <c r="U97" s="47">
        <f t="shared" si="86"/>
        <v>67776</v>
      </c>
      <c r="V97" s="45">
        <f t="shared" si="87"/>
        <v>53200.531282069373</v>
      </c>
      <c r="W97" s="108">
        <f t="shared" si="88"/>
        <v>6103.4687179306229</v>
      </c>
      <c r="X97" s="46">
        <f t="shared" si="89"/>
        <v>59303.999999999993</v>
      </c>
      <c r="Y97" s="43">
        <f t="shared" si="90"/>
        <v>45600.455384630892</v>
      </c>
      <c r="Z97" s="108">
        <f t="shared" si="91"/>
        <v>5231.5446153691055</v>
      </c>
      <c r="AA97" s="46">
        <f t="shared" si="92"/>
        <v>50832</v>
      </c>
      <c r="AB97" s="16"/>
      <c r="AC97" s="16"/>
      <c r="AD97" s="16"/>
      <c r="AE97" s="16"/>
      <c r="AF97" s="16"/>
      <c r="AG97" s="17"/>
      <c r="AH97" s="16"/>
      <c r="AI97" s="16"/>
    </row>
    <row r="98" spans="1:35" s="26" customFormat="1" ht="13.5" customHeight="1">
      <c r="A98" s="187">
        <v>81</v>
      </c>
      <c r="B98" s="50">
        <v>42826</v>
      </c>
      <c r="C98" s="61">
        <f>VLOOKUP(B98,'base(indices)'!$A$4:$C$183,3,FALSE)</f>
        <v>937</v>
      </c>
      <c r="D98" s="192">
        <f>'base(indices)'!G91</f>
        <v>1.2561141300000001</v>
      </c>
      <c r="E98" s="54">
        <f t="shared" si="76"/>
        <v>1176.9789398100002</v>
      </c>
      <c r="F98" s="82">
        <f>'base(indices)'!I91</f>
        <v>0.47497</v>
      </c>
      <c r="G98" s="54">
        <f t="shared" si="60"/>
        <v>559.0296870415558</v>
      </c>
      <c r="H98" s="267">
        <f t="shared" si="61"/>
        <v>1736.0086268515561</v>
      </c>
      <c r="I98" s="277">
        <f t="shared" si="93"/>
        <v>126715.21881146416</v>
      </c>
      <c r="J98" s="58">
        <f>IF((I98)+K98&gt;$I$197,$I$197-K98,(I98))</f>
        <v>76000.758974384822</v>
      </c>
      <c r="K98" s="91">
        <f t="shared" si="63"/>
        <v>8719.2410256151761</v>
      </c>
      <c r="L98" s="284">
        <f t="shared" si="77"/>
        <v>84720</v>
      </c>
      <c r="M98" s="57">
        <f t="shared" si="78"/>
        <v>72200.721025665582</v>
      </c>
      <c r="N98" s="91">
        <f t="shared" si="79"/>
        <v>8283.2789743344165</v>
      </c>
      <c r="O98" s="60">
        <f t="shared" si="80"/>
        <v>80484</v>
      </c>
      <c r="P98" s="58">
        <f>J98*$P$9</f>
        <v>68400.683076946341</v>
      </c>
      <c r="Q98" s="91">
        <f t="shared" si="82"/>
        <v>7847.3169230536587</v>
      </c>
      <c r="R98" s="59">
        <f t="shared" si="83"/>
        <v>76248</v>
      </c>
      <c r="S98" s="57">
        <f t="shared" si="84"/>
        <v>60800.607179507861</v>
      </c>
      <c r="T98" s="91">
        <f t="shared" si="85"/>
        <v>6975.3928204921413</v>
      </c>
      <c r="U98" s="60">
        <f t="shared" si="86"/>
        <v>67776</v>
      </c>
      <c r="V98" s="58">
        <f t="shared" si="87"/>
        <v>53200.531282069373</v>
      </c>
      <c r="W98" s="91">
        <f t="shared" si="88"/>
        <v>6103.4687179306229</v>
      </c>
      <c r="X98" s="59">
        <f t="shared" si="89"/>
        <v>59303.999999999993</v>
      </c>
      <c r="Y98" s="57">
        <f t="shared" si="90"/>
        <v>45600.455384630892</v>
      </c>
      <c r="Z98" s="91">
        <f t="shared" si="91"/>
        <v>5231.5446153691055</v>
      </c>
      <c r="AA98" s="59">
        <f t="shared" si="92"/>
        <v>50832</v>
      </c>
      <c r="AB98" s="32"/>
      <c r="AC98" s="32"/>
      <c r="AD98" s="32"/>
      <c r="AE98" s="32"/>
      <c r="AF98" s="32"/>
      <c r="AG98" s="33"/>
      <c r="AH98" s="32"/>
      <c r="AI98" s="32"/>
    </row>
    <row r="99" spans="1:35" ht="13.5" customHeight="1">
      <c r="A99" s="187">
        <v>80</v>
      </c>
      <c r="B99" s="50">
        <v>42856</v>
      </c>
      <c r="C99" s="61">
        <f>VLOOKUP(B99,'base(indices)'!$A$4:$C$183,3,FALSE)</f>
        <v>937</v>
      </c>
      <c r="D99" s="192">
        <f>'base(indices)'!G92</f>
        <v>1.25348182</v>
      </c>
      <c r="E99" s="63">
        <f t="shared" si="76"/>
        <v>1174.5124653400001</v>
      </c>
      <c r="F99" s="82">
        <f>'base(indices)'!I92</f>
        <v>0.46997</v>
      </c>
      <c r="G99" s="63">
        <f t="shared" si="60"/>
        <v>551.98562333583982</v>
      </c>
      <c r="H99" s="268">
        <f t="shared" si="61"/>
        <v>1726.4980886758399</v>
      </c>
      <c r="I99" s="278">
        <f t="shared" si="93"/>
        <v>124979.2101846126</v>
      </c>
      <c r="J99" s="119">
        <f t="shared" ref="J99:J106" si="94">IF((I99)+K99&gt;$I$197,$I$197-K99,(I99))</f>
        <v>76000.758974384822</v>
      </c>
      <c r="K99" s="108">
        <f t="shared" si="63"/>
        <v>8719.2410256151761</v>
      </c>
      <c r="L99" s="46">
        <f t="shared" si="77"/>
        <v>84720</v>
      </c>
      <c r="M99" s="43">
        <f t="shared" si="78"/>
        <v>72200.721025665582</v>
      </c>
      <c r="N99" s="108">
        <f t="shared" si="79"/>
        <v>8283.2789743344165</v>
      </c>
      <c r="O99" s="47">
        <f t="shared" si="80"/>
        <v>80484</v>
      </c>
      <c r="P99" s="119">
        <f>J99*$P$9</f>
        <v>68400.683076946341</v>
      </c>
      <c r="Q99" s="108">
        <f t="shared" si="82"/>
        <v>7847.3169230536587</v>
      </c>
      <c r="R99" s="46">
        <f t="shared" si="83"/>
        <v>76248</v>
      </c>
      <c r="S99" s="43">
        <f t="shared" si="84"/>
        <v>60800.607179507861</v>
      </c>
      <c r="T99" s="108">
        <f t="shared" si="85"/>
        <v>6975.3928204921413</v>
      </c>
      <c r="U99" s="47">
        <f t="shared" si="86"/>
        <v>67776</v>
      </c>
      <c r="V99" s="45">
        <f t="shared" si="87"/>
        <v>53200.531282069373</v>
      </c>
      <c r="W99" s="108">
        <f t="shared" si="88"/>
        <v>6103.4687179306229</v>
      </c>
      <c r="X99" s="46">
        <f t="shared" si="89"/>
        <v>59303.999999999993</v>
      </c>
      <c r="Y99" s="43">
        <f t="shared" si="90"/>
        <v>45600.455384630892</v>
      </c>
      <c r="Z99" s="108">
        <f t="shared" si="91"/>
        <v>5231.5446153691055</v>
      </c>
      <c r="AA99" s="46">
        <f t="shared" si="92"/>
        <v>50832</v>
      </c>
      <c r="AB99" s="16"/>
      <c r="AC99" s="16"/>
      <c r="AD99" s="16"/>
      <c r="AE99" s="16"/>
      <c r="AF99" s="16"/>
      <c r="AG99" s="17"/>
      <c r="AH99" s="16"/>
      <c r="AI99" s="16"/>
    </row>
    <row r="100" spans="1:35" s="26" customFormat="1" ht="13.5" customHeight="1">
      <c r="A100" s="187">
        <v>79</v>
      </c>
      <c r="B100" s="50">
        <v>42887</v>
      </c>
      <c r="C100" s="61">
        <f>VLOOKUP(B100,'base(indices)'!$A$4:$C$183,3,FALSE)</f>
        <v>937</v>
      </c>
      <c r="D100" s="192">
        <f>'base(indices)'!G93</f>
        <v>1.25048067</v>
      </c>
      <c r="E100" s="54">
        <f t="shared" si="76"/>
        <v>1171.7003877899999</v>
      </c>
      <c r="F100" s="82">
        <f>'base(indices)'!I93</f>
        <v>0.46496999999999999</v>
      </c>
      <c r="G100" s="54">
        <f t="shared" si="60"/>
        <v>544.80552931071622</v>
      </c>
      <c r="H100" s="267">
        <f t="shared" si="61"/>
        <v>1716.505917100716</v>
      </c>
      <c r="I100" s="277">
        <f t="shared" si="93"/>
        <v>123252.71209593676</v>
      </c>
      <c r="J100" s="58">
        <f t="shared" si="94"/>
        <v>76000.758974384822</v>
      </c>
      <c r="K100" s="91">
        <f t="shared" si="63"/>
        <v>8719.2410256151761</v>
      </c>
      <c r="L100" s="284">
        <f t="shared" si="77"/>
        <v>84720</v>
      </c>
      <c r="M100" s="57">
        <f t="shared" si="78"/>
        <v>72200.721025665582</v>
      </c>
      <c r="N100" s="91">
        <f t="shared" si="79"/>
        <v>8283.2789743344165</v>
      </c>
      <c r="O100" s="60">
        <f t="shared" si="80"/>
        <v>80484</v>
      </c>
      <c r="P100" s="58">
        <f t="shared" ref="P100:P119" si="95">J100*$P$9</f>
        <v>68400.683076946341</v>
      </c>
      <c r="Q100" s="91">
        <f t="shared" si="82"/>
        <v>7847.3169230536587</v>
      </c>
      <c r="R100" s="59">
        <f t="shared" si="83"/>
        <v>76248</v>
      </c>
      <c r="S100" s="57">
        <f t="shared" si="84"/>
        <v>60800.607179507861</v>
      </c>
      <c r="T100" s="91">
        <f t="shared" si="85"/>
        <v>6975.3928204921413</v>
      </c>
      <c r="U100" s="60">
        <f t="shared" si="86"/>
        <v>67776</v>
      </c>
      <c r="V100" s="58">
        <f t="shared" si="87"/>
        <v>53200.531282069373</v>
      </c>
      <c r="W100" s="91">
        <f t="shared" si="88"/>
        <v>6103.4687179306229</v>
      </c>
      <c r="X100" s="59">
        <f t="shared" si="89"/>
        <v>59303.999999999993</v>
      </c>
      <c r="Y100" s="57">
        <f t="shared" si="90"/>
        <v>45600.455384630892</v>
      </c>
      <c r="Z100" s="91">
        <f t="shared" si="91"/>
        <v>5231.5446153691055</v>
      </c>
      <c r="AA100" s="59">
        <f t="shared" si="92"/>
        <v>50832</v>
      </c>
      <c r="AB100" s="32"/>
      <c r="AC100" s="32"/>
      <c r="AD100" s="32"/>
      <c r="AE100" s="32"/>
      <c r="AF100" s="32"/>
      <c r="AG100" s="33"/>
      <c r="AH100" s="32"/>
      <c r="AI100" s="32"/>
    </row>
    <row r="101" spans="1:35" ht="13.5" customHeight="1">
      <c r="A101" s="187">
        <v>78</v>
      </c>
      <c r="B101" s="50">
        <v>42917</v>
      </c>
      <c r="C101" s="61">
        <f>VLOOKUP(B101,'base(indices)'!$A$4:$C$183,3,FALSE)</f>
        <v>937</v>
      </c>
      <c r="D101" s="192">
        <f>'base(indices)'!G94</f>
        <v>1.2484830899999999</v>
      </c>
      <c r="E101" s="63">
        <f t="shared" si="76"/>
        <v>1169.8286553299999</v>
      </c>
      <c r="F101" s="82">
        <f>'base(indices)'!I94</f>
        <v>0.45996999999999999</v>
      </c>
      <c r="G101" s="63">
        <f t="shared" si="60"/>
        <v>538.08608659214008</v>
      </c>
      <c r="H101" s="268">
        <f t="shared" si="61"/>
        <v>1707.9147419221399</v>
      </c>
      <c r="I101" s="278">
        <f t="shared" si="93"/>
        <v>121536.20617883604</v>
      </c>
      <c r="J101" s="119">
        <f t="shared" si="94"/>
        <v>76000.758974384822</v>
      </c>
      <c r="K101" s="108">
        <f t="shared" si="63"/>
        <v>8719.2410256151761</v>
      </c>
      <c r="L101" s="46">
        <f t="shared" si="77"/>
        <v>84720</v>
      </c>
      <c r="M101" s="43">
        <f t="shared" si="78"/>
        <v>72200.721025665582</v>
      </c>
      <c r="N101" s="108">
        <f t="shared" si="79"/>
        <v>8283.2789743344165</v>
      </c>
      <c r="O101" s="47">
        <f t="shared" si="80"/>
        <v>80484</v>
      </c>
      <c r="P101" s="119">
        <f t="shared" si="95"/>
        <v>68400.683076946341</v>
      </c>
      <c r="Q101" s="108">
        <f t="shared" si="82"/>
        <v>7847.3169230536587</v>
      </c>
      <c r="R101" s="46">
        <f t="shared" si="83"/>
        <v>76248</v>
      </c>
      <c r="S101" s="43">
        <f t="shared" si="84"/>
        <v>60800.607179507861</v>
      </c>
      <c r="T101" s="108">
        <f t="shared" si="85"/>
        <v>6975.3928204921413</v>
      </c>
      <c r="U101" s="47">
        <f t="shared" si="86"/>
        <v>67776</v>
      </c>
      <c r="V101" s="45">
        <f t="shared" si="87"/>
        <v>53200.531282069373</v>
      </c>
      <c r="W101" s="108">
        <f t="shared" si="88"/>
        <v>6103.4687179306229</v>
      </c>
      <c r="X101" s="46">
        <f t="shared" si="89"/>
        <v>59303.999999999993</v>
      </c>
      <c r="Y101" s="43">
        <f t="shared" si="90"/>
        <v>45600.455384630892</v>
      </c>
      <c r="Z101" s="108">
        <f t="shared" si="91"/>
        <v>5231.5446153691055</v>
      </c>
      <c r="AA101" s="46">
        <f t="shared" si="92"/>
        <v>50832</v>
      </c>
      <c r="AB101" s="16"/>
      <c r="AC101" s="16"/>
      <c r="AD101" s="16"/>
      <c r="AE101" s="16"/>
      <c r="AF101" s="16"/>
      <c r="AG101" s="17"/>
      <c r="AH101" s="16"/>
      <c r="AI101" s="16"/>
    </row>
    <row r="102" spans="1:35" s="26" customFormat="1" ht="13.5" customHeight="1">
      <c r="A102" s="187">
        <v>77</v>
      </c>
      <c r="B102" s="50">
        <v>42948</v>
      </c>
      <c r="C102" s="61">
        <f>VLOOKUP(B102,'base(indices)'!$A$4:$C$183,3,FALSE)</f>
        <v>937</v>
      </c>
      <c r="D102" s="192">
        <f>'base(indices)'!G95</f>
        <v>1.2507344199999999</v>
      </c>
      <c r="E102" s="54">
        <f t="shared" si="76"/>
        <v>1171.9381515399998</v>
      </c>
      <c r="F102" s="82">
        <f>'base(indices)'!I95</f>
        <v>0.45496999999999999</v>
      </c>
      <c r="G102" s="54">
        <f t="shared" si="60"/>
        <v>533.19670080615367</v>
      </c>
      <c r="H102" s="267">
        <f t="shared" si="61"/>
        <v>1705.1348523461534</v>
      </c>
      <c r="I102" s="277">
        <f t="shared" si="93"/>
        <v>119828.2914369139</v>
      </c>
      <c r="J102" s="58">
        <f t="shared" si="94"/>
        <v>76000.758974384822</v>
      </c>
      <c r="K102" s="91">
        <f t="shared" si="63"/>
        <v>8719.2410256151761</v>
      </c>
      <c r="L102" s="284">
        <f t="shared" si="77"/>
        <v>84720</v>
      </c>
      <c r="M102" s="57">
        <f t="shared" si="78"/>
        <v>72200.721025665582</v>
      </c>
      <c r="N102" s="91">
        <f t="shared" si="79"/>
        <v>8283.2789743344165</v>
      </c>
      <c r="O102" s="60">
        <f t="shared" si="80"/>
        <v>80484</v>
      </c>
      <c r="P102" s="58">
        <f t="shared" si="95"/>
        <v>68400.683076946341</v>
      </c>
      <c r="Q102" s="91">
        <f t="shared" si="82"/>
        <v>7847.3169230536587</v>
      </c>
      <c r="R102" s="59">
        <f>P102+Q102</f>
        <v>76248</v>
      </c>
      <c r="S102" s="57">
        <f t="shared" si="84"/>
        <v>60800.607179507861</v>
      </c>
      <c r="T102" s="91">
        <f t="shared" si="85"/>
        <v>6975.3928204921413</v>
      </c>
      <c r="U102" s="60">
        <f t="shared" si="86"/>
        <v>67776</v>
      </c>
      <c r="V102" s="58">
        <f t="shared" si="87"/>
        <v>53200.531282069373</v>
      </c>
      <c r="W102" s="91">
        <f t="shared" si="88"/>
        <v>6103.4687179306229</v>
      </c>
      <c r="X102" s="59">
        <f t="shared" si="89"/>
        <v>59303.999999999993</v>
      </c>
      <c r="Y102" s="57">
        <f t="shared" si="90"/>
        <v>45600.455384630892</v>
      </c>
      <c r="Z102" s="91">
        <f t="shared" si="91"/>
        <v>5231.5446153691055</v>
      </c>
      <c r="AA102" s="59">
        <f t="shared" si="92"/>
        <v>50832</v>
      </c>
      <c r="AB102" s="32"/>
      <c r="AC102" s="32"/>
      <c r="AD102" s="32"/>
      <c r="AE102" s="32"/>
      <c r="AF102" s="32"/>
      <c r="AG102" s="33"/>
      <c r="AH102" s="32"/>
      <c r="AI102" s="32"/>
    </row>
    <row r="103" spans="1:35" ht="13.5" customHeight="1">
      <c r="A103" s="187">
        <v>76</v>
      </c>
      <c r="B103" s="50">
        <v>42979</v>
      </c>
      <c r="C103" s="61">
        <f>VLOOKUP(B103,'base(indices)'!$A$4:$C$183,3,FALSE)</f>
        <v>937</v>
      </c>
      <c r="D103" s="192">
        <f>'base(indices)'!G96</f>
        <v>1.24637211</v>
      </c>
      <c r="E103" s="63">
        <f t="shared" si="76"/>
        <v>1167.8506670700001</v>
      </c>
      <c r="F103" s="82">
        <f>'base(indices)'!I96</f>
        <v>0.44996999999999998</v>
      </c>
      <c r="G103" s="63">
        <f t="shared" si="60"/>
        <v>525.49776466148796</v>
      </c>
      <c r="H103" s="268">
        <f t="shared" si="61"/>
        <v>1693.3484317314881</v>
      </c>
      <c r="I103" s="278">
        <f t="shared" si="93"/>
        <v>118123.15658456775</v>
      </c>
      <c r="J103" s="119">
        <f t="shared" si="94"/>
        <v>76000.758974384822</v>
      </c>
      <c r="K103" s="108">
        <f t="shared" si="63"/>
        <v>8719.2410256151761</v>
      </c>
      <c r="L103" s="46">
        <f t="shared" si="77"/>
        <v>84720</v>
      </c>
      <c r="M103" s="43">
        <f t="shared" si="78"/>
        <v>72200.721025665582</v>
      </c>
      <c r="N103" s="108">
        <f t="shared" si="79"/>
        <v>8283.2789743344165</v>
      </c>
      <c r="O103" s="47">
        <f t="shared" si="80"/>
        <v>80484</v>
      </c>
      <c r="P103" s="119">
        <f t="shared" si="95"/>
        <v>68400.683076946341</v>
      </c>
      <c r="Q103" s="108">
        <f t="shared" si="82"/>
        <v>7847.3169230536587</v>
      </c>
      <c r="R103" s="46">
        <f t="shared" ref="R103:R121" si="96">P103+Q103</f>
        <v>76248</v>
      </c>
      <c r="S103" s="43">
        <f t="shared" si="84"/>
        <v>60800.607179507861</v>
      </c>
      <c r="T103" s="108">
        <f t="shared" si="85"/>
        <v>6975.3928204921413</v>
      </c>
      <c r="U103" s="47">
        <f t="shared" si="86"/>
        <v>67776</v>
      </c>
      <c r="V103" s="45">
        <f t="shared" si="87"/>
        <v>53200.531282069373</v>
      </c>
      <c r="W103" s="108">
        <f t="shared" si="88"/>
        <v>6103.4687179306229</v>
      </c>
      <c r="X103" s="46">
        <f t="shared" si="89"/>
        <v>59303.999999999993</v>
      </c>
      <c r="Y103" s="43">
        <f t="shared" si="90"/>
        <v>45600.455384630892</v>
      </c>
      <c r="Z103" s="108">
        <f t="shared" si="91"/>
        <v>5231.5446153691055</v>
      </c>
      <c r="AA103" s="46">
        <f t="shared" si="92"/>
        <v>50832</v>
      </c>
      <c r="AB103" s="16"/>
      <c r="AC103" s="16"/>
      <c r="AD103" s="16"/>
      <c r="AE103" s="16"/>
      <c r="AF103" s="16"/>
      <c r="AG103" s="17"/>
      <c r="AH103" s="16"/>
      <c r="AI103" s="16"/>
    </row>
    <row r="104" spans="1:35" s="26" customFormat="1" ht="13.5" customHeight="1">
      <c r="A104" s="187">
        <v>75</v>
      </c>
      <c r="B104" s="50">
        <v>43009</v>
      </c>
      <c r="C104" s="61">
        <f>VLOOKUP(B104,'base(indices)'!$A$4:$C$183,3,FALSE)</f>
        <v>937</v>
      </c>
      <c r="D104" s="192">
        <f>'base(indices)'!G97</f>
        <v>1.24500261</v>
      </c>
      <c r="E104" s="54">
        <f t="shared" si="76"/>
        <v>1166.56744557</v>
      </c>
      <c r="F104" s="82">
        <f>'base(indices)'!I97</f>
        <v>0.44496999999999998</v>
      </c>
      <c r="G104" s="54">
        <f t="shared" si="60"/>
        <v>519.08751625528294</v>
      </c>
      <c r="H104" s="267">
        <f t="shared" si="61"/>
        <v>1685.654961825283</v>
      </c>
      <c r="I104" s="277">
        <f t="shared" si="93"/>
        <v>116429.80815283627</v>
      </c>
      <c r="J104" s="58">
        <f t="shared" si="94"/>
        <v>76000.758974384822</v>
      </c>
      <c r="K104" s="91">
        <f t="shared" si="63"/>
        <v>8719.2410256151761</v>
      </c>
      <c r="L104" s="284">
        <f t="shared" si="77"/>
        <v>84720</v>
      </c>
      <c r="M104" s="57">
        <f t="shared" si="78"/>
        <v>72200.721025665582</v>
      </c>
      <c r="N104" s="91">
        <f t="shared" si="79"/>
        <v>8283.2789743344165</v>
      </c>
      <c r="O104" s="60">
        <f t="shared" si="80"/>
        <v>80484</v>
      </c>
      <c r="P104" s="58">
        <f t="shared" si="95"/>
        <v>68400.683076946341</v>
      </c>
      <c r="Q104" s="91">
        <f t="shared" si="82"/>
        <v>7847.3169230536587</v>
      </c>
      <c r="R104" s="59">
        <f t="shared" si="96"/>
        <v>76248</v>
      </c>
      <c r="S104" s="57">
        <f t="shared" si="84"/>
        <v>60800.607179507861</v>
      </c>
      <c r="T104" s="91">
        <f t="shared" si="85"/>
        <v>6975.3928204921413</v>
      </c>
      <c r="U104" s="60">
        <f t="shared" si="86"/>
        <v>67776</v>
      </c>
      <c r="V104" s="58">
        <f t="shared" si="87"/>
        <v>53200.531282069373</v>
      </c>
      <c r="W104" s="91">
        <f t="shared" si="88"/>
        <v>6103.4687179306229</v>
      </c>
      <c r="X104" s="59">
        <f t="shared" si="89"/>
        <v>59303.999999999993</v>
      </c>
      <c r="Y104" s="57">
        <f t="shared" si="90"/>
        <v>45600.455384630892</v>
      </c>
      <c r="Z104" s="91">
        <f t="shared" si="91"/>
        <v>5231.5446153691055</v>
      </c>
      <c r="AA104" s="59">
        <f t="shared" si="92"/>
        <v>50832</v>
      </c>
      <c r="AB104" s="32"/>
      <c r="AC104" s="32"/>
      <c r="AD104" s="32"/>
      <c r="AE104" s="32"/>
      <c r="AF104" s="32"/>
      <c r="AG104" s="33"/>
      <c r="AH104" s="32"/>
      <c r="AI104" s="32"/>
    </row>
    <row r="105" spans="1:35" ht="13.5" customHeight="1">
      <c r="A105" s="187">
        <v>74</v>
      </c>
      <c r="B105" s="50">
        <v>43040</v>
      </c>
      <c r="C105" s="61">
        <f>VLOOKUP(B105,'base(indices)'!$A$4:$C$183,3,FALSE)</f>
        <v>937</v>
      </c>
      <c r="D105" s="192">
        <f>'base(indices)'!G98</f>
        <v>1.24078394</v>
      </c>
      <c r="E105" s="63">
        <f t="shared" si="76"/>
        <v>1162.6145517800001</v>
      </c>
      <c r="F105" s="82">
        <f>'base(indices)'!I98</f>
        <v>0.44028</v>
      </c>
      <c r="G105" s="63">
        <f t="shared" si="60"/>
        <v>511.87593485769844</v>
      </c>
      <c r="H105" s="268">
        <f t="shared" si="61"/>
        <v>1674.4904866376985</v>
      </c>
      <c r="I105" s="278">
        <f t="shared" si="93"/>
        <v>114744.15319101099</v>
      </c>
      <c r="J105" s="119">
        <f t="shared" si="94"/>
        <v>76000.758974384822</v>
      </c>
      <c r="K105" s="108">
        <f t="shared" si="63"/>
        <v>8719.2410256151761</v>
      </c>
      <c r="L105" s="46">
        <f t="shared" si="77"/>
        <v>84720</v>
      </c>
      <c r="M105" s="43">
        <f t="shared" si="78"/>
        <v>72200.721025665582</v>
      </c>
      <c r="N105" s="108">
        <f t="shared" si="79"/>
        <v>8283.2789743344165</v>
      </c>
      <c r="O105" s="47">
        <f t="shared" si="80"/>
        <v>80484</v>
      </c>
      <c r="P105" s="119">
        <f t="shared" si="95"/>
        <v>68400.683076946341</v>
      </c>
      <c r="Q105" s="108">
        <f t="shared" si="82"/>
        <v>7847.3169230536587</v>
      </c>
      <c r="R105" s="46">
        <f t="shared" si="96"/>
        <v>76248</v>
      </c>
      <c r="S105" s="43">
        <f t="shared" si="84"/>
        <v>60800.607179507861</v>
      </c>
      <c r="T105" s="108">
        <f t="shared" si="85"/>
        <v>6975.3928204921413</v>
      </c>
      <c r="U105" s="47">
        <f t="shared" si="86"/>
        <v>67776</v>
      </c>
      <c r="V105" s="45">
        <f t="shared" si="87"/>
        <v>53200.531282069373</v>
      </c>
      <c r="W105" s="108">
        <f t="shared" si="88"/>
        <v>6103.4687179306229</v>
      </c>
      <c r="X105" s="46">
        <f t="shared" si="89"/>
        <v>59303.999999999993</v>
      </c>
      <c r="Y105" s="43">
        <f t="shared" si="90"/>
        <v>45600.455384630892</v>
      </c>
      <c r="Z105" s="108">
        <f t="shared" si="91"/>
        <v>5231.5446153691055</v>
      </c>
      <c r="AA105" s="46">
        <f t="shared" si="92"/>
        <v>50832</v>
      </c>
      <c r="AB105" s="16"/>
      <c r="AC105" s="16"/>
      <c r="AD105" s="16"/>
      <c r="AE105" s="16"/>
      <c r="AF105" s="16"/>
      <c r="AG105" s="17"/>
      <c r="AH105" s="16"/>
      <c r="AI105" s="16"/>
    </row>
    <row r="106" spans="1:35" s="26" customFormat="1" ht="13.5" customHeight="1" thickBot="1">
      <c r="A106" s="188">
        <v>73</v>
      </c>
      <c r="B106" s="247">
        <v>43070</v>
      </c>
      <c r="C106" s="61">
        <f>VLOOKUP(B106,'base(indices)'!$A$4:$C$183,3,FALSE)</f>
        <v>937</v>
      </c>
      <c r="D106" s="335">
        <f>'base(indices)'!G99</f>
        <v>1.2368261</v>
      </c>
      <c r="E106" s="163">
        <f t="shared" si="76"/>
        <v>1158.9060557</v>
      </c>
      <c r="F106" s="304">
        <f>'base(indices)'!I99</f>
        <v>0.43600699999999998</v>
      </c>
      <c r="G106" s="163">
        <f t="shared" si="60"/>
        <v>505.2911526275899</v>
      </c>
      <c r="H106" s="355">
        <f t="shared" si="61"/>
        <v>1664.19720832759</v>
      </c>
      <c r="I106" s="280">
        <f t="shared" si="93"/>
        <v>113069.66270437329</v>
      </c>
      <c r="J106" s="58">
        <f t="shared" si="94"/>
        <v>76000.758974384822</v>
      </c>
      <c r="K106" s="86">
        <f t="shared" si="63"/>
        <v>8719.2410256151761</v>
      </c>
      <c r="L106" s="287">
        <f t="shared" si="77"/>
        <v>84720</v>
      </c>
      <c r="M106" s="85">
        <f t="shared" si="78"/>
        <v>72200.721025665582</v>
      </c>
      <c r="N106" s="86">
        <f t="shared" si="79"/>
        <v>8283.2789743344165</v>
      </c>
      <c r="O106" s="107">
        <f t="shared" si="80"/>
        <v>80484</v>
      </c>
      <c r="P106" s="175">
        <f t="shared" si="95"/>
        <v>68400.683076946341</v>
      </c>
      <c r="Q106" s="86">
        <f t="shared" si="82"/>
        <v>7847.3169230536587</v>
      </c>
      <c r="R106" s="165">
        <f t="shared" si="96"/>
        <v>76248</v>
      </c>
      <c r="S106" s="85">
        <f t="shared" si="84"/>
        <v>60800.607179507861</v>
      </c>
      <c r="T106" s="86">
        <f t="shared" si="85"/>
        <v>6975.3928204921413</v>
      </c>
      <c r="U106" s="107">
        <f t="shared" si="86"/>
        <v>67776</v>
      </c>
      <c r="V106" s="175">
        <f t="shared" si="87"/>
        <v>53200.531282069373</v>
      </c>
      <c r="W106" s="86">
        <f t="shared" si="88"/>
        <v>6103.4687179306229</v>
      </c>
      <c r="X106" s="165">
        <f t="shared" si="89"/>
        <v>59303.999999999993</v>
      </c>
      <c r="Y106" s="85">
        <f t="shared" si="90"/>
        <v>45600.455384630892</v>
      </c>
      <c r="Z106" s="86">
        <f t="shared" si="91"/>
        <v>5231.5446153691055</v>
      </c>
      <c r="AA106" s="165">
        <f t="shared" si="92"/>
        <v>50832</v>
      </c>
      <c r="AB106" s="32"/>
      <c r="AC106" s="32"/>
      <c r="AD106" s="32"/>
      <c r="AE106" s="32"/>
      <c r="AF106" s="32"/>
      <c r="AG106" s="33"/>
      <c r="AH106" s="32"/>
      <c r="AI106" s="32"/>
    </row>
    <row r="107" spans="1:35" ht="13.5" customHeight="1">
      <c r="A107" s="217">
        <v>72</v>
      </c>
      <c r="B107" s="136">
        <v>43101</v>
      </c>
      <c r="C107" s="120">
        <f>VLOOKUP(B107,'base(indices)'!$A$4:$C$183,3,FALSE)</f>
        <v>954</v>
      </c>
      <c r="D107" s="193">
        <f>'base(indices)'!G100</f>
        <v>1.2325123099999999</v>
      </c>
      <c r="E107" s="78">
        <f>C107*D107</f>
        <v>1175.81674374</v>
      </c>
      <c r="F107" s="79">
        <f>'base(indices)'!I100</f>
        <v>0.43173400000000001</v>
      </c>
      <c r="G107" s="78">
        <f t="shared" si="60"/>
        <v>507.64006604184516</v>
      </c>
      <c r="H107" s="266">
        <f t="shared" si="61"/>
        <v>1683.4568097818451</v>
      </c>
      <c r="I107" s="281">
        <f t="shared" si="93"/>
        <v>111405.4654960457</v>
      </c>
      <c r="J107" s="48">
        <f>IF((I107)+K107&gt;$I$97,$I$197-K107,(I107))</f>
        <v>111405.4654960457</v>
      </c>
      <c r="K107" s="156">
        <f t="shared" si="63"/>
        <v>8719.2410256151761</v>
      </c>
      <c r="L107" s="150">
        <f t="shared" si="77"/>
        <v>120124.70652166088</v>
      </c>
      <c r="M107" s="283">
        <f t="shared" si="78"/>
        <v>105835.19222124341</v>
      </c>
      <c r="N107" s="156">
        <f t="shared" si="79"/>
        <v>8283.2789743344165</v>
      </c>
      <c r="O107" s="290">
        <f t="shared" si="80"/>
        <v>114118.47119557783</v>
      </c>
      <c r="P107" s="292">
        <f t="shared" si="95"/>
        <v>100264.91894644113</v>
      </c>
      <c r="Q107" s="156">
        <f t="shared" si="82"/>
        <v>7847.3169230536587</v>
      </c>
      <c r="R107" s="150">
        <f t="shared" si="96"/>
        <v>108112.23586949479</v>
      </c>
      <c r="S107" s="283">
        <f t="shared" si="84"/>
        <v>89124.372396836567</v>
      </c>
      <c r="T107" s="156">
        <f t="shared" si="85"/>
        <v>6975.3928204921413</v>
      </c>
      <c r="U107" s="290">
        <f t="shared" si="86"/>
        <v>96099.765217328706</v>
      </c>
      <c r="V107" s="288">
        <f t="shared" si="87"/>
        <v>77983.825847231987</v>
      </c>
      <c r="W107" s="156">
        <f t="shared" si="88"/>
        <v>6103.4687179306229</v>
      </c>
      <c r="X107" s="150">
        <f t="shared" si="89"/>
        <v>84087.294565162607</v>
      </c>
      <c r="Y107" s="283">
        <f t="shared" si="90"/>
        <v>66843.279297627421</v>
      </c>
      <c r="Z107" s="156">
        <f t="shared" si="91"/>
        <v>5231.5446153691055</v>
      </c>
      <c r="AA107" s="150">
        <f t="shared" si="92"/>
        <v>72074.823912996522</v>
      </c>
      <c r="AB107" s="16"/>
      <c r="AC107" s="16"/>
      <c r="AD107" s="16"/>
      <c r="AE107" s="16"/>
      <c r="AF107" s="16"/>
      <c r="AG107" s="17"/>
      <c r="AH107" s="16"/>
      <c r="AI107" s="16"/>
    </row>
    <row r="108" spans="1:35" s="26" customFormat="1" ht="13.5" customHeight="1">
      <c r="A108" s="187">
        <v>71</v>
      </c>
      <c r="B108" s="50">
        <v>43132</v>
      </c>
      <c r="C108" s="61">
        <f>VLOOKUP(B108,'base(indices)'!$A$4:$C$183,3,FALSE)</f>
        <v>954</v>
      </c>
      <c r="D108" s="192">
        <f>'base(indices)'!G101</f>
        <v>1.2277241800000001</v>
      </c>
      <c r="E108" s="54">
        <f t="shared" ref="E108:E118" si="97">C108*D108</f>
        <v>1171.2488677200001</v>
      </c>
      <c r="F108" s="82">
        <f>'base(indices)'!I101</f>
        <v>0.42774000000000001</v>
      </c>
      <c r="G108" s="54">
        <f t="shared" si="60"/>
        <v>500.98999067855289</v>
      </c>
      <c r="H108" s="267">
        <f t="shared" si="61"/>
        <v>1672.238858398553</v>
      </c>
      <c r="I108" s="277">
        <f t="shared" si="93"/>
        <v>109722.00868626386</v>
      </c>
      <c r="J108" s="58">
        <f>IF((I108)+K108&gt;$I$197,$I$197-K108,(I108))</f>
        <v>76000.758974384822</v>
      </c>
      <c r="K108" s="91">
        <f t="shared" si="63"/>
        <v>8719.2410256151761</v>
      </c>
      <c r="L108" s="284">
        <f t="shared" si="77"/>
        <v>84720</v>
      </c>
      <c r="M108" s="57">
        <f t="shared" si="78"/>
        <v>72200.721025665582</v>
      </c>
      <c r="N108" s="91">
        <f t="shared" si="79"/>
        <v>8283.2789743344165</v>
      </c>
      <c r="O108" s="60">
        <f t="shared" si="80"/>
        <v>80484</v>
      </c>
      <c r="P108" s="58">
        <f t="shared" si="95"/>
        <v>68400.683076946341</v>
      </c>
      <c r="Q108" s="91">
        <f t="shared" si="82"/>
        <v>7847.3169230536587</v>
      </c>
      <c r="R108" s="59">
        <f t="shared" si="96"/>
        <v>76248</v>
      </c>
      <c r="S108" s="57">
        <f t="shared" si="84"/>
        <v>60800.607179507861</v>
      </c>
      <c r="T108" s="91">
        <f t="shared" si="85"/>
        <v>6975.3928204921413</v>
      </c>
      <c r="U108" s="60">
        <f t="shared" si="86"/>
        <v>67776</v>
      </c>
      <c r="V108" s="58">
        <f t="shared" si="87"/>
        <v>53200.531282069373</v>
      </c>
      <c r="W108" s="91">
        <f t="shared" si="88"/>
        <v>6103.4687179306229</v>
      </c>
      <c r="X108" s="59">
        <f t="shared" si="89"/>
        <v>59303.999999999993</v>
      </c>
      <c r="Y108" s="57">
        <f t="shared" si="90"/>
        <v>45600.455384630892</v>
      </c>
      <c r="Z108" s="91">
        <f t="shared" si="91"/>
        <v>5231.5446153691055</v>
      </c>
      <c r="AA108" s="59">
        <f t="shared" si="92"/>
        <v>50832</v>
      </c>
      <c r="AB108" s="32"/>
      <c r="AC108" s="32"/>
      <c r="AD108" s="32"/>
      <c r="AE108" s="32"/>
      <c r="AF108" s="32"/>
      <c r="AG108" s="33"/>
      <c r="AH108" s="32"/>
      <c r="AI108" s="32"/>
    </row>
    <row r="109" spans="1:35" ht="13.5" customHeight="1">
      <c r="A109" s="187">
        <v>70</v>
      </c>
      <c r="B109" s="50">
        <v>43160</v>
      </c>
      <c r="C109" s="61">
        <f>VLOOKUP(B109,'base(indices)'!$A$4:$C$183,3,FALSE)</f>
        <v>954</v>
      </c>
      <c r="D109" s="192">
        <f>'base(indices)'!G102</f>
        <v>1.22307649</v>
      </c>
      <c r="E109" s="63">
        <f t="shared" si="97"/>
        <v>1166.8149714599999</v>
      </c>
      <c r="F109" s="82">
        <f>'base(indices)'!I102</f>
        <v>0.42374600000000001</v>
      </c>
      <c r="G109" s="63">
        <f t="shared" si="60"/>
        <v>494.43317689628913</v>
      </c>
      <c r="H109" s="268">
        <f t="shared" si="61"/>
        <v>1661.248148356289</v>
      </c>
      <c r="I109" s="278">
        <f t="shared" si="93"/>
        <v>108049.7698278653</v>
      </c>
      <c r="J109" s="119">
        <f>IF((I109)+K109&gt;$I$197,$I$197-K109,(I109))</f>
        <v>76000.758974384822</v>
      </c>
      <c r="K109" s="108">
        <f t="shared" si="63"/>
        <v>8719.2410256151761</v>
      </c>
      <c r="L109" s="46">
        <f t="shared" si="77"/>
        <v>84720</v>
      </c>
      <c r="M109" s="43">
        <f t="shared" si="78"/>
        <v>72200.721025665582</v>
      </c>
      <c r="N109" s="108">
        <f t="shared" si="79"/>
        <v>8283.2789743344165</v>
      </c>
      <c r="O109" s="47">
        <f t="shared" si="80"/>
        <v>80484</v>
      </c>
      <c r="P109" s="119">
        <f t="shared" si="95"/>
        <v>68400.683076946341</v>
      </c>
      <c r="Q109" s="108">
        <f t="shared" si="82"/>
        <v>7847.3169230536587</v>
      </c>
      <c r="R109" s="46">
        <f t="shared" si="96"/>
        <v>76248</v>
      </c>
      <c r="S109" s="43">
        <f t="shared" si="84"/>
        <v>60800.607179507861</v>
      </c>
      <c r="T109" s="108">
        <f t="shared" si="85"/>
        <v>6975.3928204921413</v>
      </c>
      <c r="U109" s="47">
        <f t="shared" si="86"/>
        <v>67776</v>
      </c>
      <c r="V109" s="45">
        <f t="shared" si="87"/>
        <v>53200.531282069373</v>
      </c>
      <c r="W109" s="108">
        <f t="shared" si="88"/>
        <v>6103.4687179306229</v>
      </c>
      <c r="X109" s="46">
        <f t="shared" si="89"/>
        <v>59303.999999999993</v>
      </c>
      <c r="Y109" s="43">
        <f t="shared" si="90"/>
        <v>45600.455384630892</v>
      </c>
      <c r="Z109" s="108">
        <f t="shared" si="91"/>
        <v>5231.5446153691055</v>
      </c>
      <c r="AA109" s="46">
        <f t="shared" si="92"/>
        <v>50832</v>
      </c>
      <c r="AB109" s="16"/>
      <c r="AC109" s="16"/>
      <c r="AD109" s="16"/>
      <c r="AE109" s="16"/>
      <c r="AF109" s="16"/>
      <c r="AG109" s="17"/>
      <c r="AH109" s="16"/>
      <c r="AI109" s="16"/>
    </row>
    <row r="110" spans="1:35" s="26" customFormat="1" ht="13.5" customHeight="1">
      <c r="A110" s="187">
        <v>69</v>
      </c>
      <c r="B110" s="50">
        <v>43191</v>
      </c>
      <c r="C110" s="61">
        <f>VLOOKUP(B110,'base(indices)'!$A$4:$C$183,3,FALSE)</f>
        <v>954</v>
      </c>
      <c r="D110" s="192">
        <f>'base(indices)'!G103</f>
        <v>1.2218546400000001</v>
      </c>
      <c r="E110" s="54">
        <f t="shared" si="97"/>
        <v>1165.6493265600002</v>
      </c>
      <c r="F110" s="82">
        <f>'base(indices)'!I103</f>
        <v>0.41989100000000001</v>
      </c>
      <c r="G110" s="54">
        <f t="shared" si="60"/>
        <v>489.44566137860505</v>
      </c>
      <c r="H110" s="267">
        <f t="shared" si="61"/>
        <v>1655.0949879386053</v>
      </c>
      <c r="I110" s="277">
        <f t="shared" si="93"/>
        <v>106388.52167950901</v>
      </c>
      <c r="J110" s="58">
        <f>IF((I110)+K110&gt;$I$197,$I$197-K110,(I110))</f>
        <v>76000.758974384822</v>
      </c>
      <c r="K110" s="91">
        <f t="shared" si="63"/>
        <v>8719.2410256151761</v>
      </c>
      <c r="L110" s="284">
        <f t="shared" si="77"/>
        <v>84720</v>
      </c>
      <c r="M110" s="57">
        <f t="shared" si="78"/>
        <v>72200.721025665582</v>
      </c>
      <c r="N110" s="91">
        <f t="shared" si="79"/>
        <v>8283.2789743344165</v>
      </c>
      <c r="O110" s="60">
        <f t="shared" si="80"/>
        <v>80484</v>
      </c>
      <c r="P110" s="58">
        <f t="shared" si="95"/>
        <v>68400.683076946341</v>
      </c>
      <c r="Q110" s="91">
        <f t="shared" si="82"/>
        <v>7847.3169230536587</v>
      </c>
      <c r="R110" s="59">
        <f t="shared" si="96"/>
        <v>76248</v>
      </c>
      <c r="S110" s="57">
        <f t="shared" si="84"/>
        <v>60800.607179507861</v>
      </c>
      <c r="T110" s="91">
        <f t="shared" si="85"/>
        <v>6975.3928204921413</v>
      </c>
      <c r="U110" s="60">
        <f t="shared" si="86"/>
        <v>67776</v>
      </c>
      <c r="V110" s="58">
        <f t="shared" si="87"/>
        <v>53200.531282069373</v>
      </c>
      <c r="W110" s="91">
        <f t="shared" si="88"/>
        <v>6103.4687179306229</v>
      </c>
      <c r="X110" s="59">
        <f t="shared" si="89"/>
        <v>59303.999999999993</v>
      </c>
      <c r="Y110" s="57">
        <f t="shared" si="90"/>
        <v>45600.455384630892</v>
      </c>
      <c r="Z110" s="91">
        <f t="shared" si="91"/>
        <v>5231.5446153691055</v>
      </c>
      <c r="AA110" s="59">
        <f t="shared" si="92"/>
        <v>50832</v>
      </c>
      <c r="AB110" s="32"/>
      <c r="AC110" s="32"/>
      <c r="AD110" s="32"/>
      <c r="AE110" s="32"/>
      <c r="AF110" s="32"/>
      <c r="AG110" s="33"/>
      <c r="AH110" s="32"/>
      <c r="AI110" s="32"/>
    </row>
    <row r="111" spans="1:35" ht="13.5" customHeight="1">
      <c r="A111" s="187">
        <v>68</v>
      </c>
      <c r="B111" s="50">
        <v>43221</v>
      </c>
      <c r="C111" s="61">
        <f>VLOOKUP(B111,'base(indices)'!$A$4:$C$183,3,FALSE)</f>
        <v>954</v>
      </c>
      <c r="D111" s="192">
        <f>'base(indices)'!G104</f>
        <v>1.21929412</v>
      </c>
      <c r="E111" s="63">
        <f t="shared" si="97"/>
        <v>1163.2065904799999</v>
      </c>
      <c r="F111" s="82">
        <f>'base(indices)'!I104</f>
        <v>0.41617599999999999</v>
      </c>
      <c r="G111" s="63">
        <f t="shared" si="60"/>
        <v>484.09866599960446</v>
      </c>
      <c r="H111" s="268">
        <f t="shared" si="61"/>
        <v>1647.3052564796044</v>
      </c>
      <c r="I111" s="278">
        <f t="shared" si="93"/>
        <v>104733.42669157041</v>
      </c>
      <c r="J111" s="119">
        <f t="shared" ref="J111:J118" si="98">IF((I111)+K111&gt;$I$197,$I$197-K111,(I111))</f>
        <v>76000.758974384822</v>
      </c>
      <c r="K111" s="108">
        <f t="shared" si="63"/>
        <v>8719.2410256151761</v>
      </c>
      <c r="L111" s="46">
        <f t="shared" si="77"/>
        <v>84720</v>
      </c>
      <c r="M111" s="43">
        <f t="shared" si="78"/>
        <v>72200.721025665582</v>
      </c>
      <c r="N111" s="108">
        <f t="shared" si="79"/>
        <v>8283.2789743344165</v>
      </c>
      <c r="O111" s="47">
        <f t="shared" si="80"/>
        <v>80484</v>
      </c>
      <c r="P111" s="119">
        <f t="shared" si="95"/>
        <v>68400.683076946341</v>
      </c>
      <c r="Q111" s="108">
        <f t="shared" si="82"/>
        <v>7847.3169230536587</v>
      </c>
      <c r="R111" s="46">
        <f t="shared" si="96"/>
        <v>76248</v>
      </c>
      <c r="S111" s="43">
        <f t="shared" si="84"/>
        <v>60800.607179507861</v>
      </c>
      <c r="T111" s="108">
        <f t="shared" si="85"/>
        <v>6975.3928204921413</v>
      </c>
      <c r="U111" s="47">
        <f t="shared" si="86"/>
        <v>67776</v>
      </c>
      <c r="V111" s="45">
        <f t="shared" si="87"/>
        <v>53200.531282069373</v>
      </c>
      <c r="W111" s="108">
        <f t="shared" si="88"/>
        <v>6103.4687179306229</v>
      </c>
      <c r="X111" s="46">
        <f t="shared" si="89"/>
        <v>59303.999999999993</v>
      </c>
      <c r="Y111" s="43">
        <f t="shared" si="90"/>
        <v>45600.455384630892</v>
      </c>
      <c r="Z111" s="108">
        <f t="shared" si="91"/>
        <v>5231.5446153691055</v>
      </c>
      <c r="AA111" s="46">
        <f t="shared" si="92"/>
        <v>50832</v>
      </c>
      <c r="AB111" s="16"/>
      <c r="AC111" s="16"/>
      <c r="AD111" s="16"/>
      <c r="AE111" s="16"/>
      <c r="AF111" s="16"/>
      <c r="AG111" s="17"/>
      <c r="AH111" s="16"/>
      <c r="AI111" s="16"/>
    </row>
    <row r="112" spans="1:35" s="26" customFormat="1" ht="13.5" customHeight="1">
      <c r="A112" s="187">
        <v>67</v>
      </c>
      <c r="B112" s="50">
        <v>43252</v>
      </c>
      <c r="C112" s="61">
        <f>VLOOKUP(B112,'base(indices)'!$A$4:$C$183,3,FALSE)</f>
        <v>954</v>
      </c>
      <c r="D112" s="192">
        <f>'base(indices)'!G105</f>
        <v>1.2175895000000001</v>
      </c>
      <c r="E112" s="54">
        <f t="shared" si="97"/>
        <v>1161.5803830000002</v>
      </c>
      <c r="F112" s="82">
        <f>'base(indices)'!I105</f>
        <v>0.41246100000000002</v>
      </c>
      <c r="G112" s="54">
        <f t="shared" si="60"/>
        <v>479.10660635256312</v>
      </c>
      <c r="H112" s="267">
        <f t="shared" si="61"/>
        <v>1640.6869893525634</v>
      </c>
      <c r="I112" s="277">
        <f t="shared" si="93"/>
        <v>103086.1214350908</v>
      </c>
      <c r="J112" s="58">
        <f t="shared" si="98"/>
        <v>76000.758974384822</v>
      </c>
      <c r="K112" s="91">
        <f t="shared" si="63"/>
        <v>8719.2410256151761</v>
      </c>
      <c r="L112" s="284">
        <f t="shared" si="77"/>
        <v>84720</v>
      </c>
      <c r="M112" s="57">
        <f t="shared" si="78"/>
        <v>72200.721025665582</v>
      </c>
      <c r="N112" s="91">
        <f t="shared" si="79"/>
        <v>8283.2789743344165</v>
      </c>
      <c r="O112" s="60">
        <f t="shared" si="80"/>
        <v>80484</v>
      </c>
      <c r="P112" s="58">
        <f t="shared" si="95"/>
        <v>68400.683076946341</v>
      </c>
      <c r="Q112" s="91">
        <f t="shared" si="82"/>
        <v>7847.3169230536587</v>
      </c>
      <c r="R112" s="59">
        <f t="shared" si="96"/>
        <v>76248</v>
      </c>
      <c r="S112" s="57">
        <f t="shared" si="84"/>
        <v>60800.607179507861</v>
      </c>
      <c r="T112" s="91">
        <f t="shared" si="85"/>
        <v>6975.3928204921413</v>
      </c>
      <c r="U112" s="60">
        <f t="shared" si="86"/>
        <v>67776</v>
      </c>
      <c r="V112" s="58">
        <f t="shared" si="87"/>
        <v>53200.531282069373</v>
      </c>
      <c r="W112" s="91">
        <f t="shared" si="88"/>
        <v>6103.4687179306229</v>
      </c>
      <c r="X112" s="59">
        <f t="shared" si="89"/>
        <v>59303.999999999993</v>
      </c>
      <c r="Y112" s="57">
        <f t="shared" si="90"/>
        <v>45600.455384630892</v>
      </c>
      <c r="Z112" s="91">
        <f t="shared" si="91"/>
        <v>5231.5446153691055</v>
      </c>
      <c r="AA112" s="59">
        <f t="shared" si="92"/>
        <v>50832</v>
      </c>
      <c r="AB112" s="32"/>
      <c r="AC112" s="32"/>
      <c r="AD112" s="32"/>
      <c r="AE112" s="32"/>
      <c r="AF112" s="32"/>
      <c r="AG112" s="33"/>
      <c r="AH112" s="32"/>
      <c r="AI112" s="32"/>
    </row>
    <row r="113" spans="1:35" ht="13.5" customHeight="1">
      <c r="A113" s="187">
        <v>66</v>
      </c>
      <c r="B113" s="50">
        <v>43282</v>
      </c>
      <c r="C113" s="61">
        <f>VLOOKUP(B113,'base(indices)'!$A$4:$C$183,3,FALSE)</f>
        <v>954</v>
      </c>
      <c r="D113" s="192">
        <f>'base(indices)'!G106</f>
        <v>1.2042226199999999</v>
      </c>
      <c r="E113" s="63">
        <f t="shared" si="97"/>
        <v>1148.82837948</v>
      </c>
      <c r="F113" s="82">
        <f>'base(indices)'!I106</f>
        <v>0.408746</v>
      </c>
      <c r="G113" s="63">
        <f t="shared" si="60"/>
        <v>469.57900479893209</v>
      </c>
      <c r="H113" s="268">
        <f t="shared" si="61"/>
        <v>1618.4073842789321</v>
      </c>
      <c r="I113" s="278">
        <f t="shared" si="93"/>
        <v>101445.43444573824</v>
      </c>
      <c r="J113" s="119">
        <f t="shared" si="98"/>
        <v>76000.758974384822</v>
      </c>
      <c r="K113" s="108">
        <f t="shared" si="63"/>
        <v>8719.2410256151761</v>
      </c>
      <c r="L113" s="46">
        <f t="shared" si="77"/>
        <v>84720</v>
      </c>
      <c r="M113" s="43">
        <f t="shared" si="78"/>
        <v>72200.721025665582</v>
      </c>
      <c r="N113" s="108">
        <f t="shared" si="79"/>
        <v>8283.2789743344165</v>
      </c>
      <c r="O113" s="47">
        <f t="shared" si="80"/>
        <v>80484</v>
      </c>
      <c r="P113" s="119">
        <f t="shared" si="95"/>
        <v>68400.683076946341</v>
      </c>
      <c r="Q113" s="108">
        <f t="shared" si="82"/>
        <v>7847.3169230536587</v>
      </c>
      <c r="R113" s="46">
        <f t="shared" si="96"/>
        <v>76248</v>
      </c>
      <c r="S113" s="43">
        <f t="shared" si="84"/>
        <v>60800.607179507861</v>
      </c>
      <c r="T113" s="108">
        <f t="shared" si="85"/>
        <v>6975.3928204921413</v>
      </c>
      <c r="U113" s="47">
        <f t="shared" si="86"/>
        <v>67776</v>
      </c>
      <c r="V113" s="45">
        <f t="shared" si="87"/>
        <v>53200.531282069373</v>
      </c>
      <c r="W113" s="108">
        <f t="shared" si="88"/>
        <v>6103.4687179306229</v>
      </c>
      <c r="X113" s="46">
        <f t="shared" si="89"/>
        <v>59303.999999999993</v>
      </c>
      <c r="Y113" s="43">
        <f t="shared" si="90"/>
        <v>45600.455384630892</v>
      </c>
      <c r="Z113" s="108">
        <f t="shared" si="91"/>
        <v>5231.5446153691055</v>
      </c>
      <c r="AA113" s="46">
        <f t="shared" si="92"/>
        <v>50832</v>
      </c>
      <c r="AB113" s="16"/>
      <c r="AC113" s="16"/>
      <c r="AD113" s="16"/>
      <c r="AE113" s="16"/>
      <c r="AF113" s="16"/>
      <c r="AG113" s="17"/>
      <c r="AH113" s="16"/>
      <c r="AI113" s="16"/>
    </row>
    <row r="114" spans="1:35" s="26" customFormat="1" ht="13.5" customHeight="1">
      <c r="A114" s="187">
        <v>65</v>
      </c>
      <c r="B114" s="50">
        <v>43313</v>
      </c>
      <c r="C114" s="61">
        <f>VLOOKUP(B114,'base(indices)'!$A$4:$C$183,3,FALSE)</f>
        <v>954</v>
      </c>
      <c r="D114" s="192">
        <f>'base(indices)'!G107</f>
        <v>1.19656461</v>
      </c>
      <c r="E114" s="54">
        <f t="shared" si="97"/>
        <v>1141.5226379400001</v>
      </c>
      <c r="F114" s="82">
        <f>'base(indices)'!I107</f>
        <v>0.40503099999999997</v>
      </c>
      <c r="G114" s="54">
        <f t="shared" si="60"/>
        <v>462.35205556747616</v>
      </c>
      <c r="H114" s="267">
        <f t="shared" si="61"/>
        <v>1603.8746935074762</v>
      </c>
      <c r="I114" s="277">
        <f t="shared" si="93"/>
        <v>99827.027061459303</v>
      </c>
      <c r="J114" s="58">
        <f t="shared" si="98"/>
        <v>76000.758974384822</v>
      </c>
      <c r="K114" s="91">
        <f t="shared" si="63"/>
        <v>8719.2410256151761</v>
      </c>
      <c r="L114" s="284">
        <f t="shared" si="77"/>
        <v>84720</v>
      </c>
      <c r="M114" s="57">
        <f t="shared" si="78"/>
        <v>72200.721025665582</v>
      </c>
      <c r="N114" s="91">
        <f t="shared" si="79"/>
        <v>8283.2789743344165</v>
      </c>
      <c r="O114" s="60">
        <f t="shared" si="80"/>
        <v>80484</v>
      </c>
      <c r="P114" s="58">
        <f t="shared" si="95"/>
        <v>68400.683076946341</v>
      </c>
      <c r="Q114" s="91">
        <f t="shared" si="82"/>
        <v>7847.3169230536587</v>
      </c>
      <c r="R114" s="59">
        <f t="shared" si="96"/>
        <v>76248</v>
      </c>
      <c r="S114" s="57">
        <f t="shared" si="84"/>
        <v>60800.607179507861</v>
      </c>
      <c r="T114" s="91">
        <f t="shared" si="85"/>
        <v>6975.3928204921413</v>
      </c>
      <c r="U114" s="60">
        <f t="shared" si="86"/>
        <v>67776</v>
      </c>
      <c r="V114" s="58">
        <f t="shared" si="87"/>
        <v>53200.531282069373</v>
      </c>
      <c r="W114" s="91">
        <f t="shared" si="88"/>
        <v>6103.4687179306229</v>
      </c>
      <c r="X114" s="59">
        <f t="shared" si="89"/>
        <v>59303.999999999993</v>
      </c>
      <c r="Y114" s="57">
        <f t="shared" si="90"/>
        <v>45600.455384630892</v>
      </c>
      <c r="Z114" s="91">
        <f t="shared" si="91"/>
        <v>5231.5446153691055</v>
      </c>
      <c r="AA114" s="59">
        <f t="shared" si="92"/>
        <v>50832</v>
      </c>
      <c r="AB114" s="32"/>
      <c r="AC114" s="32"/>
      <c r="AD114" s="32"/>
      <c r="AE114" s="32"/>
      <c r="AF114" s="32"/>
      <c r="AG114" s="33"/>
      <c r="AH114" s="32"/>
      <c r="AI114" s="32"/>
    </row>
    <row r="115" spans="1:35" ht="13.5" customHeight="1">
      <c r="A115" s="187">
        <v>64</v>
      </c>
      <c r="B115" s="50">
        <v>43344</v>
      </c>
      <c r="C115" s="61">
        <f>VLOOKUP(B115,'base(indices)'!$A$4:$C$183,3,FALSE)</f>
        <v>954</v>
      </c>
      <c r="D115" s="192">
        <f>'base(indices)'!G108</f>
        <v>1.1950111000000001</v>
      </c>
      <c r="E115" s="63">
        <f t="shared" si="97"/>
        <v>1140.0405894</v>
      </c>
      <c r="F115" s="82">
        <f>'base(indices)'!I108</f>
        <v>0.40131600000000001</v>
      </c>
      <c r="G115" s="63">
        <f t="shared" si="60"/>
        <v>457.51652917565042</v>
      </c>
      <c r="H115" s="268">
        <f t="shared" si="61"/>
        <v>1597.5571185756505</v>
      </c>
      <c r="I115" s="278">
        <f t="shared" si="93"/>
        <v>98223.152367951829</v>
      </c>
      <c r="J115" s="119">
        <f t="shared" si="98"/>
        <v>76000.758974384822</v>
      </c>
      <c r="K115" s="108">
        <f t="shared" si="63"/>
        <v>8719.2410256151761</v>
      </c>
      <c r="L115" s="46">
        <f t="shared" si="77"/>
        <v>84720</v>
      </c>
      <c r="M115" s="43">
        <f t="shared" si="78"/>
        <v>72200.721025665582</v>
      </c>
      <c r="N115" s="108">
        <f t="shared" si="79"/>
        <v>8283.2789743344165</v>
      </c>
      <c r="O115" s="47">
        <f t="shared" si="80"/>
        <v>80484</v>
      </c>
      <c r="P115" s="119">
        <f t="shared" si="95"/>
        <v>68400.683076946341</v>
      </c>
      <c r="Q115" s="108">
        <f t="shared" si="82"/>
        <v>7847.3169230536587</v>
      </c>
      <c r="R115" s="46">
        <f t="shared" si="96"/>
        <v>76248</v>
      </c>
      <c r="S115" s="43">
        <f t="shared" si="84"/>
        <v>60800.607179507861</v>
      </c>
      <c r="T115" s="108">
        <f t="shared" si="85"/>
        <v>6975.3928204921413</v>
      </c>
      <c r="U115" s="47">
        <f t="shared" si="86"/>
        <v>67776</v>
      </c>
      <c r="V115" s="45">
        <f t="shared" si="87"/>
        <v>53200.531282069373</v>
      </c>
      <c r="W115" s="108">
        <f t="shared" si="88"/>
        <v>6103.4687179306229</v>
      </c>
      <c r="X115" s="46">
        <f t="shared" si="89"/>
        <v>59303.999999999993</v>
      </c>
      <c r="Y115" s="43">
        <f t="shared" si="90"/>
        <v>45600.455384630892</v>
      </c>
      <c r="Z115" s="108">
        <f t="shared" si="91"/>
        <v>5231.5446153691055</v>
      </c>
      <c r="AA115" s="46">
        <f t="shared" si="92"/>
        <v>50832</v>
      </c>
      <c r="AB115" s="16"/>
      <c r="AC115" s="16"/>
      <c r="AD115" s="16"/>
      <c r="AE115" s="16"/>
      <c r="AF115" s="16"/>
      <c r="AG115" s="17"/>
      <c r="AH115" s="16"/>
      <c r="AI115" s="16"/>
    </row>
    <row r="116" spans="1:35" s="26" customFormat="1" ht="13.5" customHeight="1">
      <c r="A116" s="187">
        <v>63</v>
      </c>
      <c r="B116" s="50">
        <v>43374</v>
      </c>
      <c r="C116" s="61">
        <f>VLOOKUP(B116,'base(indices)'!$A$4:$C$183,3,FALSE)</f>
        <v>954</v>
      </c>
      <c r="D116" s="192">
        <f>'base(indices)'!G109</f>
        <v>1.1939365500000001</v>
      </c>
      <c r="E116" s="54">
        <f t="shared" si="97"/>
        <v>1139.0154687000002</v>
      </c>
      <c r="F116" s="82">
        <f>'base(indices)'!I109</f>
        <v>0.39760099999999998</v>
      </c>
      <c r="G116" s="54">
        <f t="shared" si="60"/>
        <v>452.87368937058875</v>
      </c>
      <c r="H116" s="267">
        <f t="shared" si="61"/>
        <v>1591.889158070589</v>
      </c>
      <c r="I116" s="277">
        <f t="shared" si="93"/>
        <v>96625.595249376172</v>
      </c>
      <c r="J116" s="58">
        <f t="shared" si="98"/>
        <v>76000.758974384822</v>
      </c>
      <c r="K116" s="91">
        <f t="shared" si="63"/>
        <v>8719.2410256151761</v>
      </c>
      <c r="L116" s="284">
        <f t="shared" si="77"/>
        <v>84720</v>
      </c>
      <c r="M116" s="57">
        <f t="shared" si="78"/>
        <v>72200.721025665582</v>
      </c>
      <c r="N116" s="91">
        <f t="shared" si="79"/>
        <v>8283.2789743344165</v>
      </c>
      <c r="O116" s="60">
        <f t="shared" si="80"/>
        <v>80484</v>
      </c>
      <c r="P116" s="58">
        <f t="shared" si="95"/>
        <v>68400.683076946341</v>
      </c>
      <c r="Q116" s="91">
        <f t="shared" si="82"/>
        <v>7847.3169230536587</v>
      </c>
      <c r="R116" s="59">
        <f t="shared" si="96"/>
        <v>76248</v>
      </c>
      <c r="S116" s="57">
        <f t="shared" si="84"/>
        <v>60800.607179507861</v>
      </c>
      <c r="T116" s="91">
        <f t="shared" si="85"/>
        <v>6975.3928204921413</v>
      </c>
      <c r="U116" s="60">
        <f t="shared" si="86"/>
        <v>67776</v>
      </c>
      <c r="V116" s="58">
        <f t="shared" si="87"/>
        <v>53200.531282069373</v>
      </c>
      <c r="W116" s="91">
        <f t="shared" si="88"/>
        <v>6103.4687179306229</v>
      </c>
      <c r="X116" s="59">
        <f t="shared" si="89"/>
        <v>59303.999999999993</v>
      </c>
      <c r="Y116" s="57">
        <f t="shared" si="90"/>
        <v>45600.455384630892</v>
      </c>
      <c r="Z116" s="91">
        <f t="shared" si="91"/>
        <v>5231.5446153691055</v>
      </c>
      <c r="AA116" s="59">
        <f t="shared" si="92"/>
        <v>50832</v>
      </c>
      <c r="AB116" s="32"/>
      <c r="AC116" s="32"/>
      <c r="AD116" s="32"/>
      <c r="AE116" s="32"/>
      <c r="AF116" s="32"/>
      <c r="AG116" s="33"/>
      <c r="AH116" s="32"/>
      <c r="AI116" s="32"/>
    </row>
    <row r="117" spans="1:35" ht="13.5" customHeight="1">
      <c r="A117" s="187">
        <v>62</v>
      </c>
      <c r="B117" s="50">
        <v>43405</v>
      </c>
      <c r="C117" s="61">
        <f>VLOOKUP(B117,'base(indices)'!$A$4:$C$183,3,FALSE)</f>
        <v>954</v>
      </c>
      <c r="D117" s="192">
        <f>'base(indices)'!G110</f>
        <v>1.1870516499999999</v>
      </c>
      <c r="E117" s="63">
        <f t="shared" si="97"/>
        <v>1132.4472741</v>
      </c>
      <c r="F117" s="82">
        <f>'base(indices)'!I110</f>
        <v>0.39388600000000001</v>
      </c>
      <c r="G117" s="63">
        <f t="shared" si="60"/>
        <v>446.05512700615259</v>
      </c>
      <c r="H117" s="268">
        <f t="shared" si="61"/>
        <v>1578.5024011061525</v>
      </c>
      <c r="I117" s="278">
        <f t="shared" si="93"/>
        <v>95033.70609130559</v>
      </c>
      <c r="J117" s="119">
        <f t="shared" si="98"/>
        <v>76000.758974384822</v>
      </c>
      <c r="K117" s="108">
        <f t="shared" si="63"/>
        <v>8719.2410256151761</v>
      </c>
      <c r="L117" s="46">
        <f t="shared" si="77"/>
        <v>84720</v>
      </c>
      <c r="M117" s="43">
        <f t="shared" si="78"/>
        <v>72200.721025665582</v>
      </c>
      <c r="N117" s="108">
        <f>K117*M$9</f>
        <v>8283.2789743344165</v>
      </c>
      <c r="O117" s="47">
        <f t="shared" si="80"/>
        <v>80484</v>
      </c>
      <c r="P117" s="119">
        <f t="shared" si="95"/>
        <v>68400.683076946341</v>
      </c>
      <c r="Q117" s="108">
        <f t="shared" si="82"/>
        <v>7847.3169230536587</v>
      </c>
      <c r="R117" s="46">
        <f t="shared" si="96"/>
        <v>76248</v>
      </c>
      <c r="S117" s="43">
        <f t="shared" si="84"/>
        <v>60800.607179507861</v>
      </c>
      <c r="T117" s="108">
        <f t="shared" si="85"/>
        <v>6975.3928204921413</v>
      </c>
      <c r="U117" s="47">
        <f t="shared" si="86"/>
        <v>67776</v>
      </c>
      <c r="V117" s="45">
        <f t="shared" si="87"/>
        <v>53200.531282069373</v>
      </c>
      <c r="W117" s="108">
        <f t="shared" si="88"/>
        <v>6103.4687179306229</v>
      </c>
      <c r="X117" s="46">
        <f t="shared" si="89"/>
        <v>59303.999999999993</v>
      </c>
      <c r="Y117" s="43">
        <f t="shared" si="90"/>
        <v>45600.455384630892</v>
      </c>
      <c r="Z117" s="108">
        <f t="shared" si="91"/>
        <v>5231.5446153691055</v>
      </c>
      <c r="AA117" s="46">
        <f t="shared" si="92"/>
        <v>50832</v>
      </c>
      <c r="AB117" s="16"/>
      <c r="AC117" s="16"/>
      <c r="AD117" s="16"/>
      <c r="AE117" s="16"/>
      <c r="AF117" s="16"/>
      <c r="AG117" s="17"/>
      <c r="AH117" s="16"/>
      <c r="AI117" s="16"/>
    </row>
    <row r="118" spans="1:35" s="26" customFormat="1" ht="13.5" customHeight="1" thickBot="1">
      <c r="A118" s="188">
        <v>61</v>
      </c>
      <c r="B118" s="247">
        <v>43435</v>
      </c>
      <c r="C118" s="61">
        <f>VLOOKUP(B118,'base(indices)'!$A$4:$C$183,3,FALSE)</f>
        <v>954</v>
      </c>
      <c r="D118" s="335">
        <f>'base(indices)'!G111</f>
        <v>1.18480053</v>
      </c>
      <c r="E118" s="163">
        <f t="shared" si="97"/>
        <v>1130.2997056199999</v>
      </c>
      <c r="F118" s="304">
        <f>'base(indices)'!I111</f>
        <v>0.39017099999999999</v>
      </c>
      <c r="G118" s="163">
        <f t="shared" si="60"/>
        <v>441.01016644146097</v>
      </c>
      <c r="H118" s="355">
        <f t="shared" si="61"/>
        <v>1571.309872061461</v>
      </c>
      <c r="I118" s="279">
        <f t="shared" si="93"/>
        <v>93455.203690199443</v>
      </c>
      <c r="J118" s="58">
        <f t="shared" si="98"/>
        <v>76000.758974384822</v>
      </c>
      <c r="K118" s="202">
        <f t="shared" si="63"/>
        <v>8719.2410256151761</v>
      </c>
      <c r="L118" s="286">
        <f t="shared" si="77"/>
        <v>84720</v>
      </c>
      <c r="M118" s="282">
        <f t="shared" si="78"/>
        <v>72200.721025665582</v>
      </c>
      <c r="N118" s="202">
        <f t="shared" si="79"/>
        <v>8283.2789743344165</v>
      </c>
      <c r="O118" s="289">
        <f t="shared" si="80"/>
        <v>80484</v>
      </c>
      <c r="P118" s="285">
        <f t="shared" si="95"/>
        <v>68400.683076946341</v>
      </c>
      <c r="Q118" s="202">
        <f t="shared" si="82"/>
        <v>7847.3169230536587</v>
      </c>
      <c r="R118" s="203">
        <f t="shared" si="96"/>
        <v>76248</v>
      </c>
      <c r="S118" s="282">
        <f t="shared" si="84"/>
        <v>60800.607179507861</v>
      </c>
      <c r="T118" s="202">
        <f t="shared" si="85"/>
        <v>6975.3928204921413</v>
      </c>
      <c r="U118" s="289">
        <f t="shared" si="86"/>
        <v>67776</v>
      </c>
      <c r="V118" s="285">
        <f t="shared" si="87"/>
        <v>53200.531282069373</v>
      </c>
      <c r="W118" s="202">
        <f t="shared" si="88"/>
        <v>6103.4687179306229</v>
      </c>
      <c r="X118" s="203">
        <f t="shared" si="89"/>
        <v>59303.999999999993</v>
      </c>
      <c r="Y118" s="282">
        <f t="shared" si="90"/>
        <v>45600.455384630892</v>
      </c>
      <c r="Z118" s="202">
        <f t="shared" si="91"/>
        <v>5231.5446153691055</v>
      </c>
      <c r="AA118" s="203">
        <f t="shared" si="92"/>
        <v>50832</v>
      </c>
      <c r="AB118" s="32"/>
      <c r="AC118" s="32"/>
      <c r="AD118" s="32"/>
      <c r="AE118" s="32"/>
      <c r="AF118" s="32"/>
      <c r="AG118" s="33"/>
      <c r="AH118" s="32"/>
      <c r="AI118" s="32"/>
    </row>
    <row r="119" spans="1:35" ht="13.5" customHeight="1">
      <c r="A119" s="190">
        <v>60</v>
      </c>
      <c r="B119" s="136">
        <v>43466</v>
      </c>
      <c r="C119" s="120">
        <f>VLOOKUP(B119,'base(indices)'!$A$4:$C$183,3,FALSE)</f>
        <v>998</v>
      </c>
      <c r="D119" s="193">
        <f>'base(indices)'!G112</f>
        <v>1.18669925</v>
      </c>
      <c r="E119" s="78">
        <f>C119*D119</f>
        <v>1184.3258515</v>
      </c>
      <c r="F119" s="79">
        <f>'base(indices)'!I112</f>
        <v>0.38645600000000002</v>
      </c>
      <c r="G119" s="78">
        <f t="shared" si="60"/>
        <v>457.68983126728403</v>
      </c>
      <c r="H119" s="266">
        <f t="shared" si="61"/>
        <v>1642.015682767284</v>
      </c>
      <c r="I119" s="276">
        <f t="shared" si="93"/>
        <v>91883.893818137978</v>
      </c>
      <c r="J119" s="48">
        <f>IF((I119)+K119&gt;$I$97,$I$197-K119,(I119))</f>
        <v>91883.893818137978</v>
      </c>
      <c r="K119" s="109">
        <f t="shared" si="63"/>
        <v>8719.2410256151761</v>
      </c>
      <c r="L119" s="49">
        <f t="shared" si="77"/>
        <v>100603.13484375316</v>
      </c>
      <c r="M119" s="138">
        <f t="shared" si="78"/>
        <v>87289.69912723107</v>
      </c>
      <c r="N119" s="109">
        <f t="shared" si="79"/>
        <v>8283.2789743344165</v>
      </c>
      <c r="O119" s="139">
        <f t="shared" si="80"/>
        <v>95572.978101565488</v>
      </c>
      <c r="P119" s="291">
        <f t="shared" si="95"/>
        <v>82695.504436324176</v>
      </c>
      <c r="Q119" s="109">
        <f t="shared" si="82"/>
        <v>7847.3169230536587</v>
      </c>
      <c r="R119" s="49">
        <f t="shared" si="96"/>
        <v>90542.821359377835</v>
      </c>
      <c r="S119" s="138">
        <f t="shared" si="84"/>
        <v>73507.115054510388</v>
      </c>
      <c r="T119" s="109">
        <f t="shared" si="85"/>
        <v>6975.3928204921413</v>
      </c>
      <c r="U119" s="139">
        <f t="shared" si="86"/>
        <v>80482.507875002528</v>
      </c>
      <c r="V119" s="48">
        <f t="shared" si="87"/>
        <v>64318.725672696579</v>
      </c>
      <c r="W119" s="109">
        <f t="shared" si="88"/>
        <v>6103.4687179306229</v>
      </c>
      <c r="X119" s="49">
        <f t="shared" si="89"/>
        <v>70422.194390627206</v>
      </c>
      <c r="Y119" s="138">
        <f t="shared" si="90"/>
        <v>55130.336290882784</v>
      </c>
      <c r="Z119" s="109">
        <f t="shared" si="91"/>
        <v>5231.5446153691055</v>
      </c>
      <c r="AA119" s="49">
        <f t="shared" si="92"/>
        <v>60361.880906251892</v>
      </c>
      <c r="AB119" s="16"/>
      <c r="AC119" s="16"/>
      <c r="AD119" s="16"/>
      <c r="AE119" s="16"/>
      <c r="AF119" s="16"/>
      <c r="AG119" s="17"/>
      <c r="AH119" s="16"/>
      <c r="AI119" s="16"/>
    </row>
    <row r="120" spans="1:35" s="26" customFormat="1" ht="13.5" customHeight="1">
      <c r="A120" s="187">
        <v>59</v>
      </c>
      <c r="B120" s="50">
        <v>43497</v>
      </c>
      <c r="C120" s="61">
        <f>VLOOKUP(B120,'base(indices)'!$A$4:$C$183,3,FALSE)</f>
        <v>998</v>
      </c>
      <c r="D120" s="192">
        <f>'base(indices)'!G113</f>
        <v>1.1831498</v>
      </c>
      <c r="E120" s="54">
        <f t="shared" ref="E120:E130" si="99">C120*D120</f>
        <v>1180.7835004000001</v>
      </c>
      <c r="F120" s="82">
        <f>'base(indices)'!I113</f>
        <v>0.382741</v>
      </c>
      <c r="G120" s="54">
        <f t="shared" si="60"/>
        <v>451.93425772659646</v>
      </c>
      <c r="H120" s="267">
        <f t="shared" si="61"/>
        <v>1632.7177581265964</v>
      </c>
      <c r="I120" s="277">
        <f t="shared" si="93"/>
        <v>90241.878135370687</v>
      </c>
      <c r="J120" s="58">
        <f>IF((I120)+K120&gt;$I$197,$I$197-K120,(I120))</f>
        <v>76000.758974384822</v>
      </c>
      <c r="K120" s="91">
        <f t="shared" si="63"/>
        <v>8719.2410256151761</v>
      </c>
      <c r="L120" s="284">
        <f t="shared" si="77"/>
        <v>84720</v>
      </c>
      <c r="M120" s="57">
        <f t="shared" si="78"/>
        <v>72200.721025665582</v>
      </c>
      <c r="N120" s="91">
        <f t="shared" si="79"/>
        <v>8283.2789743344165</v>
      </c>
      <c r="O120" s="60">
        <f t="shared" si="80"/>
        <v>80484</v>
      </c>
      <c r="P120" s="58">
        <f>J120*$P$9</f>
        <v>68400.683076946341</v>
      </c>
      <c r="Q120" s="91">
        <f t="shared" si="82"/>
        <v>7847.3169230536587</v>
      </c>
      <c r="R120" s="59">
        <f t="shared" si="96"/>
        <v>76248</v>
      </c>
      <c r="S120" s="57">
        <f t="shared" si="84"/>
        <v>60800.607179507861</v>
      </c>
      <c r="T120" s="91">
        <f t="shared" si="85"/>
        <v>6975.3928204921413</v>
      </c>
      <c r="U120" s="60">
        <f t="shared" si="86"/>
        <v>67776</v>
      </c>
      <c r="V120" s="58">
        <f t="shared" si="87"/>
        <v>53200.531282069373</v>
      </c>
      <c r="W120" s="91">
        <f t="shared" si="88"/>
        <v>6103.4687179306229</v>
      </c>
      <c r="X120" s="59">
        <f t="shared" si="89"/>
        <v>59303.999999999993</v>
      </c>
      <c r="Y120" s="57">
        <f t="shared" si="90"/>
        <v>45600.455384630892</v>
      </c>
      <c r="Z120" s="91">
        <f t="shared" si="91"/>
        <v>5231.5446153691055</v>
      </c>
      <c r="AA120" s="59">
        <f t="shared" si="92"/>
        <v>50832</v>
      </c>
      <c r="AB120" s="32"/>
      <c r="AC120" s="32"/>
      <c r="AD120" s="32"/>
      <c r="AE120" s="32"/>
      <c r="AF120" s="32"/>
      <c r="AG120" s="33"/>
      <c r="AH120" s="32"/>
      <c r="AI120" s="32"/>
    </row>
    <row r="121" spans="1:35" ht="13.5" customHeight="1">
      <c r="A121" s="187">
        <v>58</v>
      </c>
      <c r="B121" s="50">
        <v>43525</v>
      </c>
      <c r="C121" s="61">
        <f>VLOOKUP(B121,'base(indices)'!$A$4:$C$183,3,FALSE)</f>
        <v>998</v>
      </c>
      <c r="D121" s="192">
        <f>'base(indices)'!G114</f>
        <v>1.1791407199999999</v>
      </c>
      <c r="E121" s="63">
        <f t="shared" si="99"/>
        <v>1176.7824385599999</v>
      </c>
      <c r="F121" s="82">
        <f>'base(indices)'!I114</f>
        <v>0.37902599999999997</v>
      </c>
      <c r="G121" s="63">
        <f t="shared" si="60"/>
        <v>446.03114055764252</v>
      </c>
      <c r="H121" s="268">
        <f t="shared" si="61"/>
        <v>1622.8135791176423</v>
      </c>
      <c r="I121" s="278">
        <f t="shared" si="93"/>
        <v>88609.160377244087</v>
      </c>
      <c r="J121" s="119">
        <f>IF((I121)+K121&gt;$I$197,$I$197-K121,(I121))</f>
        <v>76000.758974384822</v>
      </c>
      <c r="K121" s="108">
        <f t="shared" si="63"/>
        <v>8719.2410256151761</v>
      </c>
      <c r="L121" s="46">
        <f t="shared" si="77"/>
        <v>84720</v>
      </c>
      <c r="M121" s="43">
        <f t="shared" si="78"/>
        <v>72200.721025665582</v>
      </c>
      <c r="N121" s="108">
        <f t="shared" si="79"/>
        <v>8283.2789743344165</v>
      </c>
      <c r="O121" s="47">
        <f t="shared" si="80"/>
        <v>80484</v>
      </c>
      <c r="P121" s="119">
        <f>J121*$P$9</f>
        <v>68400.683076946341</v>
      </c>
      <c r="Q121" s="108">
        <f t="shared" si="82"/>
        <v>7847.3169230536587</v>
      </c>
      <c r="R121" s="46">
        <f t="shared" si="96"/>
        <v>76248</v>
      </c>
      <c r="S121" s="43">
        <f t="shared" si="84"/>
        <v>60800.607179507861</v>
      </c>
      <c r="T121" s="108">
        <f t="shared" si="85"/>
        <v>6975.3928204921413</v>
      </c>
      <c r="U121" s="47">
        <f t="shared" si="86"/>
        <v>67776</v>
      </c>
      <c r="V121" s="45">
        <f t="shared" si="87"/>
        <v>53200.531282069373</v>
      </c>
      <c r="W121" s="108">
        <f t="shared" si="88"/>
        <v>6103.4687179306229</v>
      </c>
      <c r="X121" s="46">
        <f t="shared" si="89"/>
        <v>59303.999999999993</v>
      </c>
      <c r="Y121" s="43">
        <f t="shared" si="90"/>
        <v>45600.455384630892</v>
      </c>
      <c r="Z121" s="108">
        <f t="shared" si="91"/>
        <v>5231.5446153691055</v>
      </c>
      <c r="AA121" s="46">
        <f t="shared" si="92"/>
        <v>50832</v>
      </c>
      <c r="AB121" s="16"/>
      <c r="AC121" s="16"/>
      <c r="AD121" s="16"/>
      <c r="AE121" s="16"/>
      <c r="AF121" s="16"/>
      <c r="AG121" s="17"/>
      <c r="AH121" s="16"/>
      <c r="AI121" s="16"/>
    </row>
    <row r="122" spans="1:35" s="26" customFormat="1" ht="13.5" customHeight="1">
      <c r="A122" s="187">
        <v>57</v>
      </c>
      <c r="B122" s="50">
        <v>43556</v>
      </c>
      <c r="C122" s="61">
        <f>VLOOKUP(B122,'base(indices)'!$A$4:$C$183,3,FALSE)</f>
        <v>998</v>
      </c>
      <c r="D122" s="192">
        <f>'base(indices)'!G115</f>
        <v>1.1728075600000001</v>
      </c>
      <c r="E122" s="54">
        <f t="shared" si="99"/>
        <v>1170.4619448800001</v>
      </c>
      <c r="F122" s="82">
        <f>'base(indices)'!I115</f>
        <v>0.37531100000000001</v>
      </c>
      <c r="G122" s="54">
        <f t="shared" si="60"/>
        <v>439.28724299485776</v>
      </c>
      <c r="H122" s="267">
        <f t="shared" si="61"/>
        <v>1609.7491878748579</v>
      </c>
      <c r="I122" s="277">
        <f t="shared" si="93"/>
        <v>86986.34679812644</v>
      </c>
      <c r="J122" s="58">
        <f>IF((I122)+K122&gt;$I$197,$I$197-K122,(I122))</f>
        <v>76000.758974384822</v>
      </c>
      <c r="K122" s="91">
        <f t="shared" si="63"/>
        <v>8719.2410256151761</v>
      </c>
      <c r="L122" s="284">
        <f t="shared" si="77"/>
        <v>84720</v>
      </c>
      <c r="M122" s="57">
        <f t="shared" si="78"/>
        <v>72200.721025665582</v>
      </c>
      <c r="N122" s="91">
        <f t="shared" si="79"/>
        <v>8283.2789743344165</v>
      </c>
      <c r="O122" s="60">
        <f t="shared" si="80"/>
        <v>80484</v>
      </c>
      <c r="P122" s="58">
        <f t="shared" ref="P122:P178" si="100">J122*$P$9</f>
        <v>68400.683076946341</v>
      </c>
      <c r="Q122" s="91">
        <f t="shared" si="82"/>
        <v>7847.3169230536587</v>
      </c>
      <c r="R122" s="59">
        <f>P122+Q122</f>
        <v>76248</v>
      </c>
      <c r="S122" s="57">
        <f t="shared" si="84"/>
        <v>60800.607179507861</v>
      </c>
      <c r="T122" s="91">
        <f t="shared" si="85"/>
        <v>6975.3928204921413</v>
      </c>
      <c r="U122" s="60">
        <f t="shared" si="86"/>
        <v>67776</v>
      </c>
      <c r="V122" s="58">
        <f t="shared" si="87"/>
        <v>53200.531282069373</v>
      </c>
      <c r="W122" s="91">
        <f t="shared" si="88"/>
        <v>6103.4687179306229</v>
      </c>
      <c r="X122" s="59">
        <f t="shared" si="89"/>
        <v>59303.999999999993</v>
      </c>
      <c r="Y122" s="57">
        <f t="shared" si="90"/>
        <v>45600.455384630892</v>
      </c>
      <c r="Z122" s="91">
        <f t="shared" si="91"/>
        <v>5231.5446153691055</v>
      </c>
      <c r="AA122" s="59">
        <f t="shared" si="92"/>
        <v>50832</v>
      </c>
      <c r="AB122" s="32"/>
      <c r="AC122" s="32"/>
      <c r="AD122" s="32"/>
      <c r="AE122" s="32"/>
      <c r="AF122" s="32"/>
      <c r="AG122" s="33"/>
      <c r="AH122" s="32"/>
      <c r="AI122" s="32"/>
    </row>
    <row r="123" spans="1:35" ht="13.5" customHeight="1">
      <c r="A123" s="187">
        <v>56</v>
      </c>
      <c r="B123" s="50">
        <v>43586</v>
      </c>
      <c r="C123" s="61">
        <f>VLOOKUP(B123,'base(indices)'!$A$4:$C$183,3,FALSE)</f>
        <v>998</v>
      </c>
      <c r="D123" s="192">
        <f>'base(indices)'!G116</f>
        <v>1.1644237099999999</v>
      </c>
      <c r="E123" s="63">
        <f t="shared" si="99"/>
        <v>1162.0948625799999</v>
      </c>
      <c r="F123" s="82">
        <f>'base(indices)'!I116</f>
        <v>0.37159599999999998</v>
      </c>
      <c r="G123" s="63">
        <f t="shared" si="60"/>
        <v>431.82980255527764</v>
      </c>
      <c r="H123" s="268">
        <f t="shared" si="61"/>
        <v>1593.9246651352776</v>
      </c>
      <c r="I123" s="278">
        <f t="shared" si="93"/>
        <v>85376.597610251585</v>
      </c>
      <c r="J123" s="119">
        <f t="shared" ref="J123:J130" si="101">IF((I123)+K123&gt;$I$197,$I$197-K123,(I123))</f>
        <v>76000.758974384822</v>
      </c>
      <c r="K123" s="108">
        <f t="shared" si="63"/>
        <v>8719.2410256151761</v>
      </c>
      <c r="L123" s="46">
        <f t="shared" si="77"/>
        <v>84720</v>
      </c>
      <c r="M123" s="43">
        <f t="shared" si="78"/>
        <v>72200.721025665582</v>
      </c>
      <c r="N123" s="108">
        <f t="shared" si="79"/>
        <v>8283.2789743344165</v>
      </c>
      <c r="O123" s="47">
        <f t="shared" si="80"/>
        <v>80484</v>
      </c>
      <c r="P123" s="119">
        <f t="shared" si="100"/>
        <v>68400.683076946341</v>
      </c>
      <c r="Q123" s="108">
        <f t="shared" si="82"/>
        <v>7847.3169230536587</v>
      </c>
      <c r="R123" s="46">
        <f t="shared" ref="R123:R178" si="102">P123+Q123</f>
        <v>76248</v>
      </c>
      <c r="S123" s="43">
        <f t="shared" si="84"/>
        <v>60800.607179507861</v>
      </c>
      <c r="T123" s="108">
        <f t="shared" si="85"/>
        <v>6975.3928204921413</v>
      </c>
      <c r="U123" s="47">
        <f t="shared" si="86"/>
        <v>67776</v>
      </c>
      <c r="V123" s="45">
        <f t="shared" si="87"/>
        <v>53200.531282069373</v>
      </c>
      <c r="W123" s="108">
        <f t="shared" si="88"/>
        <v>6103.4687179306229</v>
      </c>
      <c r="X123" s="46">
        <f t="shared" si="89"/>
        <v>59303.999999999993</v>
      </c>
      <c r="Y123" s="43">
        <f t="shared" si="90"/>
        <v>45600.455384630892</v>
      </c>
      <c r="Z123" s="108">
        <f t="shared" si="91"/>
        <v>5231.5446153691055</v>
      </c>
      <c r="AA123" s="46">
        <f t="shared" si="92"/>
        <v>50832</v>
      </c>
      <c r="AB123" s="16"/>
      <c r="AC123" s="16"/>
      <c r="AD123" s="16"/>
      <c r="AE123" s="16"/>
      <c r="AF123" s="16"/>
      <c r="AG123" s="17"/>
      <c r="AH123" s="16"/>
      <c r="AI123" s="16"/>
    </row>
    <row r="124" spans="1:35" s="26" customFormat="1" ht="13.5" customHeight="1">
      <c r="A124" s="187">
        <v>55</v>
      </c>
      <c r="B124" s="50">
        <v>43617</v>
      </c>
      <c r="C124" s="61">
        <f>VLOOKUP(B124,'base(indices)'!$A$4:$C$183,3,FALSE)</f>
        <v>998</v>
      </c>
      <c r="D124" s="192">
        <f>'base(indices)'!G117</f>
        <v>1.1603624400000001</v>
      </c>
      <c r="E124" s="54">
        <f t="shared" si="99"/>
        <v>1158.0417151200002</v>
      </c>
      <c r="F124" s="82">
        <f>'base(indices)'!I117</f>
        <v>0.36788100000000001</v>
      </c>
      <c r="G124" s="54">
        <f t="shared" si="60"/>
        <v>426.02154420006082</v>
      </c>
      <c r="H124" s="267">
        <f t="shared" si="61"/>
        <v>1584.063259320061</v>
      </c>
      <c r="I124" s="277">
        <f t="shared" si="93"/>
        <v>83782.672945116312</v>
      </c>
      <c r="J124" s="58">
        <f t="shared" si="101"/>
        <v>76000.758974384822</v>
      </c>
      <c r="K124" s="91">
        <f t="shared" si="63"/>
        <v>8719.2410256151761</v>
      </c>
      <c r="L124" s="284">
        <f t="shared" si="77"/>
        <v>84720</v>
      </c>
      <c r="M124" s="57">
        <f t="shared" si="78"/>
        <v>72200.721025665582</v>
      </c>
      <c r="N124" s="91">
        <f t="shared" si="79"/>
        <v>8283.2789743344165</v>
      </c>
      <c r="O124" s="60">
        <f t="shared" si="80"/>
        <v>80484</v>
      </c>
      <c r="P124" s="58">
        <f t="shared" si="100"/>
        <v>68400.683076946341</v>
      </c>
      <c r="Q124" s="91">
        <f t="shared" si="82"/>
        <v>7847.3169230536587</v>
      </c>
      <c r="R124" s="59">
        <f t="shared" si="102"/>
        <v>76248</v>
      </c>
      <c r="S124" s="57">
        <f t="shared" si="84"/>
        <v>60800.607179507861</v>
      </c>
      <c r="T124" s="91">
        <f t="shared" si="85"/>
        <v>6975.3928204921413</v>
      </c>
      <c r="U124" s="60">
        <f t="shared" si="86"/>
        <v>67776</v>
      </c>
      <c r="V124" s="58">
        <f t="shared" si="87"/>
        <v>53200.531282069373</v>
      </c>
      <c r="W124" s="91">
        <f t="shared" si="88"/>
        <v>6103.4687179306229</v>
      </c>
      <c r="X124" s="59">
        <f t="shared" si="89"/>
        <v>59303.999999999993</v>
      </c>
      <c r="Y124" s="57">
        <f t="shared" si="90"/>
        <v>45600.455384630892</v>
      </c>
      <c r="Z124" s="91">
        <f t="shared" si="91"/>
        <v>5231.5446153691055</v>
      </c>
      <c r="AA124" s="59">
        <f t="shared" si="92"/>
        <v>50832</v>
      </c>
      <c r="AB124" s="32"/>
      <c r="AC124" s="32"/>
      <c r="AD124" s="32"/>
      <c r="AE124" s="32"/>
      <c r="AF124" s="32"/>
      <c r="AG124" s="33"/>
      <c r="AH124" s="32"/>
      <c r="AI124" s="32"/>
    </row>
    <row r="125" spans="1:35" ht="13.5" customHeight="1">
      <c r="A125" s="187">
        <v>54</v>
      </c>
      <c r="B125" s="50">
        <v>43647</v>
      </c>
      <c r="C125" s="61">
        <f>VLOOKUP(B125,'base(indices)'!$A$4:$C$183,3,FALSE)</f>
        <v>998</v>
      </c>
      <c r="D125" s="192">
        <f>'base(indices)'!G118</f>
        <v>1.15966664</v>
      </c>
      <c r="E125" s="63">
        <f t="shared" si="99"/>
        <v>1157.34730672</v>
      </c>
      <c r="F125" s="82">
        <f>'base(indices)'!I118</f>
        <v>0.36416599999999999</v>
      </c>
      <c r="G125" s="63">
        <f t="shared" si="60"/>
        <v>421.46653929899549</v>
      </c>
      <c r="H125" s="268">
        <f t="shared" si="61"/>
        <v>1578.8138460189955</v>
      </c>
      <c r="I125" s="278">
        <f t="shared" si="93"/>
        <v>82198.609685796255</v>
      </c>
      <c r="J125" s="119">
        <f t="shared" si="101"/>
        <v>76000.758974384822</v>
      </c>
      <c r="K125" s="108">
        <f t="shared" si="63"/>
        <v>8719.2410256151761</v>
      </c>
      <c r="L125" s="46">
        <f t="shared" si="77"/>
        <v>84720</v>
      </c>
      <c r="M125" s="43">
        <f t="shared" si="78"/>
        <v>72200.721025665582</v>
      </c>
      <c r="N125" s="108">
        <f t="shared" si="79"/>
        <v>8283.2789743344165</v>
      </c>
      <c r="O125" s="47">
        <f t="shared" si="80"/>
        <v>80484</v>
      </c>
      <c r="P125" s="119">
        <f t="shared" si="100"/>
        <v>68400.683076946341</v>
      </c>
      <c r="Q125" s="108">
        <f t="shared" si="82"/>
        <v>7847.3169230536587</v>
      </c>
      <c r="R125" s="46">
        <f t="shared" si="102"/>
        <v>76248</v>
      </c>
      <c r="S125" s="43">
        <f t="shared" si="84"/>
        <v>60800.607179507861</v>
      </c>
      <c r="T125" s="108">
        <f t="shared" si="85"/>
        <v>6975.3928204921413</v>
      </c>
      <c r="U125" s="47">
        <f t="shared" si="86"/>
        <v>67776</v>
      </c>
      <c r="V125" s="45">
        <f t="shared" si="87"/>
        <v>53200.531282069373</v>
      </c>
      <c r="W125" s="108">
        <f t="shared" si="88"/>
        <v>6103.4687179306229</v>
      </c>
      <c r="X125" s="46">
        <f t="shared" si="89"/>
        <v>59303.999999999993</v>
      </c>
      <c r="Y125" s="43">
        <f t="shared" si="90"/>
        <v>45600.455384630892</v>
      </c>
      <c r="Z125" s="108">
        <f t="shared" si="91"/>
        <v>5231.5446153691055</v>
      </c>
      <c r="AA125" s="46">
        <f t="shared" si="92"/>
        <v>50832</v>
      </c>
      <c r="AB125" s="16"/>
      <c r="AC125" s="16"/>
      <c r="AD125" s="16"/>
      <c r="AE125" s="16"/>
      <c r="AF125" s="16"/>
      <c r="AG125" s="17"/>
      <c r="AH125" s="16"/>
      <c r="AI125" s="16"/>
    </row>
    <row r="126" spans="1:35" s="26" customFormat="1" ht="13.5" customHeight="1">
      <c r="A126" s="187">
        <v>53</v>
      </c>
      <c r="B126" s="50">
        <v>43678</v>
      </c>
      <c r="C126" s="61">
        <f>VLOOKUP(B126,'base(indices)'!$A$4:$C$183,3,FALSE)</f>
        <v>998</v>
      </c>
      <c r="D126" s="192">
        <f>'base(indices)'!G119</f>
        <v>1.1586238799999999</v>
      </c>
      <c r="E126" s="54">
        <f t="shared" si="99"/>
        <v>1156.30663224</v>
      </c>
      <c r="F126" s="82">
        <f>'base(indices)'!I119</f>
        <v>0.36045100000000002</v>
      </c>
      <c r="G126" s="54">
        <f t="shared" si="60"/>
        <v>416.79188189754024</v>
      </c>
      <c r="H126" s="267">
        <f t="shared" si="61"/>
        <v>1573.0985141375402</v>
      </c>
      <c r="I126" s="277">
        <f t="shared" si="93"/>
        <v>80619.79583977726</v>
      </c>
      <c r="J126" s="58">
        <f t="shared" si="101"/>
        <v>76000.758974384822</v>
      </c>
      <c r="K126" s="91">
        <f t="shared" si="63"/>
        <v>8719.2410256151761</v>
      </c>
      <c r="L126" s="284">
        <f t="shared" si="77"/>
        <v>84720</v>
      </c>
      <c r="M126" s="57">
        <f t="shared" si="78"/>
        <v>72200.721025665582</v>
      </c>
      <c r="N126" s="91">
        <f t="shared" si="79"/>
        <v>8283.2789743344165</v>
      </c>
      <c r="O126" s="60">
        <f t="shared" si="80"/>
        <v>80484</v>
      </c>
      <c r="P126" s="58">
        <f t="shared" si="100"/>
        <v>68400.683076946341</v>
      </c>
      <c r="Q126" s="91">
        <f t="shared" si="82"/>
        <v>7847.3169230536587</v>
      </c>
      <c r="R126" s="59">
        <f t="shared" si="102"/>
        <v>76248</v>
      </c>
      <c r="S126" s="57">
        <f t="shared" si="84"/>
        <v>60800.607179507861</v>
      </c>
      <c r="T126" s="91">
        <f t="shared" si="85"/>
        <v>6975.3928204921413</v>
      </c>
      <c r="U126" s="60">
        <f t="shared" si="86"/>
        <v>67776</v>
      </c>
      <c r="V126" s="58">
        <f t="shared" si="87"/>
        <v>53200.531282069373</v>
      </c>
      <c r="W126" s="91">
        <f t="shared" si="88"/>
        <v>6103.4687179306229</v>
      </c>
      <c r="X126" s="59">
        <f t="shared" si="89"/>
        <v>59303.999999999993</v>
      </c>
      <c r="Y126" s="57">
        <f t="shared" si="90"/>
        <v>45600.455384630892</v>
      </c>
      <c r="Z126" s="91">
        <f t="shared" si="91"/>
        <v>5231.5446153691055</v>
      </c>
      <c r="AA126" s="59">
        <f t="shared" si="92"/>
        <v>50832</v>
      </c>
      <c r="AB126" s="32"/>
      <c r="AC126" s="32"/>
      <c r="AD126" s="32"/>
      <c r="AE126" s="32"/>
      <c r="AF126" s="32"/>
      <c r="AG126" s="33"/>
      <c r="AH126" s="32"/>
      <c r="AI126" s="32"/>
    </row>
    <row r="127" spans="1:35" ht="13.5" customHeight="1">
      <c r="A127" s="187">
        <v>52</v>
      </c>
      <c r="B127" s="50">
        <v>43709</v>
      </c>
      <c r="C127" s="61">
        <f>VLOOKUP(B127,'base(indices)'!$A$4:$C$183,3,FALSE)</f>
        <v>998</v>
      </c>
      <c r="D127" s="192">
        <f>'base(indices)'!G120</f>
        <v>1.15769772</v>
      </c>
      <c r="E127" s="63">
        <f t="shared" si="99"/>
        <v>1155.3823245600001</v>
      </c>
      <c r="F127" s="82">
        <f>'base(indices)'!I120</f>
        <v>0.35701699999999997</v>
      </c>
      <c r="G127" s="63">
        <f t="shared" si="60"/>
        <v>412.49113136743756</v>
      </c>
      <c r="H127" s="268">
        <f t="shared" si="61"/>
        <v>1567.8734559274376</v>
      </c>
      <c r="I127" s="278">
        <f t="shared" si="93"/>
        <v>79046.697325639718</v>
      </c>
      <c r="J127" s="119">
        <f t="shared" si="101"/>
        <v>76000.758974384822</v>
      </c>
      <c r="K127" s="108">
        <f t="shared" si="63"/>
        <v>8719.2410256151761</v>
      </c>
      <c r="L127" s="46">
        <f t="shared" si="77"/>
        <v>84720</v>
      </c>
      <c r="M127" s="43">
        <f t="shared" si="78"/>
        <v>72200.721025665582</v>
      </c>
      <c r="N127" s="108">
        <f t="shared" si="79"/>
        <v>8283.2789743344165</v>
      </c>
      <c r="O127" s="47">
        <f t="shared" si="80"/>
        <v>80484</v>
      </c>
      <c r="P127" s="119">
        <f t="shared" si="100"/>
        <v>68400.683076946341</v>
      </c>
      <c r="Q127" s="108">
        <f t="shared" si="82"/>
        <v>7847.3169230536587</v>
      </c>
      <c r="R127" s="46">
        <f t="shared" si="102"/>
        <v>76248</v>
      </c>
      <c r="S127" s="43">
        <f t="shared" si="84"/>
        <v>60800.607179507861</v>
      </c>
      <c r="T127" s="108">
        <f t="shared" si="85"/>
        <v>6975.3928204921413</v>
      </c>
      <c r="U127" s="47">
        <f t="shared" si="86"/>
        <v>67776</v>
      </c>
      <c r="V127" s="45">
        <f t="shared" si="87"/>
        <v>53200.531282069373</v>
      </c>
      <c r="W127" s="108">
        <f t="shared" si="88"/>
        <v>6103.4687179306229</v>
      </c>
      <c r="X127" s="46">
        <f t="shared" si="89"/>
        <v>59303.999999999993</v>
      </c>
      <c r="Y127" s="43">
        <f t="shared" si="90"/>
        <v>45600.455384630892</v>
      </c>
      <c r="Z127" s="108">
        <f t="shared" si="91"/>
        <v>5231.5446153691055</v>
      </c>
      <c r="AA127" s="46">
        <f t="shared" si="92"/>
        <v>50832</v>
      </c>
      <c r="AB127" s="16"/>
      <c r="AC127" s="16"/>
      <c r="AD127" s="16"/>
      <c r="AE127" s="16"/>
      <c r="AF127" s="16"/>
      <c r="AG127" s="17"/>
      <c r="AH127" s="16"/>
      <c r="AI127" s="16"/>
    </row>
    <row r="128" spans="1:35" s="26" customFormat="1" ht="13.5" customHeight="1">
      <c r="A128" s="187">
        <v>51</v>
      </c>
      <c r="B128" s="50">
        <v>43739</v>
      </c>
      <c r="C128" s="61">
        <f>VLOOKUP(B128,'base(indices)'!$A$4:$C$183,3,FALSE)</f>
        <v>998</v>
      </c>
      <c r="D128" s="192">
        <f>'base(indices)'!G121</f>
        <v>1.1566567299999999</v>
      </c>
      <c r="E128" s="54">
        <f t="shared" si="99"/>
        <v>1154.3434165399999</v>
      </c>
      <c r="F128" s="82">
        <f>'base(indices)'!I121</f>
        <v>0.35358299999999998</v>
      </c>
      <c r="G128" s="54">
        <f t="shared" si="60"/>
        <v>408.15620825046278</v>
      </c>
      <c r="H128" s="267">
        <f t="shared" si="61"/>
        <v>1562.4996247904628</v>
      </c>
      <c r="I128" s="277">
        <f t="shared" si="93"/>
        <v>77478.823869712287</v>
      </c>
      <c r="J128" s="58">
        <f t="shared" si="101"/>
        <v>76000.758974384822</v>
      </c>
      <c r="K128" s="91">
        <f t="shared" si="63"/>
        <v>8719.2410256151761</v>
      </c>
      <c r="L128" s="284">
        <f t="shared" si="77"/>
        <v>84720</v>
      </c>
      <c r="M128" s="57">
        <f t="shared" si="78"/>
        <v>72200.721025665582</v>
      </c>
      <c r="N128" s="91">
        <f t="shared" si="79"/>
        <v>8283.2789743344165</v>
      </c>
      <c r="O128" s="60">
        <f t="shared" si="80"/>
        <v>80484</v>
      </c>
      <c r="P128" s="58">
        <f t="shared" si="100"/>
        <v>68400.683076946341</v>
      </c>
      <c r="Q128" s="91">
        <f t="shared" si="82"/>
        <v>7847.3169230536587</v>
      </c>
      <c r="R128" s="59">
        <f t="shared" si="102"/>
        <v>76248</v>
      </c>
      <c r="S128" s="57">
        <f t="shared" si="84"/>
        <v>60800.607179507861</v>
      </c>
      <c r="T128" s="91">
        <f t="shared" si="85"/>
        <v>6975.3928204921413</v>
      </c>
      <c r="U128" s="60">
        <f t="shared" si="86"/>
        <v>67776</v>
      </c>
      <c r="V128" s="58">
        <f t="shared" si="87"/>
        <v>53200.531282069373</v>
      </c>
      <c r="W128" s="91">
        <f t="shared" si="88"/>
        <v>6103.4687179306229</v>
      </c>
      <c r="X128" s="59">
        <f t="shared" si="89"/>
        <v>59303.999999999993</v>
      </c>
      <c r="Y128" s="57">
        <f t="shared" si="90"/>
        <v>45600.455384630892</v>
      </c>
      <c r="Z128" s="91">
        <f t="shared" si="91"/>
        <v>5231.5446153691055</v>
      </c>
      <c r="AA128" s="59">
        <f t="shared" si="92"/>
        <v>50832</v>
      </c>
      <c r="AB128" s="32"/>
      <c r="AC128" s="32"/>
      <c r="AD128" s="32"/>
      <c r="AE128" s="32"/>
      <c r="AF128" s="32"/>
      <c r="AG128" s="33"/>
      <c r="AH128" s="32"/>
      <c r="AI128" s="32"/>
    </row>
    <row r="129" spans="1:35" ht="13.5" customHeight="1">
      <c r="A129" s="187">
        <v>50</v>
      </c>
      <c r="B129" s="50">
        <v>43770</v>
      </c>
      <c r="C129" s="61">
        <f>VLOOKUP(B129,'base(indices)'!$A$4:$C$183,3,FALSE)</f>
        <v>998</v>
      </c>
      <c r="D129" s="192">
        <f>'base(indices)'!G122</f>
        <v>1.1556166800000001</v>
      </c>
      <c r="E129" s="63">
        <f t="shared" si="99"/>
        <v>1153.3054466400001</v>
      </c>
      <c r="F129" s="82">
        <f>'base(indices)'!I122</f>
        <v>0.35043000000000002</v>
      </c>
      <c r="G129" s="63">
        <f t="shared" si="60"/>
        <v>404.15282766605526</v>
      </c>
      <c r="H129" s="268">
        <f t="shared" si="61"/>
        <v>1557.4582743060555</v>
      </c>
      <c r="I129" s="278">
        <f t="shared" si="93"/>
        <v>75916.324244921823</v>
      </c>
      <c r="J129" s="119">
        <f t="shared" si="101"/>
        <v>75916.324244921823</v>
      </c>
      <c r="K129" s="108">
        <f t="shared" si="63"/>
        <v>8719.2410256151761</v>
      </c>
      <c r="L129" s="46">
        <f t="shared" si="77"/>
        <v>84635.565270537001</v>
      </c>
      <c r="M129" s="43">
        <f t="shared" si="78"/>
        <v>72120.508032675731</v>
      </c>
      <c r="N129" s="108">
        <f t="shared" si="79"/>
        <v>8283.2789743344165</v>
      </c>
      <c r="O129" s="47">
        <f t="shared" si="80"/>
        <v>80403.787007010149</v>
      </c>
      <c r="P129" s="119">
        <f t="shared" si="100"/>
        <v>68324.691820429638</v>
      </c>
      <c r="Q129" s="108">
        <f t="shared" si="82"/>
        <v>7847.3169230536587</v>
      </c>
      <c r="R129" s="46">
        <f t="shared" si="102"/>
        <v>76172.008743483297</v>
      </c>
      <c r="S129" s="43">
        <f t="shared" si="84"/>
        <v>60733.05939593746</v>
      </c>
      <c r="T129" s="108">
        <f t="shared" si="85"/>
        <v>6975.3928204921413</v>
      </c>
      <c r="U129" s="47">
        <f t="shared" si="86"/>
        <v>67708.452216429607</v>
      </c>
      <c r="V129" s="45">
        <f t="shared" si="87"/>
        <v>53141.426971445275</v>
      </c>
      <c r="W129" s="108">
        <f t="shared" si="88"/>
        <v>6103.4687179306229</v>
      </c>
      <c r="X129" s="46">
        <f t="shared" si="89"/>
        <v>59244.895689375895</v>
      </c>
      <c r="Y129" s="43">
        <f t="shared" si="90"/>
        <v>45549.79454695309</v>
      </c>
      <c r="Z129" s="108">
        <f t="shared" si="91"/>
        <v>5231.5446153691055</v>
      </c>
      <c r="AA129" s="46">
        <f t="shared" si="92"/>
        <v>50781.339162322198</v>
      </c>
      <c r="AB129" s="16"/>
      <c r="AC129" s="16"/>
      <c r="AD129" s="16"/>
      <c r="AE129" s="16"/>
      <c r="AF129" s="16"/>
      <c r="AG129" s="17"/>
      <c r="AH129" s="16"/>
      <c r="AI129" s="16"/>
    </row>
    <row r="130" spans="1:35" s="26" customFormat="1" ht="13.5" customHeight="1" thickBot="1">
      <c r="A130" s="305">
        <v>49</v>
      </c>
      <c r="B130" s="68">
        <v>43800</v>
      </c>
      <c r="C130" s="61">
        <f>VLOOKUP(B130,'base(indices)'!$A$4:$C$183,3,FALSE)</f>
        <v>998</v>
      </c>
      <c r="D130" s="335">
        <f>'base(indices)'!G123</f>
        <v>1.15400108</v>
      </c>
      <c r="E130" s="163">
        <f t="shared" si="99"/>
        <v>1151.6930778400001</v>
      </c>
      <c r="F130" s="304">
        <f>'base(indices)'!I123</f>
        <v>0.34755900000000001</v>
      </c>
      <c r="G130" s="163">
        <f t="shared" si="60"/>
        <v>400.28129444099261</v>
      </c>
      <c r="H130" s="355">
        <f t="shared" si="61"/>
        <v>1551.9743722809926</v>
      </c>
      <c r="I130" s="279">
        <f t="shared" si="93"/>
        <v>74358.865970615763</v>
      </c>
      <c r="J130" s="58">
        <f t="shared" si="101"/>
        <v>74358.865970615763</v>
      </c>
      <c r="K130" s="202">
        <f t="shared" si="63"/>
        <v>8719.2410256151761</v>
      </c>
      <c r="L130" s="286">
        <f t="shared" si="77"/>
        <v>83078.106996230941</v>
      </c>
      <c r="M130" s="282">
        <f t="shared" si="78"/>
        <v>70640.922672084969</v>
      </c>
      <c r="N130" s="202">
        <f t="shared" si="79"/>
        <v>8283.2789743344165</v>
      </c>
      <c r="O130" s="289">
        <f t="shared" si="80"/>
        <v>78924.201646419388</v>
      </c>
      <c r="P130" s="285">
        <f t="shared" si="100"/>
        <v>66922.97937355419</v>
      </c>
      <c r="Q130" s="202">
        <f t="shared" si="82"/>
        <v>7847.3169230536587</v>
      </c>
      <c r="R130" s="203">
        <f t="shared" si="102"/>
        <v>74770.296296607848</v>
      </c>
      <c r="S130" s="282">
        <f t="shared" si="84"/>
        <v>59487.092776492616</v>
      </c>
      <c r="T130" s="202">
        <f t="shared" si="85"/>
        <v>6975.3928204921413</v>
      </c>
      <c r="U130" s="289">
        <f t="shared" si="86"/>
        <v>66462.485596984756</v>
      </c>
      <c r="V130" s="285">
        <f t="shared" si="87"/>
        <v>52051.206179431028</v>
      </c>
      <c r="W130" s="202">
        <f t="shared" si="88"/>
        <v>6103.4687179306229</v>
      </c>
      <c r="X130" s="203">
        <f t="shared" si="89"/>
        <v>58154.674897361649</v>
      </c>
      <c r="Y130" s="282">
        <f t="shared" si="90"/>
        <v>44615.319582369455</v>
      </c>
      <c r="Z130" s="202">
        <f t="shared" si="91"/>
        <v>5231.5446153691055</v>
      </c>
      <c r="AA130" s="203">
        <f t="shared" si="92"/>
        <v>49846.864197738563</v>
      </c>
      <c r="AB130" s="32"/>
      <c r="AC130" s="32"/>
      <c r="AD130" s="32"/>
      <c r="AE130" s="32"/>
      <c r="AF130" s="32"/>
      <c r="AG130" s="33"/>
      <c r="AH130" s="32"/>
      <c r="AI130" s="32"/>
    </row>
    <row r="131" spans="1:35" ht="13.5" customHeight="1">
      <c r="A131" s="190">
        <v>48</v>
      </c>
      <c r="B131" s="246">
        <v>43831</v>
      </c>
      <c r="C131" s="120">
        <f>VLOOKUP(B131,'base(indices)'!$A$4:$C$183,3,FALSE)</f>
        <v>1039</v>
      </c>
      <c r="D131" s="193">
        <f>'base(indices)'!G124</f>
        <v>1.1420099699999999</v>
      </c>
      <c r="E131" s="78">
        <f>C131*D131</f>
        <v>1186.5483588299999</v>
      </c>
      <c r="F131" s="79">
        <f>'base(indices)'!I124</f>
        <v>0.34468799999999999</v>
      </c>
      <c r="G131" s="78">
        <f t="shared" si="60"/>
        <v>408.98898070839499</v>
      </c>
      <c r="H131" s="266">
        <f t="shared" si="61"/>
        <v>1595.5373395383949</v>
      </c>
      <c r="I131" s="276">
        <f t="shared" si="93"/>
        <v>72806.891598334769</v>
      </c>
      <c r="J131" s="48">
        <f>IF((I131)+K131&gt;$I$97,$I$197-K131,(I131))</f>
        <v>72806.891598334769</v>
      </c>
      <c r="K131" s="109">
        <f t="shared" si="63"/>
        <v>8719.2410256151761</v>
      </c>
      <c r="L131" s="49">
        <f t="shared" si="77"/>
        <v>81526.132623949947</v>
      </c>
      <c r="M131" s="138">
        <f t="shared" si="78"/>
        <v>69166.54701841803</v>
      </c>
      <c r="N131" s="109">
        <f t="shared" si="79"/>
        <v>8283.2789743344165</v>
      </c>
      <c r="O131" s="139">
        <f t="shared" si="80"/>
        <v>77449.825992752449</v>
      </c>
      <c r="P131" s="291">
        <f t="shared" si="100"/>
        <v>65526.202438501292</v>
      </c>
      <c r="Q131" s="109">
        <f t="shared" si="82"/>
        <v>7847.3169230536587</v>
      </c>
      <c r="R131" s="49">
        <f t="shared" si="102"/>
        <v>73373.519361554951</v>
      </c>
      <c r="S131" s="138">
        <f t="shared" si="84"/>
        <v>58245.513278667815</v>
      </c>
      <c r="T131" s="109">
        <f t="shared" si="85"/>
        <v>6975.3928204921413</v>
      </c>
      <c r="U131" s="139">
        <f t="shared" si="86"/>
        <v>65220.906099159954</v>
      </c>
      <c r="V131" s="48">
        <f t="shared" si="87"/>
        <v>50964.824118834338</v>
      </c>
      <c r="W131" s="109">
        <f t="shared" si="88"/>
        <v>6103.4687179306229</v>
      </c>
      <c r="X131" s="49">
        <f t="shared" si="89"/>
        <v>57068.292836764958</v>
      </c>
      <c r="Y131" s="138">
        <f t="shared" si="90"/>
        <v>43684.134959000861</v>
      </c>
      <c r="Z131" s="109">
        <f t="shared" si="91"/>
        <v>5231.5446153691055</v>
      </c>
      <c r="AA131" s="49">
        <f t="shared" si="92"/>
        <v>48915.679574369969</v>
      </c>
      <c r="AB131" s="16"/>
      <c r="AC131" s="16"/>
      <c r="AD131" s="16"/>
      <c r="AE131" s="16"/>
      <c r="AF131" s="16"/>
      <c r="AG131" s="17"/>
      <c r="AH131" s="16"/>
      <c r="AI131" s="16"/>
    </row>
    <row r="132" spans="1:35" s="26" customFormat="1" ht="13.5" customHeight="1">
      <c r="A132" s="187">
        <v>47</v>
      </c>
      <c r="B132" s="50">
        <v>43862</v>
      </c>
      <c r="C132" s="61">
        <f>VLOOKUP(B132,'base(indices)'!$A$4:$C$183,3,FALSE)</f>
        <v>1045</v>
      </c>
      <c r="D132" s="192">
        <f>'base(indices)'!G125</f>
        <v>1.1339588599999999</v>
      </c>
      <c r="E132" s="54">
        <f t="shared" ref="E132:E142" si="103">C132*D132</f>
        <v>1184.9870086999999</v>
      </c>
      <c r="F132" s="82">
        <f>'base(indices)'!I125</f>
        <v>0.34210000000000002</v>
      </c>
      <c r="G132" s="54">
        <f t="shared" si="60"/>
        <v>405.38405567627001</v>
      </c>
      <c r="H132" s="267">
        <f t="shared" si="61"/>
        <v>1590.3710643762699</v>
      </c>
      <c r="I132" s="277">
        <f t="shared" si="93"/>
        <v>71211.354258796375</v>
      </c>
      <c r="J132" s="58">
        <f>IF((I132)+K132&gt;$I$197,$I$197-K132,(I132))</f>
        <v>71211.354258796375</v>
      </c>
      <c r="K132" s="91">
        <f t="shared" si="63"/>
        <v>8719.2410256151761</v>
      </c>
      <c r="L132" s="284">
        <f t="shared" si="77"/>
        <v>79930.595284411553</v>
      </c>
      <c r="M132" s="57">
        <f t="shared" si="78"/>
        <v>67650.78654585655</v>
      </c>
      <c r="N132" s="91">
        <f t="shared" si="79"/>
        <v>8283.2789743344165</v>
      </c>
      <c r="O132" s="60">
        <f t="shared" si="80"/>
        <v>75934.065520190969</v>
      </c>
      <c r="P132" s="58">
        <f t="shared" si="100"/>
        <v>64090.21883291674</v>
      </c>
      <c r="Q132" s="91">
        <f t="shared" si="82"/>
        <v>7847.3169230536587</v>
      </c>
      <c r="R132" s="59">
        <f t="shared" si="102"/>
        <v>71937.535755970399</v>
      </c>
      <c r="S132" s="57">
        <f t="shared" si="84"/>
        <v>56969.083407037106</v>
      </c>
      <c r="T132" s="91">
        <f t="shared" si="85"/>
        <v>6975.3928204921413</v>
      </c>
      <c r="U132" s="60">
        <f t="shared" si="86"/>
        <v>63944.476227529245</v>
      </c>
      <c r="V132" s="58">
        <f t="shared" si="87"/>
        <v>49847.947981157457</v>
      </c>
      <c r="W132" s="91">
        <f t="shared" si="88"/>
        <v>6103.4687179306229</v>
      </c>
      <c r="X132" s="59">
        <f t="shared" si="89"/>
        <v>55951.416699088077</v>
      </c>
      <c r="Y132" s="57">
        <f t="shared" si="90"/>
        <v>42726.812555277822</v>
      </c>
      <c r="Z132" s="91">
        <f t="shared" si="91"/>
        <v>5231.5446153691055</v>
      </c>
      <c r="AA132" s="59">
        <f t="shared" si="92"/>
        <v>47958.35717064693</v>
      </c>
      <c r="AB132" s="32"/>
      <c r="AC132" s="32"/>
      <c r="AD132" s="32"/>
      <c r="AE132" s="32"/>
      <c r="AF132" s="32"/>
      <c r="AG132" s="33"/>
      <c r="AH132" s="32"/>
      <c r="AI132" s="32"/>
    </row>
    <row r="133" spans="1:35" ht="13.5" customHeight="1">
      <c r="A133" s="187">
        <v>46</v>
      </c>
      <c r="B133" s="50">
        <v>43891</v>
      </c>
      <c r="C133" s="61">
        <f>VLOOKUP(B133,'base(indices)'!$A$4:$C$183,3,FALSE)</f>
        <v>1045</v>
      </c>
      <c r="D133" s="192">
        <f>'base(indices)'!G126</f>
        <v>1.13146963</v>
      </c>
      <c r="E133" s="63">
        <f t="shared" si="103"/>
        <v>1182.3857633499999</v>
      </c>
      <c r="F133" s="82">
        <f>'base(indices)'!I126</f>
        <v>0.33951199999999998</v>
      </c>
      <c r="G133" s="63">
        <f t="shared" si="60"/>
        <v>401.43415528648518</v>
      </c>
      <c r="H133" s="268">
        <f t="shared" si="61"/>
        <v>1583.819918636485</v>
      </c>
      <c r="I133" s="278">
        <f t="shared" si="93"/>
        <v>69620.9831944201</v>
      </c>
      <c r="J133" s="119">
        <f>IF((I133)+K133&gt;$I$197,$I$197-K133,(I133))</f>
        <v>69620.9831944201</v>
      </c>
      <c r="K133" s="108">
        <f t="shared" si="63"/>
        <v>8719.2410256151761</v>
      </c>
      <c r="L133" s="46">
        <f t="shared" si="77"/>
        <v>78340.224220035278</v>
      </c>
      <c r="M133" s="43">
        <f t="shared" si="78"/>
        <v>66139.934034699094</v>
      </c>
      <c r="N133" s="108">
        <f t="shared" si="79"/>
        <v>8283.2789743344165</v>
      </c>
      <c r="O133" s="47">
        <f t="shared" si="80"/>
        <v>74423.213009033512</v>
      </c>
      <c r="P133" s="119">
        <f t="shared" si="100"/>
        <v>62658.884874978088</v>
      </c>
      <c r="Q133" s="108">
        <f t="shared" si="82"/>
        <v>7847.3169230536587</v>
      </c>
      <c r="R133" s="46">
        <f t="shared" si="102"/>
        <v>70506.201798031747</v>
      </c>
      <c r="S133" s="43">
        <f t="shared" si="84"/>
        <v>55696.786555536084</v>
      </c>
      <c r="T133" s="108">
        <f t="shared" si="85"/>
        <v>6975.3928204921413</v>
      </c>
      <c r="U133" s="47">
        <f t="shared" si="86"/>
        <v>62672.179376028223</v>
      </c>
      <c r="V133" s="45">
        <f t="shared" si="87"/>
        <v>48734.688236094065</v>
      </c>
      <c r="W133" s="108">
        <f t="shared" si="88"/>
        <v>6103.4687179306229</v>
      </c>
      <c r="X133" s="46">
        <f t="shared" si="89"/>
        <v>54838.156954024686</v>
      </c>
      <c r="Y133" s="43">
        <f t="shared" si="90"/>
        <v>41772.589916652061</v>
      </c>
      <c r="Z133" s="108">
        <f t="shared" si="91"/>
        <v>5231.5446153691055</v>
      </c>
      <c r="AA133" s="46">
        <f t="shared" si="92"/>
        <v>47004.134532021169</v>
      </c>
      <c r="AB133" s="16"/>
      <c r="AC133" s="16"/>
      <c r="AD133" s="16"/>
      <c r="AE133" s="16"/>
      <c r="AF133" s="16"/>
      <c r="AG133" s="17"/>
      <c r="AH133" s="16"/>
      <c r="AI133" s="16"/>
    </row>
    <row r="134" spans="1:35" s="26" customFormat="1" ht="13.5" customHeight="1">
      <c r="A134" s="187">
        <v>45</v>
      </c>
      <c r="B134" s="50">
        <v>43922</v>
      </c>
      <c r="C134" s="61">
        <f>VLOOKUP(B134,'base(indices)'!$A$4:$C$183,3,FALSE)</f>
        <v>1045</v>
      </c>
      <c r="D134" s="192">
        <f>'base(indices)'!G127</f>
        <v>1.1312433799999999</v>
      </c>
      <c r="E134" s="54">
        <f t="shared" si="103"/>
        <v>1182.1493320999998</v>
      </c>
      <c r="F134" s="82">
        <f>'base(indices)'!I127</f>
        <v>0.33706599999999998</v>
      </c>
      <c r="G134" s="54">
        <f t="shared" si="60"/>
        <v>398.46234677361849</v>
      </c>
      <c r="H134" s="267">
        <f t="shared" si="61"/>
        <v>1580.6116788736183</v>
      </c>
      <c r="I134" s="277">
        <f t="shared" si="93"/>
        <v>68037.16327578362</v>
      </c>
      <c r="J134" s="58">
        <f>IF((I134)+K134&gt;$I$197,$I$197-K134,(I134))</f>
        <v>68037.16327578362</v>
      </c>
      <c r="K134" s="91">
        <f t="shared" si="63"/>
        <v>8719.2410256151761</v>
      </c>
      <c r="L134" s="284">
        <f t="shared" si="77"/>
        <v>76756.404301398798</v>
      </c>
      <c r="M134" s="57">
        <f t="shared" si="78"/>
        <v>64635.305111994436</v>
      </c>
      <c r="N134" s="91">
        <f t="shared" si="79"/>
        <v>8283.2789743344165</v>
      </c>
      <c r="O134" s="60">
        <f t="shared" si="80"/>
        <v>72918.584086328847</v>
      </c>
      <c r="P134" s="58">
        <f t="shared" si="100"/>
        <v>61233.446948205259</v>
      </c>
      <c r="Q134" s="91">
        <f t="shared" si="82"/>
        <v>7847.3169230536587</v>
      </c>
      <c r="R134" s="59">
        <f t="shared" si="102"/>
        <v>69080.763871258911</v>
      </c>
      <c r="S134" s="57">
        <f t="shared" si="84"/>
        <v>54429.730620626899</v>
      </c>
      <c r="T134" s="91">
        <f t="shared" si="85"/>
        <v>6975.3928204921413</v>
      </c>
      <c r="U134" s="60">
        <f t="shared" si="86"/>
        <v>61405.123441119038</v>
      </c>
      <c r="V134" s="58">
        <f t="shared" si="87"/>
        <v>47626.014293048531</v>
      </c>
      <c r="W134" s="91">
        <f t="shared" si="88"/>
        <v>6103.4687179306229</v>
      </c>
      <c r="X134" s="59">
        <f t="shared" si="89"/>
        <v>53729.483010979151</v>
      </c>
      <c r="Y134" s="57">
        <f t="shared" si="90"/>
        <v>40822.29796547017</v>
      </c>
      <c r="Z134" s="91">
        <f t="shared" si="91"/>
        <v>5231.5446153691055</v>
      </c>
      <c r="AA134" s="59">
        <f t="shared" si="92"/>
        <v>46053.842580839279</v>
      </c>
      <c r="AB134" s="32"/>
      <c r="AC134" s="32"/>
      <c r="AD134" s="32"/>
      <c r="AE134" s="32"/>
      <c r="AF134" s="32"/>
      <c r="AG134" s="33"/>
      <c r="AH134" s="32"/>
      <c r="AI134" s="32"/>
    </row>
    <row r="135" spans="1:35" ht="13.5" customHeight="1">
      <c r="A135" s="187">
        <v>44</v>
      </c>
      <c r="B135" s="50">
        <v>43952</v>
      </c>
      <c r="C135" s="61">
        <f>VLOOKUP(B135,'base(indices)'!$A$4:$C$183,3,FALSE)</f>
        <v>1045</v>
      </c>
      <c r="D135" s="192">
        <f>'base(indices)'!G128</f>
        <v>1.13135652</v>
      </c>
      <c r="E135" s="63">
        <f t="shared" si="103"/>
        <v>1182.2675634</v>
      </c>
      <c r="F135" s="82">
        <f>'base(indices)'!I128</f>
        <v>0.33490399999999998</v>
      </c>
      <c r="G135" s="63">
        <f t="shared" si="60"/>
        <v>395.94613605291357</v>
      </c>
      <c r="H135" s="268">
        <f t="shared" si="61"/>
        <v>1578.2136994529135</v>
      </c>
      <c r="I135" s="278">
        <f t="shared" si="93"/>
        <v>66456.551596909994</v>
      </c>
      <c r="J135" s="119">
        <f t="shared" ref="J135:J142" si="104">IF((I135)+K135&gt;$I$197,$I$197-K135,(I135))</f>
        <v>66456.551596909994</v>
      </c>
      <c r="K135" s="108">
        <f t="shared" si="63"/>
        <v>8719.2410256151761</v>
      </c>
      <c r="L135" s="46">
        <f t="shared" si="77"/>
        <v>75175.792622525172</v>
      </c>
      <c r="M135" s="43">
        <f t="shared" si="78"/>
        <v>63133.724017064495</v>
      </c>
      <c r="N135" s="108">
        <f t="shared" si="79"/>
        <v>8283.2789743344165</v>
      </c>
      <c r="O135" s="47">
        <f t="shared" si="80"/>
        <v>71417.002991398913</v>
      </c>
      <c r="P135" s="119">
        <f t="shared" si="100"/>
        <v>59810.896437218995</v>
      </c>
      <c r="Q135" s="108">
        <f t="shared" si="82"/>
        <v>7847.3169230536587</v>
      </c>
      <c r="R135" s="46">
        <f t="shared" si="102"/>
        <v>67658.213360272654</v>
      </c>
      <c r="S135" s="43">
        <f t="shared" si="84"/>
        <v>53165.241277527995</v>
      </c>
      <c r="T135" s="108">
        <f t="shared" si="85"/>
        <v>6975.3928204921413</v>
      </c>
      <c r="U135" s="47">
        <f t="shared" si="86"/>
        <v>60140.634098020135</v>
      </c>
      <c r="V135" s="45">
        <f t="shared" si="87"/>
        <v>46519.586117836996</v>
      </c>
      <c r="W135" s="108">
        <f t="shared" si="88"/>
        <v>6103.4687179306229</v>
      </c>
      <c r="X135" s="46">
        <f t="shared" si="89"/>
        <v>52623.054835767616</v>
      </c>
      <c r="Y135" s="43">
        <f t="shared" si="90"/>
        <v>39873.930958145997</v>
      </c>
      <c r="Z135" s="108">
        <f t="shared" si="91"/>
        <v>5231.5446153691055</v>
      </c>
      <c r="AA135" s="46">
        <f t="shared" si="92"/>
        <v>45105.475573515105</v>
      </c>
      <c r="AB135" s="16"/>
      <c r="AC135" s="16"/>
      <c r="AD135" s="16"/>
      <c r="AE135" s="16"/>
      <c r="AF135" s="16"/>
      <c r="AG135" s="17"/>
      <c r="AH135" s="16"/>
      <c r="AI135" s="16"/>
    </row>
    <row r="136" spans="1:35" s="26" customFormat="1" ht="13.5" customHeight="1">
      <c r="A136" s="187">
        <v>43</v>
      </c>
      <c r="B136" s="50">
        <v>43983</v>
      </c>
      <c r="C136" s="61">
        <f>VLOOKUP(B136,'base(indices)'!$A$4:$C$183,3,FALSE)</f>
        <v>1045</v>
      </c>
      <c r="D136" s="192">
        <f>'base(indices)'!G129</f>
        <v>1.1380711400000001</v>
      </c>
      <c r="E136" s="54">
        <f t="shared" si="103"/>
        <v>1189.2843413000001</v>
      </c>
      <c r="F136" s="82">
        <f>'base(indices)'!I129</f>
        <v>0.33274199999999998</v>
      </c>
      <c r="G136" s="54">
        <f t="shared" si="60"/>
        <v>395.72485029284462</v>
      </c>
      <c r="H136" s="267">
        <f t="shared" si="61"/>
        <v>1585.0091915928447</v>
      </c>
      <c r="I136" s="277">
        <f t="shared" si="93"/>
        <v>64878.337897457081</v>
      </c>
      <c r="J136" s="58">
        <f t="shared" si="104"/>
        <v>64878.337897457081</v>
      </c>
      <c r="K136" s="91">
        <f t="shared" si="63"/>
        <v>8719.2410256151761</v>
      </c>
      <c r="L136" s="284">
        <f t="shared" si="77"/>
        <v>73597.578923072258</v>
      </c>
      <c r="M136" s="57">
        <f t="shared" si="78"/>
        <v>61634.421002584226</v>
      </c>
      <c r="N136" s="91">
        <f t="shared" si="79"/>
        <v>8283.2789743344165</v>
      </c>
      <c r="O136" s="60">
        <f t="shared" si="80"/>
        <v>69917.699976918637</v>
      </c>
      <c r="P136" s="58">
        <f t="shared" si="100"/>
        <v>58390.504107711371</v>
      </c>
      <c r="Q136" s="91">
        <f t="shared" si="82"/>
        <v>7847.3169230536587</v>
      </c>
      <c r="R136" s="59">
        <f t="shared" si="102"/>
        <v>66237.82103076503</v>
      </c>
      <c r="S136" s="57">
        <f t="shared" si="84"/>
        <v>51902.670317965669</v>
      </c>
      <c r="T136" s="91">
        <f t="shared" si="85"/>
        <v>6975.3928204921413</v>
      </c>
      <c r="U136" s="60">
        <f t="shared" si="86"/>
        <v>58878.063138457808</v>
      </c>
      <c r="V136" s="58">
        <f t="shared" si="87"/>
        <v>45414.836528219952</v>
      </c>
      <c r="W136" s="91">
        <f t="shared" si="88"/>
        <v>6103.4687179306229</v>
      </c>
      <c r="X136" s="59">
        <f t="shared" si="89"/>
        <v>51518.305246150572</v>
      </c>
      <c r="Y136" s="57">
        <f t="shared" si="90"/>
        <v>38927.00273847425</v>
      </c>
      <c r="Z136" s="91">
        <f t="shared" si="91"/>
        <v>5231.5446153691055</v>
      </c>
      <c r="AA136" s="59">
        <f t="shared" si="92"/>
        <v>44158.547353843358</v>
      </c>
      <c r="AB136" s="32"/>
      <c r="AC136" s="32"/>
      <c r="AD136" s="32"/>
      <c r="AE136" s="32"/>
      <c r="AF136" s="32"/>
      <c r="AG136" s="33"/>
      <c r="AH136" s="32"/>
      <c r="AI136" s="32"/>
    </row>
    <row r="137" spans="1:35" ht="13.5" customHeight="1">
      <c r="A137" s="187">
        <v>42</v>
      </c>
      <c r="B137" s="50">
        <v>44013</v>
      </c>
      <c r="C137" s="61">
        <f>VLOOKUP(B137,'base(indices)'!$A$4:$C$183,3,FALSE)</f>
        <v>1045</v>
      </c>
      <c r="D137" s="192">
        <f>'base(indices)'!G130</f>
        <v>1.13784357</v>
      </c>
      <c r="E137" s="63">
        <f t="shared" si="103"/>
        <v>1189.04653065</v>
      </c>
      <c r="F137" s="82">
        <f>'base(indices)'!I130</f>
        <v>0.331009</v>
      </c>
      <c r="G137" s="63">
        <f t="shared" si="60"/>
        <v>393.58510306392583</v>
      </c>
      <c r="H137" s="268">
        <f t="shared" si="61"/>
        <v>1582.6316337139258</v>
      </c>
      <c r="I137" s="278">
        <f t="shared" si="93"/>
        <v>63293.328705864238</v>
      </c>
      <c r="J137" s="119">
        <f t="shared" si="104"/>
        <v>63293.328705864238</v>
      </c>
      <c r="K137" s="108">
        <f t="shared" si="63"/>
        <v>8719.2410256151761</v>
      </c>
      <c r="L137" s="46">
        <f t="shared" si="77"/>
        <v>72012.569731479409</v>
      </c>
      <c r="M137" s="43">
        <f t="shared" si="78"/>
        <v>60128.662270571025</v>
      </c>
      <c r="N137" s="108">
        <f t="shared" si="79"/>
        <v>8283.2789743344165</v>
      </c>
      <c r="O137" s="47">
        <f t="shared" si="80"/>
        <v>68411.941244905436</v>
      </c>
      <c r="P137" s="119">
        <f t="shared" si="100"/>
        <v>56963.995835277812</v>
      </c>
      <c r="Q137" s="108">
        <f t="shared" si="82"/>
        <v>7847.3169230536587</v>
      </c>
      <c r="R137" s="46">
        <f t="shared" si="102"/>
        <v>64811.312758331471</v>
      </c>
      <c r="S137" s="43">
        <f t="shared" si="84"/>
        <v>50634.662964691393</v>
      </c>
      <c r="T137" s="108">
        <f t="shared" si="85"/>
        <v>6975.3928204921413</v>
      </c>
      <c r="U137" s="47">
        <f t="shared" si="86"/>
        <v>57610.055785183533</v>
      </c>
      <c r="V137" s="45">
        <f t="shared" si="87"/>
        <v>44305.330094104967</v>
      </c>
      <c r="W137" s="108">
        <f t="shared" si="88"/>
        <v>6103.4687179306229</v>
      </c>
      <c r="X137" s="46">
        <f t="shared" si="89"/>
        <v>50408.798812035588</v>
      </c>
      <c r="Y137" s="43">
        <f t="shared" si="90"/>
        <v>37975.997223518541</v>
      </c>
      <c r="Z137" s="108">
        <f t="shared" si="91"/>
        <v>5231.5446153691055</v>
      </c>
      <c r="AA137" s="46">
        <f t="shared" si="92"/>
        <v>43207.54183888765</v>
      </c>
      <c r="AB137" s="16"/>
      <c r="AC137" s="16"/>
      <c r="AD137" s="16"/>
      <c r="AE137" s="16"/>
      <c r="AF137" s="16"/>
      <c r="AG137" s="17"/>
      <c r="AH137" s="16"/>
      <c r="AI137" s="16"/>
    </row>
    <row r="138" spans="1:35" s="26" customFormat="1" ht="13.5" customHeight="1">
      <c r="A138" s="187">
        <v>41</v>
      </c>
      <c r="B138" s="50">
        <v>44044</v>
      </c>
      <c r="C138" s="61">
        <f>VLOOKUP(B138,'base(indices)'!$A$4:$C$183,3,FALSE)</f>
        <v>1045</v>
      </c>
      <c r="D138" s="192">
        <f>'base(indices)'!G131</f>
        <v>1.1344402499999999</v>
      </c>
      <c r="E138" s="54">
        <f t="shared" si="103"/>
        <v>1185.4900612499998</v>
      </c>
      <c r="F138" s="82">
        <f>'base(indices)'!I131</f>
        <v>0.329706</v>
      </c>
      <c r="G138" s="54">
        <f t="shared" si="60"/>
        <v>390.86318613449242</v>
      </c>
      <c r="H138" s="267">
        <f t="shared" si="61"/>
        <v>1576.3532473844923</v>
      </c>
      <c r="I138" s="277">
        <f t="shared" si="93"/>
        <v>61710.697072150309</v>
      </c>
      <c r="J138" s="58">
        <f t="shared" si="104"/>
        <v>61710.697072150309</v>
      </c>
      <c r="K138" s="91">
        <f t="shared" si="63"/>
        <v>8719.2410256151761</v>
      </c>
      <c r="L138" s="284">
        <f t="shared" si="77"/>
        <v>70429.93809776548</v>
      </c>
      <c r="M138" s="57">
        <f t="shared" si="78"/>
        <v>58625.162218542791</v>
      </c>
      <c r="N138" s="91">
        <f t="shared" si="79"/>
        <v>8283.2789743344165</v>
      </c>
      <c r="O138" s="60">
        <f t="shared" si="80"/>
        <v>66908.441192877202</v>
      </c>
      <c r="P138" s="58">
        <f t="shared" si="100"/>
        <v>55539.627364935281</v>
      </c>
      <c r="Q138" s="91">
        <f t="shared" si="82"/>
        <v>7847.3169230536587</v>
      </c>
      <c r="R138" s="59">
        <f t="shared" si="102"/>
        <v>63386.944287988939</v>
      </c>
      <c r="S138" s="57">
        <f t="shared" si="84"/>
        <v>49368.557657720252</v>
      </c>
      <c r="T138" s="91">
        <f t="shared" si="85"/>
        <v>6975.3928204921413</v>
      </c>
      <c r="U138" s="60">
        <f t="shared" si="86"/>
        <v>56343.950478212391</v>
      </c>
      <c r="V138" s="58">
        <f t="shared" si="87"/>
        <v>43197.487950505216</v>
      </c>
      <c r="W138" s="91">
        <f t="shared" si="88"/>
        <v>6103.4687179306229</v>
      </c>
      <c r="X138" s="59">
        <f t="shared" si="89"/>
        <v>49300.956668435836</v>
      </c>
      <c r="Y138" s="57">
        <f t="shared" si="90"/>
        <v>37026.418243290187</v>
      </c>
      <c r="Z138" s="91">
        <f t="shared" si="91"/>
        <v>5231.5446153691055</v>
      </c>
      <c r="AA138" s="59">
        <f t="shared" si="92"/>
        <v>42257.962858659295</v>
      </c>
      <c r="AB138" s="32"/>
      <c r="AC138" s="32"/>
      <c r="AD138" s="32"/>
      <c r="AE138" s="32"/>
      <c r="AF138" s="32"/>
      <c r="AG138" s="33"/>
      <c r="AH138" s="32"/>
      <c r="AI138" s="32"/>
    </row>
    <row r="139" spans="1:35" ht="13.5" customHeight="1">
      <c r="A139" s="187">
        <v>40</v>
      </c>
      <c r="B139" s="50">
        <v>44075</v>
      </c>
      <c r="C139" s="61">
        <f>VLOOKUP(B139,'base(indices)'!$A$4:$C$183,3,FALSE)</f>
        <v>1045</v>
      </c>
      <c r="D139" s="192">
        <f>'base(indices)'!G132</f>
        <v>1.1318370200000001</v>
      </c>
      <c r="E139" s="63">
        <f t="shared" si="103"/>
        <v>1182.7696859</v>
      </c>
      <c r="F139" s="82">
        <f>'base(indices)'!I132</f>
        <v>0.328403</v>
      </c>
      <c r="G139" s="63">
        <f t="shared" si="60"/>
        <v>388.42511315861771</v>
      </c>
      <c r="H139" s="268">
        <f t="shared" si="61"/>
        <v>1571.1947990586177</v>
      </c>
      <c r="I139" s="278">
        <f t="shared" si="93"/>
        <v>60134.34382476582</v>
      </c>
      <c r="J139" s="119">
        <f t="shared" si="104"/>
        <v>60134.34382476582</v>
      </c>
      <c r="K139" s="108">
        <f t="shared" si="63"/>
        <v>8719.2410256151761</v>
      </c>
      <c r="L139" s="46">
        <f t="shared" si="77"/>
        <v>68853.584850380998</v>
      </c>
      <c r="M139" s="43">
        <f t="shared" si="78"/>
        <v>57127.626633527529</v>
      </c>
      <c r="N139" s="108">
        <f t="shared" si="79"/>
        <v>8283.2789743344165</v>
      </c>
      <c r="O139" s="47">
        <f t="shared" si="80"/>
        <v>65410.905607861947</v>
      </c>
      <c r="P139" s="119">
        <f t="shared" si="100"/>
        <v>54120.909442289238</v>
      </c>
      <c r="Q139" s="108">
        <f t="shared" si="82"/>
        <v>7847.3169230536587</v>
      </c>
      <c r="R139" s="46">
        <f t="shared" si="102"/>
        <v>61968.226365342896</v>
      </c>
      <c r="S139" s="43">
        <f t="shared" si="84"/>
        <v>48107.475059812656</v>
      </c>
      <c r="T139" s="108">
        <f t="shared" si="85"/>
        <v>6975.3928204921413</v>
      </c>
      <c r="U139" s="47">
        <f t="shared" si="86"/>
        <v>55082.867880304795</v>
      </c>
      <c r="V139" s="45">
        <f t="shared" si="87"/>
        <v>42094.040677336074</v>
      </c>
      <c r="W139" s="108">
        <f t="shared" si="88"/>
        <v>6103.4687179306229</v>
      </c>
      <c r="X139" s="46">
        <f t="shared" si="89"/>
        <v>48197.509395266694</v>
      </c>
      <c r="Y139" s="43">
        <f t="shared" si="90"/>
        <v>36080.606294859492</v>
      </c>
      <c r="Z139" s="108">
        <f t="shared" si="91"/>
        <v>5231.5446153691055</v>
      </c>
      <c r="AA139" s="46">
        <f t="shared" si="92"/>
        <v>41312.1509102286</v>
      </c>
      <c r="AB139" s="16"/>
      <c r="AC139" s="16"/>
      <c r="AD139" s="16"/>
      <c r="AE139" s="16"/>
      <c r="AF139" s="16"/>
      <c r="AG139" s="17"/>
      <c r="AH139" s="16"/>
      <c r="AI139" s="16"/>
    </row>
    <row r="140" spans="1:35" s="26" customFormat="1" ht="13.5" customHeight="1">
      <c r="A140" s="187">
        <v>39</v>
      </c>
      <c r="B140" s="50">
        <v>44105</v>
      </c>
      <c r="C140" s="61">
        <f>VLOOKUP(B140,'base(indices)'!$A$4:$C$183,3,FALSE)</f>
        <v>1045</v>
      </c>
      <c r="D140" s="192">
        <f>'base(indices)'!G133</f>
        <v>1.12676657</v>
      </c>
      <c r="E140" s="54">
        <f t="shared" si="103"/>
        <v>1177.4710656500001</v>
      </c>
      <c r="F140" s="82">
        <f>'base(indices)'!I133</f>
        <v>0.32724399999999998</v>
      </c>
      <c r="G140" s="54">
        <f t="shared" si="60"/>
        <v>385.32034140756861</v>
      </c>
      <c r="H140" s="267">
        <f t="shared" si="61"/>
        <v>1562.7914070575687</v>
      </c>
      <c r="I140" s="277">
        <f t="shared" si="93"/>
        <v>58563.1490257072</v>
      </c>
      <c r="J140" s="58">
        <f t="shared" si="104"/>
        <v>58563.1490257072</v>
      </c>
      <c r="K140" s="91">
        <f t="shared" si="63"/>
        <v>8719.2410256151761</v>
      </c>
      <c r="L140" s="284">
        <f t="shared" si="77"/>
        <v>67282.390051322378</v>
      </c>
      <c r="M140" s="57">
        <f t="shared" si="78"/>
        <v>55634.991574421838</v>
      </c>
      <c r="N140" s="91">
        <f t="shared" si="79"/>
        <v>8283.2789743344165</v>
      </c>
      <c r="O140" s="60">
        <f t="shared" si="80"/>
        <v>63918.270548756256</v>
      </c>
      <c r="P140" s="58">
        <f t="shared" si="100"/>
        <v>52706.834123136483</v>
      </c>
      <c r="Q140" s="91">
        <f t="shared" si="82"/>
        <v>7847.3169230536587</v>
      </c>
      <c r="R140" s="59">
        <f t="shared" si="102"/>
        <v>60554.151046190142</v>
      </c>
      <c r="S140" s="57">
        <f t="shared" si="84"/>
        <v>46850.519220565766</v>
      </c>
      <c r="T140" s="91">
        <f t="shared" si="85"/>
        <v>6975.3928204921413</v>
      </c>
      <c r="U140" s="60">
        <f t="shared" si="86"/>
        <v>53825.912041057905</v>
      </c>
      <c r="V140" s="58">
        <f t="shared" si="87"/>
        <v>40994.204317995034</v>
      </c>
      <c r="W140" s="91">
        <f t="shared" si="88"/>
        <v>6103.4687179306229</v>
      </c>
      <c r="X140" s="59">
        <f t="shared" si="89"/>
        <v>47097.673035925654</v>
      </c>
      <c r="Y140" s="57">
        <f t="shared" si="90"/>
        <v>35137.889415424317</v>
      </c>
      <c r="Z140" s="91">
        <f t="shared" si="91"/>
        <v>5231.5446153691055</v>
      </c>
      <c r="AA140" s="59">
        <f t="shared" si="92"/>
        <v>40369.434030793425</v>
      </c>
      <c r="AB140" s="32"/>
      <c r="AC140" s="32"/>
      <c r="AD140" s="32"/>
      <c r="AE140" s="32"/>
      <c r="AF140" s="32"/>
      <c r="AG140" s="33"/>
      <c r="AH140" s="32"/>
      <c r="AI140" s="32"/>
    </row>
    <row r="141" spans="1:35" ht="13.5" customHeight="1">
      <c r="A141" s="187">
        <v>38</v>
      </c>
      <c r="B141" s="50">
        <v>44136</v>
      </c>
      <c r="C141" s="61">
        <f>VLOOKUP(B141,'base(indices)'!$A$4:$C$183,3,FALSE)</f>
        <v>1045</v>
      </c>
      <c r="D141" s="192">
        <f>'base(indices)'!G134</f>
        <v>1.1162736</v>
      </c>
      <c r="E141" s="63">
        <f t="shared" si="103"/>
        <v>1166.5059120000001</v>
      </c>
      <c r="F141" s="82">
        <f>'base(indices)'!I134</f>
        <v>0.32608500000000001</v>
      </c>
      <c r="G141" s="63">
        <f t="shared" si="60"/>
        <v>380.38008031452006</v>
      </c>
      <c r="H141" s="268">
        <f t="shared" si="61"/>
        <v>1546.8859923145201</v>
      </c>
      <c r="I141" s="278">
        <f t="shared" si="93"/>
        <v>57000.357618649628</v>
      </c>
      <c r="J141" s="119">
        <f t="shared" si="104"/>
        <v>57000.357618649628</v>
      </c>
      <c r="K141" s="108">
        <f t="shared" si="63"/>
        <v>8719.2410256151761</v>
      </c>
      <c r="L141" s="46">
        <f t="shared" si="77"/>
        <v>65719.598644264799</v>
      </c>
      <c r="M141" s="43">
        <f t="shared" si="78"/>
        <v>54150.339737717142</v>
      </c>
      <c r="N141" s="108">
        <f t="shared" si="79"/>
        <v>8283.2789743344165</v>
      </c>
      <c r="O141" s="47">
        <f t="shared" si="80"/>
        <v>62433.618712051561</v>
      </c>
      <c r="P141" s="119">
        <f t="shared" si="100"/>
        <v>51300.321856784663</v>
      </c>
      <c r="Q141" s="108">
        <f t="shared" si="82"/>
        <v>7847.3169230536587</v>
      </c>
      <c r="R141" s="46">
        <f t="shared" si="102"/>
        <v>59147.638779838322</v>
      </c>
      <c r="S141" s="43">
        <f t="shared" si="84"/>
        <v>45600.286094919706</v>
      </c>
      <c r="T141" s="108">
        <f t="shared" si="85"/>
        <v>6975.3928204921413</v>
      </c>
      <c r="U141" s="47">
        <f t="shared" si="86"/>
        <v>52575.678915411845</v>
      </c>
      <c r="V141" s="45">
        <f t="shared" si="87"/>
        <v>39900.250333054741</v>
      </c>
      <c r="W141" s="108">
        <f t="shared" si="88"/>
        <v>6103.4687179306229</v>
      </c>
      <c r="X141" s="46">
        <f t="shared" si="89"/>
        <v>46003.719050985361</v>
      </c>
      <c r="Y141" s="43">
        <f t="shared" si="90"/>
        <v>34200.214571189776</v>
      </c>
      <c r="Z141" s="108">
        <f t="shared" si="91"/>
        <v>5231.5446153691055</v>
      </c>
      <c r="AA141" s="46">
        <f t="shared" si="92"/>
        <v>39431.759186558884</v>
      </c>
      <c r="AB141" s="16"/>
      <c r="AC141" s="16"/>
      <c r="AD141" s="16"/>
      <c r="AE141" s="16"/>
      <c r="AF141" s="16"/>
      <c r="AG141" s="17"/>
      <c r="AH141" s="16"/>
      <c r="AI141" s="16"/>
    </row>
    <row r="142" spans="1:35" s="26" customFormat="1" ht="13.5" customHeight="1" thickBot="1">
      <c r="A142" s="188">
        <v>37</v>
      </c>
      <c r="B142" s="247">
        <v>44166</v>
      </c>
      <c r="C142" s="61">
        <f>VLOOKUP(B142,'base(indices)'!$A$4:$C$183,3,FALSE)</f>
        <v>1045</v>
      </c>
      <c r="D142" s="335">
        <f>'base(indices)'!G135</f>
        <v>1.1073044400000001</v>
      </c>
      <c r="E142" s="163">
        <f t="shared" si="103"/>
        <v>1157.1331398</v>
      </c>
      <c r="F142" s="304">
        <f>'base(indices)'!I135</f>
        <v>0.32492599999999999</v>
      </c>
      <c r="G142" s="163">
        <f t="shared" si="60"/>
        <v>375.98264258265476</v>
      </c>
      <c r="H142" s="355">
        <f t="shared" si="61"/>
        <v>1533.1157823826547</v>
      </c>
      <c r="I142" s="280">
        <f t="shared" si="93"/>
        <v>55453.471626335107</v>
      </c>
      <c r="J142" s="58">
        <f t="shared" si="104"/>
        <v>55453.471626335107</v>
      </c>
      <c r="K142" s="86">
        <f t="shared" si="63"/>
        <v>8719.2410256151761</v>
      </c>
      <c r="L142" s="287">
        <f t="shared" si="77"/>
        <v>64172.712651950285</v>
      </c>
      <c r="M142" s="85">
        <f t="shared" si="78"/>
        <v>52680.798045018353</v>
      </c>
      <c r="N142" s="86">
        <f t="shared" si="79"/>
        <v>8283.2789743344165</v>
      </c>
      <c r="O142" s="107">
        <f t="shared" si="80"/>
        <v>60964.077019352771</v>
      </c>
      <c r="P142" s="175">
        <f t="shared" si="100"/>
        <v>49908.124463701599</v>
      </c>
      <c r="Q142" s="86">
        <f t="shared" si="82"/>
        <v>7847.3169230536587</v>
      </c>
      <c r="R142" s="165">
        <f t="shared" si="102"/>
        <v>57755.441386755258</v>
      </c>
      <c r="S142" s="85">
        <f>J142*S$9</f>
        <v>44362.77730106809</v>
      </c>
      <c r="T142" s="86">
        <f t="shared" si="85"/>
        <v>6975.3928204921413</v>
      </c>
      <c r="U142" s="107">
        <f>S142+T142</f>
        <v>51338.17012156023</v>
      </c>
      <c r="V142" s="175">
        <f t="shared" si="87"/>
        <v>38817.430138434574</v>
      </c>
      <c r="W142" s="86">
        <f t="shared" si="88"/>
        <v>6103.4687179306229</v>
      </c>
      <c r="X142" s="165">
        <f t="shared" si="89"/>
        <v>44920.898856365195</v>
      </c>
      <c r="Y142" s="85">
        <f t="shared" si="90"/>
        <v>33272.082975801066</v>
      </c>
      <c r="Z142" s="86">
        <f t="shared" si="91"/>
        <v>5231.5446153691055</v>
      </c>
      <c r="AA142" s="165">
        <f t="shared" si="92"/>
        <v>38503.627591170174</v>
      </c>
      <c r="AB142" s="32"/>
      <c r="AC142" s="32"/>
      <c r="AD142" s="32"/>
      <c r="AE142" s="32"/>
      <c r="AF142" s="32"/>
      <c r="AG142" s="33"/>
      <c r="AH142" s="32"/>
      <c r="AI142" s="32"/>
    </row>
    <row r="143" spans="1:35" s="26" customFormat="1" ht="13.5" customHeight="1">
      <c r="A143" s="217">
        <v>36</v>
      </c>
      <c r="B143" s="136">
        <v>44197</v>
      </c>
      <c r="C143" s="120">
        <f>VLOOKUP(B143,'base(indices)'!$A$4:$C$183,3,FALSE)</f>
        <v>1100</v>
      </c>
      <c r="D143" s="193">
        <f>'base(indices)'!G136</f>
        <v>1.09569012</v>
      </c>
      <c r="E143" s="78">
        <f>C143*D143</f>
        <v>1205.2591319999999</v>
      </c>
      <c r="F143" s="79">
        <f>'base(indices)'!I136</f>
        <v>0.32376700000000003</v>
      </c>
      <c r="G143" s="78">
        <f t="shared" si="60"/>
        <v>390.22313339024402</v>
      </c>
      <c r="H143" s="266">
        <f t="shared" si="61"/>
        <v>1595.4822653902438</v>
      </c>
      <c r="I143" s="281">
        <f t="shared" si="93"/>
        <v>53920.35584395245</v>
      </c>
      <c r="J143" s="48">
        <f>IF((I143)+K143&gt;$I$97,$I$197-K143,(I143))</f>
        <v>53920.35584395245</v>
      </c>
      <c r="K143" s="156">
        <f t="shared" si="63"/>
        <v>8719.2410256151761</v>
      </c>
      <c r="L143" s="150">
        <f t="shared" si="77"/>
        <v>62639.596869567627</v>
      </c>
      <c r="M143" s="283">
        <f t="shared" si="78"/>
        <v>51224.338051754821</v>
      </c>
      <c r="N143" s="156">
        <f t="shared" si="79"/>
        <v>8283.2789743344165</v>
      </c>
      <c r="O143" s="290">
        <f t="shared" si="80"/>
        <v>59507.61702608924</v>
      </c>
      <c r="P143" s="292">
        <f t="shared" si="100"/>
        <v>48528.320259557207</v>
      </c>
      <c r="Q143" s="156">
        <f t="shared" si="82"/>
        <v>7847.3169230536587</v>
      </c>
      <c r="R143" s="150">
        <f t="shared" si="102"/>
        <v>56375.637182610866</v>
      </c>
      <c r="S143" s="283">
        <f t="shared" ref="S143:S153" si="105">J143*S$9</f>
        <v>43136.284675161965</v>
      </c>
      <c r="T143" s="156">
        <f t="shared" si="85"/>
        <v>6975.3928204921413</v>
      </c>
      <c r="U143" s="290">
        <f t="shared" ref="U143:U153" si="106">S143+T143</f>
        <v>50111.677495654105</v>
      </c>
      <c r="V143" s="288">
        <f t="shared" si="87"/>
        <v>37744.249090766709</v>
      </c>
      <c r="W143" s="156">
        <f t="shared" si="88"/>
        <v>6103.4687179306229</v>
      </c>
      <c r="X143" s="150">
        <f t="shared" si="89"/>
        <v>43847.717808697329</v>
      </c>
      <c r="Y143" s="283">
        <f t="shared" si="90"/>
        <v>32352.213506371467</v>
      </c>
      <c r="Z143" s="156">
        <f t="shared" si="91"/>
        <v>5231.5446153691055</v>
      </c>
      <c r="AA143" s="150">
        <f t="shared" si="92"/>
        <v>37583.758121740575</v>
      </c>
      <c r="AB143" s="32"/>
      <c r="AC143" s="32"/>
      <c r="AD143" s="32"/>
      <c r="AE143" s="32"/>
      <c r="AF143" s="32"/>
      <c r="AG143" s="33"/>
      <c r="AH143" s="32"/>
      <c r="AI143" s="32"/>
    </row>
    <row r="144" spans="1:35" s="26" customFormat="1" ht="13.5" customHeight="1">
      <c r="A144" s="187">
        <v>35</v>
      </c>
      <c r="B144" s="50">
        <v>44228</v>
      </c>
      <c r="C144" s="61">
        <f>VLOOKUP(B144,'base(indices)'!$A$4:$C$183,3,FALSE)</f>
        <v>1100</v>
      </c>
      <c r="D144" s="192">
        <f>'base(indices)'!G137</f>
        <v>1.0872098800000001</v>
      </c>
      <c r="E144" s="54">
        <f t="shared" ref="E144:E154" si="107">C144*D144</f>
        <v>1195.9308680000001</v>
      </c>
      <c r="F144" s="82">
        <f>'base(indices)'!I137</f>
        <v>0.32260800000000001</v>
      </c>
      <c r="G144" s="54">
        <f t="shared" si="60"/>
        <v>385.81686546374408</v>
      </c>
      <c r="H144" s="267">
        <f t="shared" si="61"/>
        <v>1581.7477334637442</v>
      </c>
      <c r="I144" s="277">
        <f t="shared" si="93"/>
        <v>52324.873578562205</v>
      </c>
      <c r="J144" s="58">
        <f>IF((I144)+K144&gt;$I$197,$I$197-K144,(I144))</f>
        <v>52324.873578562205</v>
      </c>
      <c r="K144" s="91">
        <f t="shared" si="63"/>
        <v>8719.2410256151761</v>
      </c>
      <c r="L144" s="284">
        <f t="shared" si="77"/>
        <v>61044.114604177383</v>
      </c>
      <c r="M144" s="57">
        <f t="shared" si="78"/>
        <v>49708.629899634092</v>
      </c>
      <c r="N144" s="91">
        <f t="shared" si="79"/>
        <v>8283.2789743344165</v>
      </c>
      <c r="O144" s="60">
        <f t="shared" si="80"/>
        <v>57991.90887396851</v>
      </c>
      <c r="P144" s="58">
        <f t="shared" si="100"/>
        <v>47092.386220705986</v>
      </c>
      <c r="Q144" s="91">
        <f t="shared" si="82"/>
        <v>7847.3169230536587</v>
      </c>
      <c r="R144" s="59">
        <f t="shared" si="102"/>
        <v>54939.703143759645</v>
      </c>
      <c r="S144" s="57">
        <f t="shared" si="105"/>
        <v>41859.898862849768</v>
      </c>
      <c r="T144" s="91">
        <f t="shared" si="85"/>
        <v>6975.3928204921413</v>
      </c>
      <c r="U144" s="60">
        <f t="shared" si="106"/>
        <v>48835.291683341908</v>
      </c>
      <c r="V144" s="58">
        <f t="shared" si="87"/>
        <v>36627.411504993543</v>
      </c>
      <c r="W144" s="91">
        <f t="shared" si="88"/>
        <v>6103.4687179306229</v>
      </c>
      <c r="X144" s="59">
        <f t="shared" si="89"/>
        <v>42730.880222924163</v>
      </c>
      <c r="Y144" s="57">
        <f t="shared" si="90"/>
        <v>31394.924147137321</v>
      </c>
      <c r="Z144" s="91">
        <f t="shared" si="91"/>
        <v>5231.5446153691055</v>
      </c>
      <c r="AA144" s="59">
        <f t="shared" si="92"/>
        <v>36626.468762506425</v>
      </c>
      <c r="AB144" s="32"/>
      <c r="AC144" s="32"/>
      <c r="AD144" s="32"/>
      <c r="AE144" s="32"/>
      <c r="AF144" s="32"/>
      <c r="AG144" s="33"/>
      <c r="AH144" s="32"/>
      <c r="AI144" s="32"/>
    </row>
    <row r="145" spans="1:35" s="26" customFormat="1" ht="13.5" customHeight="1">
      <c r="A145" s="187">
        <v>34</v>
      </c>
      <c r="B145" s="50">
        <v>44256</v>
      </c>
      <c r="C145" s="61">
        <f>VLOOKUP(B145,'base(indices)'!$A$4:$C$183,3,FALSE)</f>
        <v>1100</v>
      </c>
      <c r="D145" s="192">
        <f>'base(indices)'!G138</f>
        <v>1.0820162099999999</v>
      </c>
      <c r="E145" s="63">
        <f t="shared" si="107"/>
        <v>1190.2178309999999</v>
      </c>
      <c r="F145" s="82">
        <f>'base(indices)'!I138</f>
        <v>0.32144899999999998</v>
      </c>
      <c r="G145" s="63">
        <f t="shared" si="60"/>
        <v>382.59433155711895</v>
      </c>
      <c r="H145" s="268">
        <f t="shared" si="61"/>
        <v>1572.8121625571189</v>
      </c>
      <c r="I145" s="278">
        <f t="shared" si="93"/>
        <v>50743.125845098461</v>
      </c>
      <c r="J145" s="119">
        <f>IF((I145)+K145&gt;$I$197,$I$197-K145,(I145))</f>
        <v>50743.125845098461</v>
      </c>
      <c r="K145" s="108">
        <f t="shared" si="63"/>
        <v>8719.2410256151761</v>
      </c>
      <c r="L145" s="46">
        <f t="shared" si="77"/>
        <v>59462.366870713638</v>
      </c>
      <c r="M145" s="43">
        <f t="shared" si="78"/>
        <v>48205.969552843533</v>
      </c>
      <c r="N145" s="108">
        <f t="shared" si="79"/>
        <v>8283.2789743344165</v>
      </c>
      <c r="O145" s="47">
        <f t="shared" si="80"/>
        <v>56489.248527177951</v>
      </c>
      <c r="P145" s="119">
        <f t="shared" si="100"/>
        <v>45668.813260588613</v>
      </c>
      <c r="Q145" s="108">
        <f t="shared" si="82"/>
        <v>7847.3169230536587</v>
      </c>
      <c r="R145" s="46">
        <f t="shared" si="102"/>
        <v>53516.130183642272</v>
      </c>
      <c r="S145" s="43">
        <f t="shared" si="105"/>
        <v>40594.500676078773</v>
      </c>
      <c r="T145" s="108">
        <f t="shared" si="85"/>
        <v>6975.3928204921413</v>
      </c>
      <c r="U145" s="47">
        <f t="shared" si="106"/>
        <v>47569.893496570912</v>
      </c>
      <c r="V145" s="45">
        <f t="shared" si="87"/>
        <v>35520.188091568918</v>
      </c>
      <c r="W145" s="108">
        <f t="shared" si="88"/>
        <v>6103.4687179306229</v>
      </c>
      <c r="X145" s="46">
        <f t="shared" si="89"/>
        <v>41623.656809499538</v>
      </c>
      <c r="Y145" s="43">
        <f t="shared" si="90"/>
        <v>30445.875507059074</v>
      </c>
      <c r="Z145" s="108">
        <f t="shared" si="91"/>
        <v>5231.5446153691055</v>
      </c>
      <c r="AA145" s="46">
        <f t="shared" si="92"/>
        <v>35677.420122428179</v>
      </c>
      <c r="AB145" s="32"/>
      <c r="AC145" s="32"/>
      <c r="AD145" s="32"/>
      <c r="AE145" s="32"/>
      <c r="AF145" s="32"/>
      <c r="AG145" s="33"/>
      <c r="AH145" s="32"/>
      <c r="AI145" s="32"/>
    </row>
    <row r="146" spans="1:35" s="26" customFormat="1" ht="13.5" customHeight="1">
      <c r="A146" s="187">
        <v>33</v>
      </c>
      <c r="B146" s="50">
        <v>44287</v>
      </c>
      <c r="C146" s="61">
        <f>VLOOKUP(B146,'base(indices)'!$A$4:$C$183,3,FALSE)</f>
        <v>1100</v>
      </c>
      <c r="D146" s="192">
        <f>'base(indices)'!G139</f>
        <v>1.0720461800000001</v>
      </c>
      <c r="E146" s="54">
        <f t="shared" si="107"/>
        <v>1179.250798</v>
      </c>
      <c r="F146" s="82">
        <f>'base(indices)'!I139</f>
        <v>0.32029000000000002</v>
      </c>
      <c r="G146" s="54">
        <f t="shared" si="60"/>
        <v>377.70223809142004</v>
      </c>
      <c r="H146" s="267">
        <f t="shared" si="61"/>
        <v>1556.95303609142</v>
      </c>
      <c r="I146" s="277">
        <f t="shared" si="93"/>
        <v>49170.313682541338</v>
      </c>
      <c r="J146" s="58">
        <f>IF((I146)+K146&gt;$I$197,$I$197-K146,(I146))</f>
        <v>49170.313682541338</v>
      </c>
      <c r="K146" s="91">
        <f t="shared" si="63"/>
        <v>8719.2410256151761</v>
      </c>
      <c r="L146" s="284">
        <f t="shared" si="77"/>
        <v>57889.554708156516</v>
      </c>
      <c r="M146" s="57">
        <f t="shared" si="78"/>
        <v>46711.797998414273</v>
      </c>
      <c r="N146" s="91">
        <f t="shared" si="79"/>
        <v>8283.2789743344165</v>
      </c>
      <c r="O146" s="60">
        <f t="shared" si="80"/>
        <v>54995.076972748691</v>
      </c>
      <c r="P146" s="58">
        <f t="shared" si="100"/>
        <v>44253.282314287208</v>
      </c>
      <c r="Q146" s="91">
        <f t="shared" si="82"/>
        <v>7847.3169230536587</v>
      </c>
      <c r="R146" s="59">
        <f t="shared" si="102"/>
        <v>52100.599237340866</v>
      </c>
      <c r="S146" s="57">
        <f t="shared" si="105"/>
        <v>39336.250946033077</v>
      </c>
      <c r="T146" s="91">
        <f t="shared" si="85"/>
        <v>6975.3928204921413</v>
      </c>
      <c r="U146" s="60">
        <f t="shared" si="106"/>
        <v>46311.643766525216</v>
      </c>
      <c r="V146" s="58">
        <f t="shared" si="87"/>
        <v>34419.219577778931</v>
      </c>
      <c r="W146" s="91">
        <f t="shared" si="88"/>
        <v>6103.4687179306229</v>
      </c>
      <c r="X146" s="59">
        <f t="shared" si="89"/>
        <v>40522.688295709551</v>
      </c>
      <c r="Y146" s="57">
        <f t="shared" si="90"/>
        <v>29502.1882095248</v>
      </c>
      <c r="Z146" s="91">
        <f t="shared" si="91"/>
        <v>5231.5446153691055</v>
      </c>
      <c r="AA146" s="59">
        <f t="shared" si="92"/>
        <v>34733.732824893908</v>
      </c>
      <c r="AB146" s="32"/>
      <c r="AC146" s="32"/>
      <c r="AD146" s="32"/>
      <c r="AE146" s="32"/>
      <c r="AF146" s="32"/>
      <c r="AG146" s="33"/>
      <c r="AH146" s="32"/>
      <c r="AI146" s="32"/>
    </row>
    <row r="147" spans="1:35" s="26" customFormat="1" ht="13.5" customHeight="1">
      <c r="A147" s="187">
        <v>32</v>
      </c>
      <c r="B147" s="50">
        <v>44317</v>
      </c>
      <c r="C147" s="61">
        <f>VLOOKUP(B147,'base(indices)'!$A$4:$C$183,3,FALSE)</f>
        <v>1100</v>
      </c>
      <c r="D147" s="192">
        <f>'base(indices)'!G140</f>
        <v>1.06565226</v>
      </c>
      <c r="E147" s="63">
        <f t="shared" si="107"/>
        <v>1172.217486</v>
      </c>
      <c r="F147" s="82">
        <f>'base(indices)'!I140</f>
        <v>0.31869999999999998</v>
      </c>
      <c r="G147" s="63">
        <f t="shared" si="60"/>
        <v>373.5857127882</v>
      </c>
      <c r="H147" s="268">
        <f t="shared" si="61"/>
        <v>1545.8031987882</v>
      </c>
      <c r="I147" s="278">
        <f t="shared" si="93"/>
        <v>47613.360646449917</v>
      </c>
      <c r="J147" s="119">
        <f t="shared" ref="J147:J154" si="108">IF((I147)+K147&gt;$I$197,$I$197-K147,(I147))</f>
        <v>47613.360646449917</v>
      </c>
      <c r="K147" s="108">
        <f t="shared" si="63"/>
        <v>8719.2410256151761</v>
      </c>
      <c r="L147" s="46">
        <f t="shared" si="77"/>
        <v>56332.601672065095</v>
      </c>
      <c r="M147" s="43">
        <f t="shared" si="78"/>
        <v>45232.692614127416</v>
      </c>
      <c r="N147" s="108">
        <f t="shared" si="79"/>
        <v>8283.2789743344165</v>
      </c>
      <c r="O147" s="47">
        <f t="shared" si="80"/>
        <v>53515.971588461834</v>
      </c>
      <c r="P147" s="119">
        <f t="shared" si="100"/>
        <v>42852.02458180493</v>
      </c>
      <c r="Q147" s="108">
        <f t="shared" si="82"/>
        <v>7847.3169230536587</v>
      </c>
      <c r="R147" s="46">
        <f t="shared" si="102"/>
        <v>50699.341504858588</v>
      </c>
      <c r="S147" s="43">
        <f t="shared" si="105"/>
        <v>38090.688517159935</v>
      </c>
      <c r="T147" s="108">
        <f t="shared" si="85"/>
        <v>6975.3928204921413</v>
      </c>
      <c r="U147" s="47">
        <f t="shared" si="106"/>
        <v>45066.081337652075</v>
      </c>
      <c r="V147" s="45">
        <f t="shared" si="87"/>
        <v>33329.352452514941</v>
      </c>
      <c r="W147" s="108">
        <f t="shared" si="88"/>
        <v>6103.4687179306229</v>
      </c>
      <c r="X147" s="46">
        <f t="shared" si="89"/>
        <v>39432.821170445561</v>
      </c>
      <c r="Y147" s="43">
        <f t="shared" si="90"/>
        <v>28568.01638786995</v>
      </c>
      <c r="Z147" s="108">
        <f t="shared" si="91"/>
        <v>5231.5446153691055</v>
      </c>
      <c r="AA147" s="46">
        <f t="shared" si="92"/>
        <v>33799.561003239054</v>
      </c>
      <c r="AB147" s="32"/>
      <c r="AC147" s="32"/>
      <c r="AD147" s="32"/>
      <c r="AE147" s="32"/>
      <c r="AF147" s="32"/>
      <c r="AG147" s="33"/>
      <c r="AH147" s="32"/>
      <c r="AI147" s="32"/>
    </row>
    <row r="148" spans="1:35" s="26" customFormat="1" ht="13.5" customHeight="1">
      <c r="A148" s="187">
        <v>31</v>
      </c>
      <c r="B148" s="50">
        <v>44348</v>
      </c>
      <c r="C148" s="61">
        <f>VLOOKUP(B148,'base(indices)'!$A$4:$C$183,3,FALSE)</f>
        <v>1100</v>
      </c>
      <c r="D148" s="192">
        <f>'base(indices)'!G141</f>
        <v>1.0609839299999999</v>
      </c>
      <c r="E148" s="54">
        <f t="shared" si="107"/>
        <v>1167.0823229999999</v>
      </c>
      <c r="F148" s="82">
        <f>'base(indices)'!I141</f>
        <v>0.31711</v>
      </c>
      <c r="G148" s="54">
        <f t="shared" si="60"/>
        <v>370.09347544652996</v>
      </c>
      <c r="H148" s="267">
        <f t="shared" si="61"/>
        <v>1537.1757984465298</v>
      </c>
      <c r="I148" s="277">
        <f t="shared" si="93"/>
        <v>46067.557447661718</v>
      </c>
      <c r="J148" s="58">
        <f t="shared" si="108"/>
        <v>46067.557447661718</v>
      </c>
      <c r="K148" s="91">
        <f t="shared" si="63"/>
        <v>8719.2410256151761</v>
      </c>
      <c r="L148" s="284">
        <f t="shared" si="77"/>
        <v>54786.798473276896</v>
      </c>
      <c r="M148" s="57">
        <f t="shared" si="78"/>
        <v>43764.179575278627</v>
      </c>
      <c r="N148" s="91">
        <f t="shared" si="79"/>
        <v>8283.2789743344165</v>
      </c>
      <c r="O148" s="60">
        <f t="shared" si="80"/>
        <v>52047.458549613046</v>
      </c>
      <c r="P148" s="58">
        <f t="shared" si="100"/>
        <v>41460.801702895551</v>
      </c>
      <c r="Q148" s="91">
        <f t="shared" si="82"/>
        <v>7847.3169230536587</v>
      </c>
      <c r="R148" s="59">
        <f t="shared" si="102"/>
        <v>49308.11862594921</v>
      </c>
      <c r="S148" s="57">
        <f t="shared" si="105"/>
        <v>36854.045958129376</v>
      </c>
      <c r="T148" s="91">
        <f t="shared" si="85"/>
        <v>6975.3928204921413</v>
      </c>
      <c r="U148" s="60">
        <f t="shared" si="106"/>
        <v>43829.438778621516</v>
      </c>
      <c r="V148" s="58">
        <f t="shared" si="87"/>
        <v>32247.290213363201</v>
      </c>
      <c r="W148" s="91">
        <f t="shared" si="88"/>
        <v>6103.4687179306229</v>
      </c>
      <c r="X148" s="59">
        <f t="shared" si="89"/>
        <v>38350.758931293822</v>
      </c>
      <c r="Y148" s="57">
        <f t="shared" si="90"/>
        <v>27640.53446859703</v>
      </c>
      <c r="Z148" s="91">
        <f t="shared" si="91"/>
        <v>5231.5446153691055</v>
      </c>
      <c r="AA148" s="59">
        <f t="shared" si="92"/>
        <v>32872.079083966135</v>
      </c>
      <c r="AB148" s="32"/>
      <c r="AC148" s="32"/>
      <c r="AD148" s="32"/>
      <c r="AE148" s="32"/>
      <c r="AF148" s="32"/>
      <c r="AG148" s="33"/>
      <c r="AH148" s="32"/>
      <c r="AI148" s="32"/>
    </row>
    <row r="149" spans="1:35" s="26" customFormat="1" ht="13.5" customHeight="1">
      <c r="A149" s="187">
        <v>30</v>
      </c>
      <c r="B149" s="50">
        <v>44378</v>
      </c>
      <c r="C149" s="61">
        <f>VLOOKUP(B149,'base(indices)'!$A$4:$C$183,3,FALSE)</f>
        <v>1100</v>
      </c>
      <c r="D149" s="192">
        <f>'base(indices)'!G142</f>
        <v>1.0522502600000001</v>
      </c>
      <c r="E149" s="63">
        <f t="shared" si="107"/>
        <v>1157.4752860000001</v>
      </c>
      <c r="F149" s="82">
        <f>'base(indices)'!I142</f>
        <v>0.31509100000000001</v>
      </c>
      <c r="G149" s="63">
        <f t="shared" si="60"/>
        <v>364.71004534102605</v>
      </c>
      <c r="H149" s="268">
        <f t="shared" si="61"/>
        <v>1522.1853313410261</v>
      </c>
      <c r="I149" s="278">
        <f t="shared" si="93"/>
        <v>44530.381649215189</v>
      </c>
      <c r="J149" s="119">
        <f t="shared" si="108"/>
        <v>44530.381649215189</v>
      </c>
      <c r="K149" s="108">
        <f t="shared" si="63"/>
        <v>8719.2410256151761</v>
      </c>
      <c r="L149" s="46">
        <f t="shared" si="77"/>
        <v>53249.622674830367</v>
      </c>
      <c r="M149" s="43">
        <f t="shared" si="78"/>
        <v>42303.862566754426</v>
      </c>
      <c r="N149" s="108">
        <f t="shared" si="79"/>
        <v>8283.2789743344165</v>
      </c>
      <c r="O149" s="47">
        <f t="shared" si="80"/>
        <v>50587.141541088844</v>
      </c>
      <c r="P149" s="119">
        <f t="shared" si="100"/>
        <v>40077.343484293669</v>
      </c>
      <c r="Q149" s="108">
        <f t="shared" si="82"/>
        <v>7847.3169230536587</v>
      </c>
      <c r="R149" s="46">
        <f t="shared" si="102"/>
        <v>47924.660407347328</v>
      </c>
      <c r="S149" s="43">
        <f t="shared" si="105"/>
        <v>35624.30531937215</v>
      </c>
      <c r="T149" s="108">
        <f t="shared" si="85"/>
        <v>6975.3928204921413</v>
      </c>
      <c r="U149" s="47">
        <f t="shared" si="106"/>
        <v>42599.698139864289</v>
      </c>
      <c r="V149" s="45">
        <f t="shared" si="87"/>
        <v>31171.26715445063</v>
      </c>
      <c r="W149" s="108">
        <f t="shared" si="88"/>
        <v>6103.4687179306229</v>
      </c>
      <c r="X149" s="46">
        <f t="shared" si="89"/>
        <v>37274.73587238125</v>
      </c>
      <c r="Y149" s="43">
        <f t="shared" si="90"/>
        <v>26718.228989529114</v>
      </c>
      <c r="Z149" s="108">
        <f t="shared" si="91"/>
        <v>5231.5446153691055</v>
      </c>
      <c r="AA149" s="46">
        <f t="shared" si="92"/>
        <v>31949.773604898219</v>
      </c>
      <c r="AB149" s="32"/>
      <c r="AC149" s="32"/>
      <c r="AD149" s="32"/>
      <c r="AE149" s="32"/>
      <c r="AF149" s="32"/>
      <c r="AG149" s="33"/>
      <c r="AH149" s="32"/>
      <c r="AI149" s="32"/>
    </row>
    <row r="150" spans="1:35" s="26" customFormat="1" ht="13.5" customHeight="1">
      <c r="A150" s="187">
        <v>29</v>
      </c>
      <c r="B150" s="50">
        <v>44409</v>
      </c>
      <c r="C150" s="61">
        <f>VLOOKUP(B150,'base(indices)'!$A$4:$C$183,3,FALSE)</f>
        <v>1100</v>
      </c>
      <c r="D150" s="192">
        <f>'base(indices)'!G143</f>
        <v>1.0447282099999999</v>
      </c>
      <c r="E150" s="54">
        <f t="shared" si="107"/>
        <v>1149.2010309999998</v>
      </c>
      <c r="F150" s="82">
        <f>'base(indices)'!I143</f>
        <v>0.31264500000000001</v>
      </c>
      <c r="G150" s="54">
        <f t="shared" si="60"/>
        <v>359.29195633699493</v>
      </c>
      <c r="H150" s="267">
        <f t="shared" si="61"/>
        <v>1508.4929873369947</v>
      </c>
      <c r="I150" s="277">
        <f t="shared" si="93"/>
        <v>43008.196317874164</v>
      </c>
      <c r="J150" s="58">
        <f t="shared" si="108"/>
        <v>43008.196317874164</v>
      </c>
      <c r="K150" s="91">
        <f t="shared" si="63"/>
        <v>8719.2410256151761</v>
      </c>
      <c r="L150" s="284">
        <f t="shared" si="77"/>
        <v>51727.437343489342</v>
      </c>
      <c r="M150" s="57">
        <f t="shared" si="78"/>
        <v>40857.786501980452</v>
      </c>
      <c r="N150" s="91">
        <f t="shared" si="79"/>
        <v>8283.2789743344165</v>
      </c>
      <c r="O150" s="60">
        <f t="shared" si="80"/>
        <v>49141.06547631487</v>
      </c>
      <c r="P150" s="58">
        <f t="shared" si="100"/>
        <v>38707.376686086747</v>
      </c>
      <c r="Q150" s="91">
        <f t="shared" si="82"/>
        <v>7847.3169230536587</v>
      </c>
      <c r="R150" s="59">
        <f t="shared" si="102"/>
        <v>46554.693609140406</v>
      </c>
      <c r="S150" s="57">
        <f t="shared" si="105"/>
        <v>34406.55705429933</v>
      </c>
      <c r="T150" s="91">
        <f t="shared" si="85"/>
        <v>6975.3928204921413</v>
      </c>
      <c r="U150" s="60">
        <f t="shared" si="106"/>
        <v>41381.949874791469</v>
      </c>
      <c r="V150" s="58">
        <f t="shared" si="87"/>
        <v>30105.737422511913</v>
      </c>
      <c r="W150" s="91">
        <f t="shared" si="88"/>
        <v>6103.4687179306229</v>
      </c>
      <c r="X150" s="59">
        <f t="shared" si="89"/>
        <v>36209.206140442533</v>
      </c>
      <c r="Y150" s="57">
        <f t="shared" si="90"/>
        <v>25804.917790724499</v>
      </c>
      <c r="Z150" s="91">
        <f t="shared" si="91"/>
        <v>5231.5446153691055</v>
      </c>
      <c r="AA150" s="59">
        <f t="shared" si="92"/>
        <v>31036.462406093604</v>
      </c>
      <c r="AB150" s="32"/>
      <c r="AC150" s="32"/>
      <c r="AD150" s="32"/>
      <c r="AE150" s="32"/>
      <c r="AF150" s="32"/>
      <c r="AG150" s="33"/>
      <c r="AH150" s="32"/>
      <c r="AI150" s="32"/>
    </row>
    <row r="151" spans="1:35" s="26" customFormat="1" ht="13.5" customHeight="1">
      <c r="A151" s="187">
        <v>28</v>
      </c>
      <c r="B151" s="50">
        <v>44440</v>
      </c>
      <c r="C151" s="61">
        <f>VLOOKUP(B151,'base(indices)'!$A$4:$C$183,3,FALSE)</f>
        <v>1100</v>
      </c>
      <c r="D151" s="192">
        <f>'base(indices)'!G144</f>
        <v>1.0355121599999999</v>
      </c>
      <c r="E151" s="63">
        <f t="shared" si="107"/>
        <v>1139.0633759999998</v>
      </c>
      <c r="F151" s="82">
        <f>'base(indices)'!I144</f>
        <v>0.310199</v>
      </c>
      <c r="G151" s="63">
        <f t="shared" ref="G151:G178" si="109">E151*F151</f>
        <v>353.33632017182396</v>
      </c>
      <c r="H151" s="268">
        <f t="shared" ref="H151:H178" si="110">E151+G151</f>
        <v>1492.3996961718237</v>
      </c>
      <c r="I151" s="278">
        <f t="shared" si="93"/>
        <v>41499.703330537173</v>
      </c>
      <c r="J151" s="119">
        <f t="shared" si="108"/>
        <v>41499.703330537173</v>
      </c>
      <c r="K151" s="108">
        <f t="shared" ref="K151:K178" si="111">I$196</f>
        <v>8719.2410256151761</v>
      </c>
      <c r="L151" s="46">
        <f t="shared" si="77"/>
        <v>50218.944356152351</v>
      </c>
      <c r="M151" s="43">
        <f t="shared" si="78"/>
        <v>39424.718164010315</v>
      </c>
      <c r="N151" s="108">
        <f t="shared" si="79"/>
        <v>8283.2789743344165</v>
      </c>
      <c r="O151" s="47">
        <f t="shared" si="80"/>
        <v>47707.997138344734</v>
      </c>
      <c r="P151" s="119">
        <f t="shared" si="100"/>
        <v>37349.732997483457</v>
      </c>
      <c r="Q151" s="108">
        <f t="shared" si="82"/>
        <v>7847.3169230536587</v>
      </c>
      <c r="R151" s="46">
        <f t="shared" si="102"/>
        <v>45197.049920537116</v>
      </c>
      <c r="S151" s="43">
        <f t="shared" si="105"/>
        <v>33199.762664429742</v>
      </c>
      <c r="T151" s="108">
        <f t="shared" si="85"/>
        <v>6975.3928204921413</v>
      </c>
      <c r="U151" s="47">
        <f t="shared" si="106"/>
        <v>40175.155484921881</v>
      </c>
      <c r="V151" s="45">
        <f t="shared" si="87"/>
        <v>29049.792331376018</v>
      </c>
      <c r="W151" s="108">
        <f t="shared" si="88"/>
        <v>6103.4687179306229</v>
      </c>
      <c r="X151" s="46">
        <f t="shared" si="89"/>
        <v>35153.261049306639</v>
      </c>
      <c r="Y151" s="43">
        <f t="shared" si="90"/>
        <v>24899.821998322303</v>
      </c>
      <c r="Z151" s="108">
        <f t="shared" si="91"/>
        <v>5231.5446153691055</v>
      </c>
      <c r="AA151" s="46">
        <f t="shared" si="92"/>
        <v>30131.366613691407</v>
      </c>
      <c r="AB151" s="32"/>
      <c r="AC151" s="32"/>
      <c r="AD151" s="32"/>
      <c r="AE151" s="32"/>
      <c r="AF151" s="32"/>
      <c r="AG151" s="33"/>
      <c r="AH151" s="32"/>
      <c r="AI151" s="32"/>
    </row>
    <row r="152" spans="1:35" s="26" customFormat="1" ht="13.5" customHeight="1">
      <c r="A152" s="187">
        <v>27</v>
      </c>
      <c r="B152" s="50">
        <v>44470</v>
      </c>
      <c r="C152" s="61">
        <f>VLOOKUP(B152,'base(indices)'!$A$4:$C$183,3,FALSE)</f>
        <v>1100</v>
      </c>
      <c r="D152" s="192">
        <f>'base(indices)'!G145</f>
        <v>1.02384038</v>
      </c>
      <c r="E152" s="54">
        <f t="shared" si="107"/>
        <v>1126.224418</v>
      </c>
      <c r="F152" s="82">
        <f>'base(indices)'!I145</f>
        <v>0.30718699999999999</v>
      </c>
      <c r="G152" s="54">
        <f t="shared" si="109"/>
        <v>345.96150029216597</v>
      </c>
      <c r="H152" s="267">
        <f t="shared" si="110"/>
        <v>1472.185918292166</v>
      </c>
      <c r="I152" s="277">
        <f t="shared" si="93"/>
        <v>40007.303634365351</v>
      </c>
      <c r="J152" s="58">
        <f t="shared" si="108"/>
        <v>40007.303634365351</v>
      </c>
      <c r="K152" s="91">
        <f t="shared" si="111"/>
        <v>8719.2410256151761</v>
      </c>
      <c r="L152" s="284">
        <f t="shared" si="77"/>
        <v>48726.544659980529</v>
      </c>
      <c r="M152" s="57">
        <f t="shared" si="78"/>
        <v>38006.938452647082</v>
      </c>
      <c r="N152" s="91">
        <f t="shared" si="79"/>
        <v>8283.2789743344165</v>
      </c>
      <c r="O152" s="60">
        <f t="shared" si="80"/>
        <v>46290.2174269815</v>
      </c>
      <c r="P152" s="58">
        <f t="shared" si="100"/>
        <v>36006.57327092882</v>
      </c>
      <c r="Q152" s="91">
        <f t="shared" si="82"/>
        <v>7847.3169230536587</v>
      </c>
      <c r="R152" s="59">
        <f t="shared" si="102"/>
        <v>43853.890193982479</v>
      </c>
      <c r="S152" s="57">
        <f t="shared" si="105"/>
        <v>32005.842907492282</v>
      </c>
      <c r="T152" s="91">
        <f t="shared" si="85"/>
        <v>6975.3928204921413</v>
      </c>
      <c r="U152" s="60">
        <f t="shared" si="106"/>
        <v>38981.235727984422</v>
      </c>
      <c r="V152" s="58">
        <f t="shared" si="87"/>
        <v>28005.112544055744</v>
      </c>
      <c r="W152" s="91">
        <f t="shared" si="88"/>
        <v>6103.4687179306229</v>
      </c>
      <c r="X152" s="59">
        <f t="shared" si="89"/>
        <v>34108.581261986365</v>
      </c>
      <c r="Y152" s="57">
        <f t="shared" si="90"/>
        <v>24004.38218061921</v>
      </c>
      <c r="Z152" s="91">
        <f t="shared" si="91"/>
        <v>5231.5446153691055</v>
      </c>
      <c r="AA152" s="59">
        <f t="shared" si="92"/>
        <v>29235.926795988315</v>
      </c>
      <c r="AB152" s="32"/>
      <c r="AC152" s="32"/>
      <c r="AD152" s="32"/>
      <c r="AE152" s="32"/>
      <c r="AF152" s="32"/>
      <c r="AG152" s="33"/>
      <c r="AH152" s="32"/>
      <c r="AI152" s="32"/>
    </row>
    <row r="153" spans="1:35" s="26" customFormat="1" ht="13.5" customHeight="1">
      <c r="A153" s="187">
        <v>26</v>
      </c>
      <c r="B153" s="50">
        <v>44501</v>
      </c>
      <c r="C153" s="61">
        <f>VLOOKUP(B153,'base(indices)'!$A$4:$C$183,3,FALSE)</f>
        <v>1100</v>
      </c>
      <c r="D153" s="192">
        <f>'base(indices)'!G146</f>
        <v>1.0116999799999999</v>
      </c>
      <c r="E153" s="63">
        <f t="shared" si="107"/>
        <v>1112.8699779999999</v>
      </c>
      <c r="F153" s="82">
        <f>'base(indices)'!I146</f>
        <v>0.30361199999999999</v>
      </c>
      <c r="G153" s="63">
        <f t="shared" si="109"/>
        <v>337.880679760536</v>
      </c>
      <c r="H153" s="268">
        <f t="shared" si="110"/>
        <v>1450.7506577605359</v>
      </c>
      <c r="I153" s="278">
        <f t="shared" si="93"/>
        <v>38535.117716073182</v>
      </c>
      <c r="J153" s="119">
        <f t="shared" si="108"/>
        <v>38535.117716073182</v>
      </c>
      <c r="K153" s="108">
        <f t="shared" si="111"/>
        <v>8719.2410256151761</v>
      </c>
      <c r="L153" s="46">
        <f t="shared" si="77"/>
        <v>47254.35874168836</v>
      </c>
      <c r="M153" s="43">
        <f t="shared" si="78"/>
        <v>36608.361830269525</v>
      </c>
      <c r="N153" s="108">
        <f t="shared" si="79"/>
        <v>8283.2789743344165</v>
      </c>
      <c r="O153" s="47">
        <f t="shared" si="80"/>
        <v>44891.640804603943</v>
      </c>
      <c r="P153" s="119">
        <f t="shared" si="100"/>
        <v>34681.605944465868</v>
      </c>
      <c r="Q153" s="108">
        <f t="shared" si="82"/>
        <v>7847.3169230536587</v>
      </c>
      <c r="R153" s="46">
        <f t="shared" si="102"/>
        <v>42528.922867519526</v>
      </c>
      <c r="S153" s="43">
        <f t="shared" si="105"/>
        <v>30828.094172858546</v>
      </c>
      <c r="T153" s="108">
        <f t="shared" si="85"/>
        <v>6975.3928204921413</v>
      </c>
      <c r="U153" s="47">
        <f t="shared" si="106"/>
        <v>37803.486993350685</v>
      </c>
      <c r="V153" s="45">
        <f t="shared" si="87"/>
        <v>26974.582401251228</v>
      </c>
      <c r="W153" s="108">
        <f t="shared" si="88"/>
        <v>6103.4687179306229</v>
      </c>
      <c r="X153" s="46">
        <f t="shared" si="89"/>
        <v>33078.051119181851</v>
      </c>
      <c r="Y153" s="43">
        <f t="shared" si="90"/>
        <v>23121.070629643909</v>
      </c>
      <c r="Z153" s="108">
        <f t="shared" si="91"/>
        <v>5231.5446153691055</v>
      </c>
      <c r="AA153" s="46">
        <f t="shared" si="92"/>
        <v>28352.615245013014</v>
      </c>
      <c r="AB153" s="32"/>
      <c r="AC153" s="32"/>
      <c r="AD153" s="32"/>
      <c r="AE153" s="32"/>
      <c r="AF153" s="32"/>
      <c r="AG153" s="33"/>
      <c r="AH153" s="32"/>
      <c r="AI153" s="32"/>
    </row>
    <row r="154" spans="1:35" s="26" customFormat="1" ht="13.5" customHeight="1" thickBot="1">
      <c r="A154" s="305">
        <v>25</v>
      </c>
      <c r="B154" s="68">
        <v>44531</v>
      </c>
      <c r="C154" s="61">
        <f>VLOOKUP(B154,'base(indices)'!$A$4:$C$183,3,FALSE)</f>
        <v>1100</v>
      </c>
      <c r="D154" s="335">
        <f>'base(indices)'!G147</f>
        <v>0.99999998000000001</v>
      </c>
      <c r="E154" s="163">
        <f t="shared" si="107"/>
        <v>1099.9999780000001</v>
      </c>
      <c r="F154" s="304">
        <f>'base(indices)'!I147</f>
        <v>0.29920000000000002</v>
      </c>
      <c r="G154" s="163">
        <f t="shared" si="109"/>
        <v>329.11999341760003</v>
      </c>
      <c r="H154" s="355">
        <f t="shared" si="110"/>
        <v>1429.1199714176</v>
      </c>
      <c r="I154" s="279">
        <f t="shared" si="93"/>
        <v>37084.367058312644</v>
      </c>
      <c r="J154" s="58">
        <f t="shared" si="108"/>
        <v>37084.367058312644</v>
      </c>
      <c r="K154" s="202">
        <f t="shared" si="111"/>
        <v>8719.2410256151761</v>
      </c>
      <c r="L154" s="286">
        <f t="shared" si="77"/>
        <v>45803.608083927822</v>
      </c>
      <c r="M154" s="282">
        <f t="shared" si="78"/>
        <v>35230.148705397012</v>
      </c>
      <c r="N154" s="202">
        <f t="shared" si="79"/>
        <v>8283.2789743344165</v>
      </c>
      <c r="O154" s="289">
        <f t="shared" si="80"/>
        <v>43513.427679731431</v>
      </c>
      <c r="P154" s="285">
        <f t="shared" si="100"/>
        <v>33375.93035248138</v>
      </c>
      <c r="Q154" s="202">
        <f t="shared" si="82"/>
        <v>7847.3169230536587</v>
      </c>
      <c r="R154" s="203">
        <f t="shared" si="102"/>
        <v>41223.247275535039</v>
      </c>
      <c r="S154" s="282">
        <f>J154*S$9</f>
        <v>29667.493646650117</v>
      </c>
      <c r="T154" s="202">
        <f t="shared" si="85"/>
        <v>6975.3928204921413</v>
      </c>
      <c r="U154" s="289">
        <f>S154+T154</f>
        <v>36642.886467142256</v>
      </c>
      <c r="V154" s="285">
        <f t="shared" si="87"/>
        <v>25959.056940818849</v>
      </c>
      <c r="W154" s="202">
        <f t="shared" si="88"/>
        <v>6103.4687179306229</v>
      </c>
      <c r="X154" s="203">
        <f t="shared" si="89"/>
        <v>32062.525658749473</v>
      </c>
      <c r="Y154" s="282">
        <f t="shared" si="90"/>
        <v>22250.620234987586</v>
      </c>
      <c r="Z154" s="202">
        <f t="shared" si="91"/>
        <v>5231.5446153691055</v>
      </c>
      <c r="AA154" s="203">
        <f t="shared" si="92"/>
        <v>27482.16485035669</v>
      </c>
      <c r="AB154" s="32"/>
      <c r="AC154" s="32"/>
      <c r="AD154" s="32"/>
      <c r="AE154" s="32"/>
      <c r="AF154" s="32"/>
      <c r="AG154" s="33"/>
      <c r="AH154" s="32"/>
      <c r="AI154" s="32"/>
    </row>
    <row r="155" spans="1:35" ht="13.5" customHeight="1">
      <c r="A155" s="190">
        <v>24</v>
      </c>
      <c r="B155" s="308">
        <v>44562</v>
      </c>
      <c r="C155" s="120">
        <f>VLOOKUP(B155,'base(indices)'!$A$4:$C$183,3,FALSE)</f>
        <v>1212</v>
      </c>
      <c r="D155" s="193">
        <f>'base(indices)'!G148</f>
        <v>0.99999998000000001</v>
      </c>
      <c r="E155" s="78">
        <f>C155*D155</f>
        <v>1211.9999757600001</v>
      </c>
      <c r="F155" s="79">
        <f>'base(indices)'!I148</f>
        <v>0.29149999999999998</v>
      </c>
      <c r="G155" s="78">
        <f t="shared" si="109"/>
        <v>353.29799293404</v>
      </c>
      <c r="H155" s="266">
        <f t="shared" si="110"/>
        <v>1565.29796869404</v>
      </c>
      <c r="I155" s="276">
        <f t="shared" si="93"/>
        <v>35655.247086895048</v>
      </c>
      <c r="J155" s="48">
        <f>IF((I155)+K155&gt;$I$97,$I$197-K155,(I155))</f>
        <v>35655.247086895048</v>
      </c>
      <c r="K155" s="109">
        <f t="shared" si="111"/>
        <v>8719.2410256151761</v>
      </c>
      <c r="L155" s="49">
        <f t="shared" si="77"/>
        <v>44374.488112510226</v>
      </c>
      <c r="M155" s="138">
        <f t="shared" si="78"/>
        <v>33872.484732550292</v>
      </c>
      <c r="N155" s="109">
        <f t="shared" si="79"/>
        <v>8283.2789743344165</v>
      </c>
      <c r="O155" s="139">
        <f t="shared" si="80"/>
        <v>42155.763706884711</v>
      </c>
      <c r="P155" s="291">
        <f t="shared" si="100"/>
        <v>32089.722378205544</v>
      </c>
      <c r="Q155" s="109">
        <f t="shared" si="82"/>
        <v>7847.3169230536587</v>
      </c>
      <c r="R155" s="49">
        <f t="shared" si="102"/>
        <v>39937.039301259203</v>
      </c>
      <c r="S155" s="138">
        <f>J155*S$9</f>
        <v>28524.197669516041</v>
      </c>
      <c r="T155" s="109">
        <f t="shared" si="85"/>
        <v>6975.3928204921413</v>
      </c>
      <c r="U155" s="139">
        <f>S155+T155</f>
        <v>35499.59049000818</v>
      </c>
      <c r="V155" s="48">
        <f t="shared" si="87"/>
        <v>24958.67296082653</v>
      </c>
      <c r="W155" s="109">
        <f t="shared" si="88"/>
        <v>6103.4687179306229</v>
      </c>
      <c r="X155" s="49">
        <f t="shared" si="89"/>
        <v>31062.141678757154</v>
      </c>
      <c r="Y155" s="138">
        <f t="shared" si="90"/>
        <v>21393.148252137027</v>
      </c>
      <c r="Z155" s="109">
        <f t="shared" si="91"/>
        <v>5231.5446153691055</v>
      </c>
      <c r="AA155" s="49">
        <f t="shared" si="92"/>
        <v>26624.692867506132</v>
      </c>
    </row>
    <row r="156" spans="1:35" ht="13.5" customHeight="1">
      <c r="A156" s="187">
        <v>23</v>
      </c>
      <c r="B156" s="50">
        <v>44593</v>
      </c>
      <c r="C156" s="61">
        <f>VLOOKUP(B156,'base(indices)'!$A$4:$C$183,3,FALSE)</f>
        <v>1212</v>
      </c>
      <c r="D156" s="192">
        <f>'base(indices)'!G149</f>
        <v>0.99999998000000001</v>
      </c>
      <c r="E156" s="54">
        <f t="shared" ref="E156:E166" si="112">C156*D156</f>
        <v>1211.9999757600001</v>
      </c>
      <c r="F156" s="82">
        <f>'base(indices)'!I149</f>
        <v>0.28420000000000001</v>
      </c>
      <c r="G156" s="54">
        <f t="shared" si="109"/>
        <v>344.45039311099202</v>
      </c>
      <c r="H156" s="267">
        <f t="shared" si="110"/>
        <v>1556.4503688709922</v>
      </c>
      <c r="I156" s="277">
        <f t="shared" si="93"/>
        <v>34089.94911820101</v>
      </c>
      <c r="J156" s="58">
        <f>IF((I156)+K156&gt;$I$197,$I$197-K156,(I156))</f>
        <v>34089.94911820101</v>
      </c>
      <c r="K156" s="91">
        <f t="shared" si="111"/>
        <v>8719.2410256151761</v>
      </c>
      <c r="L156" s="284">
        <f t="shared" si="77"/>
        <v>42809.190143816188</v>
      </c>
      <c r="M156" s="57">
        <f t="shared" si="78"/>
        <v>32385.451662290958</v>
      </c>
      <c r="N156" s="91">
        <f t="shared" si="79"/>
        <v>8283.2789743344165</v>
      </c>
      <c r="O156" s="60">
        <f t="shared" si="80"/>
        <v>40668.730636625376</v>
      </c>
      <c r="P156" s="58">
        <f t="shared" si="100"/>
        <v>30680.954206380909</v>
      </c>
      <c r="Q156" s="91">
        <f t="shared" si="82"/>
        <v>7847.3169230536587</v>
      </c>
      <c r="R156" s="59">
        <f t="shared" si="102"/>
        <v>38528.271129434565</v>
      </c>
      <c r="S156" s="57">
        <f t="shared" ref="S156:S178" si="113">J156*S$9</f>
        <v>27271.959294560809</v>
      </c>
      <c r="T156" s="91">
        <f t="shared" si="85"/>
        <v>6975.3928204921413</v>
      </c>
      <c r="U156" s="60">
        <f t="shared" ref="U156:U178" si="114">S156+T156</f>
        <v>34247.352115052949</v>
      </c>
      <c r="V156" s="58">
        <f t="shared" si="87"/>
        <v>23862.964382740705</v>
      </c>
      <c r="W156" s="91">
        <f t="shared" si="88"/>
        <v>6103.4687179306229</v>
      </c>
      <c r="X156" s="59">
        <f t="shared" si="89"/>
        <v>29966.433100671329</v>
      </c>
      <c r="Y156" s="57">
        <f t="shared" si="90"/>
        <v>20453.969470920605</v>
      </c>
      <c r="Z156" s="91">
        <f t="shared" si="91"/>
        <v>5231.5446153691055</v>
      </c>
      <c r="AA156" s="59">
        <f t="shared" si="92"/>
        <v>25685.51408628971</v>
      </c>
    </row>
    <row r="157" spans="1:35" ht="13.5" customHeight="1">
      <c r="A157" s="187">
        <v>22</v>
      </c>
      <c r="B157" s="50">
        <v>44621</v>
      </c>
      <c r="C157" s="61">
        <f>VLOOKUP(B157,'base(indices)'!$A$4:$C$183,3,FALSE)</f>
        <v>1212</v>
      </c>
      <c r="D157" s="192">
        <f>'base(indices)'!G150</f>
        <v>0.99999998000000001</v>
      </c>
      <c r="E157" s="63">
        <f t="shared" si="112"/>
        <v>1211.9999757600001</v>
      </c>
      <c r="F157" s="82">
        <f>'base(indices)'!I150</f>
        <v>0.27660000000000001</v>
      </c>
      <c r="G157" s="63">
        <f t="shared" si="109"/>
        <v>335.23919329521607</v>
      </c>
      <c r="H157" s="268">
        <f t="shared" si="110"/>
        <v>1547.2391690552163</v>
      </c>
      <c r="I157" s="278">
        <f t="shared" si="93"/>
        <v>32533.498749330018</v>
      </c>
      <c r="J157" s="119">
        <f>IF((I157)+K157&gt;$I$197,$I$197-K157,(I157))</f>
        <v>32533.498749330018</v>
      </c>
      <c r="K157" s="108">
        <f t="shared" si="111"/>
        <v>8719.2410256151761</v>
      </c>
      <c r="L157" s="46">
        <f t="shared" si="77"/>
        <v>41252.739774945192</v>
      </c>
      <c r="M157" s="43">
        <f t="shared" si="78"/>
        <v>30906.823811863516</v>
      </c>
      <c r="N157" s="108">
        <f t="shared" si="79"/>
        <v>8283.2789743344165</v>
      </c>
      <c r="O157" s="47">
        <f t="shared" si="80"/>
        <v>39190.102786197931</v>
      </c>
      <c r="P157" s="119">
        <f t="shared" si="100"/>
        <v>29280.148874397015</v>
      </c>
      <c r="Q157" s="108">
        <f t="shared" si="82"/>
        <v>7847.3169230536587</v>
      </c>
      <c r="R157" s="46">
        <f t="shared" si="102"/>
        <v>37127.46579745067</v>
      </c>
      <c r="S157" s="43">
        <f t="shared" si="113"/>
        <v>26026.798999464016</v>
      </c>
      <c r="T157" s="108">
        <f t="shared" si="85"/>
        <v>6975.3928204921413</v>
      </c>
      <c r="U157" s="47">
        <f t="shared" si="114"/>
        <v>33002.191819956155</v>
      </c>
      <c r="V157" s="45">
        <f t="shared" si="87"/>
        <v>22773.449124531013</v>
      </c>
      <c r="W157" s="108">
        <f t="shared" si="88"/>
        <v>6103.4687179306229</v>
      </c>
      <c r="X157" s="46">
        <f t="shared" si="89"/>
        <v>28876.917842461637</v>
      </c>
      <c r="Y157" s="43">
        <f t="shared" si="90"/>
        <v>19520.09924959801</v>
      </c>
      <c r="Z157" s="108">
        <f t="shared" si="91"/>
        <v>5231.5446153691055</v>
      </c>
      <c r="AA157" s="46">
        <f t="shared" si="92"/>
        <v>24751.643864967114</v>
      </c>
    </row>
    <row r="158" spans="1:35" ht="13.5" customHeight="1">
      <c r="A158" s="187">
        <v>21</v>
      </c>
      <c r="B158" s="50">
        <v>44652</v>
      </c>
      <c r="C158" s="61">
        <f>VLOOKUP(B158,'base(indices)'!$A$4:$C$183,3,FALSE)</f>
        <v>1212</v>
      </c>
      <c r="D158" s="192">
        <f>'base(indices)'!G151</f>
        <v>0.99999998000000001</v>
      </c>
      <c r="E158" s="54">
        <f t="shared" si="112"/>
        <v>1211.9999757600001</v>
      </c>
      <c r="F158" s="82">
        <f>'base(indices)'!I151</f>
        <v>0.26729999999999998</v>
      </c>
      <c r="G158" s="54">
        <f t="shared" si="109"/>
        <v>323.96759352064799</v>
      </c>
      <c r="H158" s="267">
        <f t="shared" si="110"/>
        <v>1535.9675692806481</v>
      </c>
      <c r="I158" s="277">
        <f t="shared" si="93"/>
        <v>30986.2595802748</v>
      </c>
      <c r="J158" s="58">
        <f>IF((I158)+K158&gt;$I$197,$I$197-K158,(I158))</f>
        <v>30986.2595802748</v>
      </c>
      <c r="K158" s="91">
        <f t="shared" si="111"/>
        <v>8719.2410256151761</v>
      </c>
      <c r="L158" s="284">
        <f t="shared" si="77"/>
        <v>39705.500605889974</v>
      </c>
      <c r="M158" s="57">
        <f t="shared" si="78"/>
        <v>29436.946601261057</v>
      </c>
      <c r="N158" s="91">
        <f t="shared" si="79"/>
        <v>8283.2789743344165</v>
      </c>
      <c r="O158" s="60">
        <f t="shared" si="80"/>
        <v>37720.225575595476</v>
      </c>
      <c r="P158" s="58">
        <f t="shared" si="100"/>
        <v>27887.633622247322</v>
      </c>
      <c r="Q158" s="91">
        <f t="shared" si="82"/>
        <v>7847.3169230536587</v>
      </c>
      <c r="R158" s="59">
        <f t="shared" si="102"/>
        <v>35734.950545300977</v>
      </c>
      <c r="S158" s="57">
        <f t="shared" si="113"/>
        <v>24789.00766421984</v>
      </c>
      <c r="T158" s="91">
        <f t="shared" si="85"/>
        <v>6975.3928204921413</v>
      </c>
      <c r="U158" s="60">
        <f t="shared" si="114"/>
        <v>31764.40048471198</v>
      </c>
      <c r="V158" s="58">
        <f t="shared" si="87"/>
        <v>21690.381706192358</v>
      </c>
      <c r="W158" s="91">
        <f t="shared" si="88"/>
        <v>6103.4687179306229</v>
      </c>
      <c r="X158" s="59">
        <f t="shared" si="89"/>
        <v>27793.850424122982</v>
      </c>
      <c r="Y158" s="57">
        <f t="shared" si="90"/>
        <v>18591.75574816488</v>
      </c>
      <c r="Z158" s="91">
        <f t="shared" si="91"/>
        <v>5231.5446153691055</v>
      </c>
      <c r="AA158" s="59">
        <f t="shared" si="92"/>
        <v>23823.300363533985</v>
      </c>
    </row>
    <row r="159" spans="1:35" ht="13.5" customHeight="1">
      <c r="A159" s="187">
        <v>20</v>
      </c>
      <c r="B159" s="50">
        <v>44682</v>
      </c>
      <c r="C159" s="61">
        <f>VLOOKUP(B159,'base(indices)'!$A$4:$C$183,3,FALSE)</f>
        <v>1212</v>
      </c>
      <c r="D159" s="192">
        <f>'base(indices)'!G152</f>
        <v>0.99999998000000001</v>
      </c>
      <c r="E159" s="63">
        <f t="shared" si="112"/>
        <v>1211.9999757600001</v>
      </c>
      <c r="F159" s="82">
        <f>'base(indices)'!I152</f>
        <v>0.25900000000000001</v>
      </c>
      <c r="G159" s="63">
        <f t="shared" si="109"/>
        <v>313.90799372184006</v>
      </c>
      <c r="H159" s="268">
        <f t="shared" si="110"/>
        <v>1525.9079694818402</v>
      </c>
      <c r="I159" s="278">
        <f t="shared" si="93"/>
        <v>29450.292010994151</v>
      </c>
      <c r="J159" s="119">
        <f t="shared" ref="J159:J166" si="115">IF((I159)+K159&gt;$I$197,$I$197-K159,(I159))</f>
        <v>29450.292010994151</v>
      </c>
      <c r="K159" s="108">
        <f t="shared" si="111"/>
        <v>8719.2410256151761</v>
      </c>
      <c r="L159" s="46">
        <f t="shared" si="77"/>
        <v>38169.533036609326</v>
      </c>
      <c r="M159" s="43">
        <f t="shared" si="78"/>
        <v>27977.777410444443</v>
      </c>
      <c r="N159" s="108">
        <f t="shared" si="79"/>
        <v>8283.2789743344165</v>
      </c>
      <c r="O159" s="47">
        <f t="shared" si="80"/>
        <v>36261.056384778858</v>
      </c>
      <c r="P159" s="119">
        <f t="shared" si="100"/>
        <v>26505.262809894735</v>
      </c>
      <c r="Q159" s="108">
        <f t="shared" si="82"/>
        <v>7847.3169230536587</v>
      </c>
      <c r="R159" s="46">
        <f t="shared" si="102"/>
        <v>34352.57973294839</v>
      </c>
      <c r="S159" s="43">
        <f t="shared" si="113"/>
        <v>23560.233608795323</v>
      </c>
      <c r="T159" s="108">
        <f t="shared" si="85"/>
        <v>6975.3928204921413</v>
      </c>
      <c r="U159" s="47">
        <f t="shared" si="114"/>
        <v>30535.626429287462</v>
      </c>
      <c r="V159" s="45">
        <f t="shared" si="87"/>
        <v>20615.204407695906</v>
      </c>
      <c r="W159" s="108">
        <f t="shared" si="88"/>
        <v>6103.4687179306229</v>
      </c>
      <c r="X159" s="46">
        <f t="shared" si="89"/>
        <v>26718.67312562653</v>
      </c>
      <c r="Y159" s="43">
        <f t="shared" si="90"/>
        <v>17670.17520659649</v>
      </c>
      <c r="Z159" s="108">
        <f t="shared" si="91"/>
        <v>5231.5446153691055</v>
      </c>
      <c r="AA159" s="46">
        <f t="shared" si="92"/>
        <v>22901.719821965595</v>
      </c>
    </row>
    <row r="160" spans="1:35" ht="13.5" customHeight="1">
      <c r="A160" s="187">
        <v>19</v>
      </c>
      <c r="B160" s="50">
        <v>44713</v>
      </c>
      <c r="C160" s="61">
        <f>VLOOKUP(B160,'base(indices)'!$A$4:$C$183,3,FALSE)</f>
        <v>1212</v>
      </c>
      <c r="D160" s="192">
        <f>'base(indices)'!G153</f>
        <v>0.99999998000000001</v>
      </c>
      <c r="E160" s="54">
        <f t="shared" si="112"/>
        <v>1211.9999757600001</v>
      </c>
      <c r="F160" s="82">
        <f>'base(indices)'!I153</f>
        <v>0.2487</v>
      </c>
      <c r="G160" s="54">
        <f t="shared" si="109"/>
        <v>301.42439397151202</v>
      </c>
      <c r="H160" s="267">
        <f t="shared" si="110"/>
        <v>1513.4243697315121</v>
      </c>
      <c r="I160" s="277">
        <f t="shared" si="93"/>
        <v>27924.384041512312</v>
      </c>
      <c r="J160" s="58">
        <f t="shared" si="115"/>
        <v>27924.384041512312</v>
      </c>
      <c r="K160" s="91">
        <f t="shared" si="111"/>
        <v>8719.2410256151761</v>
      </c>
      <c r="L160" s="284">
        <f t="shared" ref="L160:L178" si="116">J160+K160</f>
        <v>36643.62506712749</v>
      </c>
      <c r="M160" s="57">
        <f t="shared" ref="M160:M178" si="117">J160*M$9</f>
        <v>26528.164839436697</v>
      </c>
      <c r="N160" s="91">
        <f t="shared" ref="N160:N178" si="118">K160*M$9</f>
        <v>8283.2789743344165</v>
      </c>
      <c r="O160" s="60">
        <f t="shared" ref="O160:O178" si="119">M160+N160</f>
        <v>34811.443813771111</v>
      </c>
      <c r="P160" s="58">
        <f t="shared" si="100"/>
        <v>25131.945637361081</v>
      </c>
      <c r="Q160" s="91">
        <f t="shared" ref="Q160:Q178" si="120">K160*P$9</f>
        <v>7847.3169230536587</v>
      </c>
      <c r="R160" s="59">
        <f t="shared" si="102"/>
        <v>32979.26256041474</v>
      </c>
      <c r="S160" s="57">
        <f t="shared" si="113"/>
        <v>22339.50723320985</v>
      </c>
      <c r="T160" s="91">
        <f t="shared" ref="T160:T178" si="121">K160*S$9</f>
        <v>6975.3928204921413</v>
      </c>
      <c r="U160" s="60">
        <f t="shared" si="114"/>
        <v>29314.900053701989</v>
      </c>
      <c r="V160" s="58">
        <f t="shared" ref="V160:V178" si="122">J160*V$9</f>
        <v>19547.068829058619</v>
      </c>
      <c r="W160" s="91">
        <f t="shared" ref="W160:W178" si="123">K160*V$9</f>
        <v>6103.4687179306229</v>
      </c>
      <c r="X160" s="59">
        <f t="shared" ref="X160:X178" si="124">V160+W160</f>
        <v>25650.537546989242</v>
      </c>
      <c r="Y160" s="57">
        <f t="shared" ref="Y160:Y178" si="125">J160*Y$9</f>
        <v>16754.630424907387</v>
      </c>
      <c r="Z160" s="91">
        <f t="shared" ref="Z160:Z178" si="126">K160*Y$9</f>
        <v>5231.5446153691055</v>
      </c>
      <c r="AA160" s="59">
        <f t="shared" ref="AA160:AA178" si="127">Y160+Z160</f>
        <v>21986.175040276492</v>
      </c>
    </row>
    <row r="161" spans="1:27" ht="13.5" customHeight="1">
      <c r="A161" s="187">
        <v>18</v>
      </c>
      <c r="B161" s="50">
        <v>44743</v>
      </c>
      <c r="C161" s="61">
        <f>VLOOKUP(B161,'base(indices)'!$A$4:$C$183,3,FALSE)</f>
        <v>1212</v>
      </c>
      <c r="D161" s="192">
        <f>'base(indices)'!G154</f>
        <v>0.99999998000000001</v>
      </c>
      <c r="E161" s="63">
        <f t="shared" si="112"/>
        <v>1211.9999757600001</v>
      </c>
      <c r="F161" s="82">
        <f>'base(indices)'!I154</f>
        <v>0.23849999999999999</v>
      </c>
      <c r="G161" s="63">
        <f t="shared" si="109"/>
        <v>289.06199421875999</v>
      </c>
      <c r="H161" s="268">
        <f t="shared" si="110"/>
        <v>1501.0619699787601</v>
      </c>
      <c r="I161" s="278">
        <f t="shared" ref="I161:I178" si="128">I160-H160</f>
        <v>26410.959671780802</v>
      </c>
      <c r="J161" s="119">
        <f t="shared" si="115"/>
        <v>26410.959671780802</v>
      </c>
      <c r="K161" s="108">
        <f t="shared" si="111"/>
        <v>8719.2410256151761</v>
      </c>
      <c r="L161" s="46">
        <f t="shared" si="116"/>
        <v>35130.20069739598</v>
      </c>
      <c r="M161" s="43">
        <f t="shared" si="117"/>
        <v>25090.411688191762</v>
      </c>
      <c r="N161" s="108">
        <f t="shared" si="118"/>
        <v>8283.2789743344165</v>
      </c>
      <c r="O161" s="47">
        <f t="shared" si="119"/>
        <v>33373.690662526176</v>
      </c>
      <c r="P161" s="119">
        <f t="shared" si="100"/>
        <v>23769.863704602722</v>
      </c>
      <c r="Q161" s="108">
        <f t="shared" si="120"/>
        <v>7847.3169230536587</v>
      </c>
      <c r="R161" s="46">
        <f t="shared" si="102"/>
        <v>31617.18062765638</v>
      </c>
      <c r="S161" s="43">
        <f t="shared" si="113"/>
        <v>21128.767737424641</v>
      </c>
      <c r="T161" s="108">
        <f t="shared" si="121"/>
        <v>6975.3928204921413</v>
      </c>
      <c r="U161" s="47">
        <f t="shared" si="114"/>
        <v>28104.160557916781</v>
      </c>
      <c r="V161" s="45">
        <f t="shared" si="122"/>
        <v>18487.671770246561</v>
      </c>
      <c r="W161" s="108">
        <f t="shared" si="123"/>
        <v>6103.4687179306229</v>
      </c>
      <c r="X161" s="46">
        <f t="shared" si="124"/>
        <v>24591.140488177185</v>
      </c>
      <c r="Y161" s="43">
        <f t="shared" si="125"/>
        <v>15846.575803068481</v>
      </c>
      <c r="Z161" s="108">
        <f t="shared" si="126"/>
        <v>5231.5446153691055</v>
      </c>
      <c r="AA161" s="46">
        <f t="shared" si="127"/>
        <v>21078.120418437586</v>
      </c>
    </row>
    <row r="162" spans="1:27" ht="13.5" customHeight="1">
      <c r="A162" s="187">
        <v>17</v>
      </c>
      <c r="B162" s="50">
        <v>44774</v>
      </c>
      <c r="C162" s="61">
        <f>VLOOKUP(B162,'base(indices)'!$A$4:$C$183,3,FALSE)</f>
        <v>1212</v>
      </c>
      <c r="D162" s="192">
        <f>'base(indices)'!G155</f>
        <v>0.99999998000000001</v>
      </c>
      <c r="E162" s="54">
        <f t="shared" si="112"/>
        <v>1211.9999757600001</v>
      </c>
      <c r="F162" s="82">
        <f>'base(indices)'!I155</f>
        <v>0.22819999999999999</v>
      </c>
      <c r="G162" s="54">
        <f t="shared" si="109"/>
        <v>276.57839446843201</v>
      </c>
      <c r="H162" s="267">
        <f t="shared" si="110"/>
        <v>1488.578370228432</v>
      </c>
      <c r="I162" s="277">
        <f t="shared" si="128"/>
        <v>24909.897701802041</v>
      </c>
      <c r="J162" s="58">
        <f t="shared" si="115"/>
        <v>24909.897701802041</v>
      </c>
      <c r="K162" s="91">
        <f t="shared" si="111"/>
        <v>8719.2410256151761</v>
      </c>
      <c r="L162" s="284">
        <f t="shared" si="116"/>
        <v>33629.138727417216</v>
      </c>
      <c r="M162" s="57">
        <f t="shared" si="117"/>
        <v>23664.40281671194</v>
      </c>
      <c r="N162" s="91">
        <f t="shared" si="118"/>
        <v>8283.2789743344165</v>
      </c>
      <c r="O162" s="60">
        <f t="shared" si="119"/>
        <v>31947.681791046358</v>
      </c>
      <c r="P162" s="58">
        <f t="shared" si="100"/>
        <v>22418.907931621838</v>
      </c>
      <c r="Q162" s="91">
        <f t="shared" si="120"/>
        <v>7847.3169230536587</v>
      </c>
      <c r="R162" s="59">
        <f t="shared" si="102"/>
        <v>30266.224854675496</v>
      </c>
      <c r="S162" s="57">
        <f t="shared" si="113"/>
        <v>19927.918161441634</v>
      </c>
      <c r="T162" s="91">
        <f t="shared" si="121"/>
        <v>6975.3928204921413</v>
      </c>
      <c r="U162" s="60">
        <f t="shared" si="114"/>
        <v>26903.310981933777</v>
      </c>
      <c r="V162" s="58">
        <f t="shared" si="122"/>
        <v>17436.928391261426</v>
      </c>
      <c r="W162" s="91">
        <f t="shared" si="123"/>
        <v>6103.4687179306229</v>
      </c>
      <c r="X162" s="59">
        <f t="shared" si="124"/>
        <v>23540.39710919205</v>
      </c>
      <c r="Y162" s="57">
        <f t="shared" si="125"/>
        <v>14945.938621081224</v>
      </c>
      <c r="Z162" s="91">
        <f t="shared" si="126"/>
        <v>5231.5446153691055</v>
      </c>
      <c r="AA162" s="59">
        <f t="shared" si="127"/>
        <v>20177.483236450331</v>
      </c>
    </row>
    <row r="163" spans="1:27" ht="13.5" customHeight="1">
      <c r="A163" s="187">
        <v>16</v>
      </c>
      <c r="B163" s="50">
        <v>44805</v>
      </c>
      <c r="C163" s="61">
        <f>VLOOKUP(B163,'base(indices)'!$A$4:$C$183,3,FALSE)</f>
        <v>1212</v>
      </c>
      <c r="D163" s="192">
        <f>'base(indices)'!G156</f>
        <v>0.99999998000000001</v>
      </c>
      <c r="E163" s="63">
        <f t="shared" si="112"/>
        <v>1211.9999757600001</v>
      </c>
      <c r="F163" s="82">
        <f>'base(indices)'!I156</f>
        <v>0.2165</v>
      </c>
      <c r="G163" s="63">
        <f t="shared" si="109"/>
        <v>262.39799475204001</v>
      </c>
      <c r="H163" s="268">
        <f t="shared" si="110"/>
        <v>1474.39797051204</v>
      </c>
      <c r="I163" s="278">
        <f t="shared" si="128"/>
        <v>23421.31933157361</v>
      </c>
      <c r="J163" s="119">
        <f t="shared" si="115"/>
        <v>23421.31933157361</v>
      </c>
      <c r="K163" s="108">
        <f t="shared" si="111"/>
        <v>8719.2410256151761</v>
      </c>
      <c r="L163" s="46">
        <f t="shared" si="116"/>
        <v>32140.560357188784</v>
      </c>
      <c r="M163" s="43">
        <f t="shared" si="117"/>
        <v>22250.253364994929</v>
      </c>
      <c r="N163" s="108">
        <f t="shared" si="118"/>
        <v>8283.2789743344165</v>
      </c>
      <c r="O163" s="47">
        <f t="shared" si="119"/>
        <v>30533.532339329344</v>
      </c>
      <c r="P163" s="119">
        <f t="shared" si="100"/>
        <v>21079.187398416248</v>
      </c>
      <c r="Q163" s="108">
        <f t="shared" si="120"/>
        <v>7847.3169230536587</v>
      </c>
      <c r="R163" s="46">
        <f t="shared" si="102"/>
        <v>28926.504321469907</v>
      </c>
      <c r="S163" s="43">
        <f t="shared" si="113"/>
        <v>18737.055465258887</v>
      </c>
      <c r="T163" s="108">
        <f t="shared" si="121"/>
        <v>6975.3928204921413</v>
      </c>
      <c r="U163" s="47">
        <f t="shared" si="114"/>
        <v>25712.44828575103</v>
      </c>
      <c r="V163" s="45">
        <f t="shared" si="122"/>
        <v>16394.923532101526</v>
      </c>
      <c r="W163" s="108">
        <f t="shared" si="123"/>
        <v>6103.4687179306229</v>
      </c>
      <c r="X163" s="46">
        <f t="shared" si="124"/>
        <v>22498.39225003215</v>
      </c>
      <c r="Y163" s="43">
        <f t="shared" si="125"/>
        <v>14052.791598944166</v>
      </c>
      <c r="Z163" s="108">
        <f t="shared" si="126"/>
        <v>5231.5446153691055</v>
      </c>
      <c r="AA163" s="46">
        <f t="shared" si="127"/>
        <v>19284.336214313273</v>
      </c>
    </row>
    <row r="164" spans="1:27" ht="13.5" customHeight="1">
      <c r="A164" s="187">
        <v>15</v>
      </c>
      <c r="B164" s="50">
        <v>44835</v>
      </c>
      <c r="C164" s="61">
        <f>VLOOKUP(B164,'base(indices)'!$A$4:$C$183,3,FALSE)</f>
        <v>1212</v>
      </c>
      <c r="D164" s="192">
        <f>'base(indices)'!G157</f>
        <v>0.99999998000000001</v>
      </c>
      <c r="E164" s="54">
        <f t="shared" si="112"/>
        <v>1211.9999757600001</v>
      </c>
      <c r="F164" s="82">
        <f>'base(indices)'!I157</f>
        <v>0.20580000000000001</v>
      </c>
      <c r="G164" s="54">
        <f t="shared" si="109"/>
        <v>249.42959501140803</v>
      </c>
      <c r="H164" s="267">
        <f t="shared" si="110"/>
        <v>1461.4295707714082</v>
      </c>
      <c r="I164" s="277">
        <f t="shared" si="128"/>
        <v>21946.92136106157</v>
      </c>
      <c r="J164" s="58">
        <f t="shared" si="115"/>
        <v>21946.92136106157</v>
      </c>
      <c r="K164" s="91">
        <f t="shared" si="111"/>
        <v>8719.2410256151761</v>
      </c>
      <c r="L164" s="284">
        <f t="shared" si="116"/>
        <v>30666.162386676748</v>
      </c>
      <c r="M164" s="57">
        <f t="shared" si="117"/>
        <v>20849.575293008489</v>
      </c>
      <c r="N164" s="91">
        <f t="shared" si="118"/>
        <v>8283.2789743344165</v>
      </c>
      <c r="O164" s="60">
        <f t="shared" si="119"/>
        <v>29132.854267342904</v>
      </c>
      <c r="P164" s="58">
        <f t="shared" si="100"/>
        <v>19752.229224955412</v>
      </c>
      <c r="Q164" s="91">
        <f t="shared" si="120"/>
        <v>7847.3169230536587</v>
      </c>
      <c r="R164" s="59">
        <f t="shared" si="102"/>
        <v>27599.546148009071</v>
      </c>
      <c r="S164" s="57">
        <f t="shared" si="113"/>
        <v>17557.537088849258</v>
      </c>
      <c r="T164" s="91">
        <f t="shared" si="121"/>
        <v>6975.3928204921413</v>
      </c>
      <c r="U164" s="60">
        <f t="shared" si="114"/>
        <v>24532.929909341401</v>
      </c>
      <c r="V164" s="58">
        <f t="shared" si="122"/>
        <v>15362.844952743098</v>
      </c>
      <c r="W164" s="91">
        <f t="shared" si="123"/>
        <v>6103.4687179306229</v>
      </c>
      <c r="X164" s="59">
        <f t="shared" si="124"/>
        <v>21466.31367067372</v>
      </c>
      <c r="Y164" s="57">
        <f t="shared" si="125"/>
        <v>13168.152816636941</v>
      </c>
      <c r="Z164" s="91">
        <f t="shared" si="126"/>
        <v>5231.5446153691055</v>
      </c>
      <c r="AA164" s="59">
        <f t="shared" si="127"/>
        <v>18399.697432006047</v>
      </c>
    </row>
    <row r="165" spans="1:27" ht="13.5" customHeight="1">
      <c r="A165" s="187">
        <v>14</v>
      </c>
      <c r="B165" s="50">
        <v>44866</v>
      </c>
      <c r="C165" s="61">
        <f>VLOOKUP(B165,'base(indices)'!$A$4:$C$183,3,FALSE)</f>
        <v>1212</v>
      </c>
      <c r="D165" s="192">
        <f>'base(indices)'!G158</f>
        <v>0.99999998000000001</v>
      </c>
      <c r="E165" s="63">
        <f t="shared" si="112"/>
        <v>1211.9999757600001</v>
      </c>
      <c r="F165" s="82">
        <f>'base(indices)'!I158</f>
        <v>0.1956</v>
      </c>
      <c r="G165" s="63">
        <f t="shared" si="109"/>
        <v>237.06719525865603</v>
      </c>
      <c r="H165" s="268">
        <f t="shared" si="110"/>
        <v>1449.0671710186562</v>
      </c>
      <c r="I165" s="278">
        <f t="shared" si="128"/>
        <v>20485.491790290162</v>
      </c>
      <c r="J165" s="119">
        <f t="shared" si="115"/>
        <v>20485.491790290162</v>
      </c>
      <c r="K165" s="108">
        <f t="shared" si="111"/>
        <v>8719.2410256151761</v>
      </c>
      <c r="L165" s="46">
        <f t="shared" si="116"/>
        <v>29204.732815905336</v>
      </c>
      <c r="M165" s="43">
        <f t="shared" si="117"/>
        <v>19461.217200775653</v>
      </c>
      <c r="N165" s="108">
        <f t="shared" si="118"/>
        <v>8283.2789743344165</v>
      </c>
      <c r="O165" s="47">
        <f t="shared" si="119"/>
        <v>27744.496175110071</v>
      </c>
      <c r="P165" s="119">
        <f t="shared" si="100"/>
        <v>18436.942611261147</v>
      </c>
      <c r="Q165" s="108">
        <f t="shared" si="120"/>
        <v>7847.3169230536587</v>
      </c>
      <c r="R165" s="46">
        <f t="shared" si="102"/>
        <v>26284.259534314806</v>
      </c>
      <c r="S165" s="43">
        <f t="shared" si="113"/>
        <v>16388.393432232129</v>
      </c>
      <c r="T165" s="108">
        <f t="shared" si="121"/>
        <v>6975.3928204921413</v>
      </c>
      <c r="U165" s="47">
        <f t="shared" si="114"/>
        <v>23363.786252724269</v>
      </c>
      <c r="V165" s="45">
        <f t="shared" si="122"/>
        <v>14339.844253203111</v>
      </c>
      <c r="W165" s="108">
        <f t="shared" si="123"/>
        <v>6103.4687179306229</v>
      </c>
      <c r="X165" s="46">
        <f t="shared" si="124"/>
        <v>20443.312971133735</v>
      </c>
      <c r="Y165" s="43">
        <f t="shared" si="125"/>
        <v>12291.295074174097</v>
      </c>
      <c r="Z165" s="108">
        <f t="shared" si="126"/>
        <v>5231.5446153691055</v>
      </c>
      <c r="AA165" s="46">
        <f t="shared" si="127"/>
        <v>17522.839689543202</v>
      </c>
    </row>
    <row r="166" spans="1:27" ht="13.5" customHeight="1" thickBot="1">
      <c r="A166" s="188">
        <v>13</v>
      </c>
      <c r="B166" s="300">
        <v>44896</v>
      </c>
      <c r="C166" s="61">
        <f>VLOOKUP(B166,'base(indices)'!$A$4:$C$183,3,FALSE)</f>
        <v>1212</v>
      </c>
      <c r="D166" s="335">
        <f>'base(indices)'!G159</f>
        <v>0.99999998000000001</v>
      </c>
      <c r="E166" s="163">
        <f t="shared" si="112"/>
        <v>1211.9999757600001</v>
      </c>
      <c r="F166" s="304">
        <f>'base(indices)'!I159</f>
        <v>0.18540000000000001</v>
      </c>
      <c r="G166" s="163">
        <f t="shared" si="109"/>
        <v>224.70479550590403</v>
      </c>
      <c r="H166" s="355">
        <f t="shared" si="110"/>
        <v>1436.7047712659041</v>
      </c>
      <c r="I166" s="280">
        <f t="shared" si="128"/>
        <v>19036.424619271507</v>
      </c>
      <c r="J166" s="58">
        <f t="shared" si="115"/>
        <v>19036.424619271507</v>
      </c>
      <c r="K166" s="86">
        <f t="shared" si="111"/>
        <v>8719.2410256151761</v>
      </c>
      <c r="L166" s="287">
        <f t="shared" si="116"/>
        <v>27755.665644886685</v>
      </c>
      <c r="M166" s="85">
        <f t="shared" si="117"/>
        <v>18084.603388307933</v>
      </c>
      <c r="N166" s="86">
        <f t="shared" si="118"/>
        <v>8283.2789743344165</v>
      </c>
      <c r="O166" s="107">
        <f t="shared" si="119"/>
        <v>26367.882362642347</v>
      </c>
      <c r="P166" s="175">
        <f t="shared" si="100"/>
        <v>17132.782157344358</v>
      </c>
      <c r="Q166" s="86">
        <f t="shared" si="120"/>
        <v>7847.3169230536587</v>
      </c>
      <c r="R166" s="165">
        <f t="shared" si="102"/>
        <v>24980.099080398017</v>
      </c>
      <c r="S166" s="85">
        <f t="shared" si="113"/>
        <v>15229.139695417207</v>
      </c>
      <c r="T166" s="86">
        <f t="shared" si="121"/>
        <v>6975.3928204921413</v>
      </c>
      <c r="U166" s="107">
        <f t="shared" si="114"/>
        <v>22204.532515909348</v>
      </c>
      <c r="V166" s="175">
        <f t="shared" si="122"/>
        <v>13325.497233490054</v>
      </c>
      <c r="W166" s="86">
        <f t="shared" si="123"/>
        <v>6103.4687179306229</v>
      </c>
      <c r="X166" s="165">
        <f t="shared" si="124"/>
        <v>19428.965951420676</v>
      </c>
      <c r="Y166" s="85">
        <f t="shared" si="125"/>
        <v>11421.854771562905</v>
      </c>
      <c r="Z166" s="86">
        <f t="shared" si="126"/>
        <v>5231.5446153691055</v>
      </c>
      <c r="AA166" s="165">
        <f t="shared" si="127"/>
        <v>16653.399386932011</v>
      </c>
    </row>
    <row r="167" spans="1:27" ht="13.5" customHeight="1">
      <c r="A167" s="217">
        <v>12</v>
      </c>
      <c r="B167" s="136">
        <v>44927</v>
      </c>
      <c r="C167" s="120">
        <f>VLOOKUP(B167,'base(indices)'!$A$4:$C$183,3,FALSE)</f>
        <v>1302</v>
      </c>
      <c r="D167" s="193">
        <f>'base(indices)'!G160</f>
        <v>0.99999998000000001</v>
      </c>
      <c r="E167" s="78">
        <f>C167*D167</f>
        <v>1301.99997396</v>
      </c>
      <c r="F167" s="79">
        <f>'base(indices)'!I160</f>
        <v>0.17419999999999999</v>
      </c>
      <c r="G167" s="78">
        <f t="shared" si="109"/>
        <v>226.808395463832</v>
      </c>
      <c r="H167" s="266">
        <f t="shared" si="110"/>
        <v>1528.8083694238321</v>
      </c>
      <c r="I167" s="281">
        <f t="shared" si="128"/>
        <v>17599.719848005603</v>
      </c>
      <c r="J167" s="48">
        <f>IF((I167)+K167&gt;$I$97,$I$197-K167,(I167))</f>
        <v>17599.719848005603</v>
      </c>
      <c r="K167" s="156">
        <f t="shared" si="111"/>
        <v>8719.2410256151761</v>
      </c>
      <c r="L167" s="150">
        <f t="shared" si="116"/>
        <v>26318.960873620781</v>
      </c>
      <c r="M167" s="283">
        <f t="shared" si="117"/>
        <v>16719.733855605322</v>
      </c>
      <c r="N167" s="156">
        <f t="shared" si="118"/>
        <v>8283.2789743344165</v>
      </c>
      <c r="O167" s="290">
        <f t="shared" si="119"/>
        <v>25003.01282993974</v>
      </c>
      <c r="P167" s="292">
        <f t="shared" si="100"/>
        <v>15839.747863205042</v>
      </c>
      <c r="Q167" s="156">
        <f t="shared" si="120"/>
        <v>7847.3169230536587</v>
      </c>
      <c r="R167" s="150">
        <f t="shared" si="102"/>
        <v>23687.064786258699</v>
      </c>
      <c r="S167" s="283">
        <f t="shared" si="113"/>
        <v>14079.775878404484</v>
      </c>
      <c r="T167" s="156">
        <f t="shared" si="121"/>
        <v>6975.3928204921413</v>
      </c>
      <c r="U167" s="290">
        <f t="shared" si="114"/>
        <v>21055.168698896625</v>
      </c>
      <c r="V167" s="288">
        <f t="shared" si="122"/>
        <v>12319.803893603921</v>
      </c>
      <c r="W167" s="156">
        <f t="shared" si="123"/>
        <v>6103.4687179306229</v>
      </c>
      <c r="X167" s="150">
        <f t="shared" si="124"/>
        <v>18423.272611534543</v>
      </c>
      <c r="Y167" s="283">
        <f t="shared" si="125"/>
        <v>10559.831908803362</v>
      </c>
      <c r="Z167" s="156">
        <f t="shared" si="126"/>
        <v>5231.5446153691055</v>
      </c>
      <c r="AA167" s="150">
        <f t="shared" si="127"/>
        <v>15791.376524172469</v>
      </c>
    </row>
    <row r="168" spans="1:27" ht="13.5" customHeight="1">
      <c r="A168" s="187">
        <v>11</v>
      </c>
      <c r="B168" s="50">
        <v>44958</v>
      </c>
      <c r="C168" s="61">
        <f>VLOOKUP(B168,'base(indices)'!$A$4:$C$183,3,FALSE)</f>
        <v>1302</v>
      </c>
      <c r="D168" s="192">
        <f>'base(indices)'!G161</f>
        <v>0.99999998000000001</v>
      </c>
      <c r="E168" s="54">
        <f t="shared" ref="E168:E178" si="129">C168*D168</f>
        <v>1301.99997396</v>
      </c>
      <c r="F168" s="82">
        <f>'base(indices)'!I161</f>
        <v>0.16300000000000001</v>
      </c>
      <c r="G168" s="54">
        <f t="shared" si="109"/>
        <v>212.22599575548</v>
      </c>
      <c r="H168" s="267">
        <f t="shared" si="110"/>
        <v>1514.22596971548</v>
      </c>
      <c r="I168" s="277">
        <f t="shared" si="128"/>
        <v>16070.911478581771</v>
      </c>
      <c r="J168" s="58">
        <f>IF((I168)+K168&gt;$I$197,$I$197-K168,(I168))</f>
        <v>16070.911478581771</v>
      </c>
      <c r="K168" s="91">
        <f t="shared" si="111"/>
        <v>8719.2410256151761</v>
      </c>
      <c r="L168" s="284">
        <f t="shared" si="116"/>
        <v>24790.152504196947</v>
      </c>
      <c r="M168" s="57">
        <f t="shared" si="117"/>
        <v>15267.365904652681</v>
      </c>
      <c r="N168" s="91">
        <f t="shared" si="118"/>
        <v>8283.2789743344165</v>
      </c>
      <c r="O168" s="60">
        <f t="shared" si="119"/>
        <v>23550.644878987099</v>
      </c>
      <c r="P168" s="58">
        <f t="shared" si="100"/>
        <v>14463.820330723594</v>
      </c>
      <c r="Q168" s="91">
        <f t="shared" si="120"/>
        <v>7847.3169230536587</v>
      </c>
      <c r="R168" s="59">
        <f t="shared" si="102"/>
        <v>22311.137253777255</v>
      </c>
      <c r="S168" s="57">
        <f t="shared" si="113"/>
        <v>12856.729182865418</v>
      </c>
      <c r="T168" s="91">
        <f t="shared" si="121"/>
        <v>6975.3928204921413</v>
      </c>
      <c r="U168" s="60">
        <f t="shared" si="114"/>
        <v>19832.122003357559</v>
      </c>
      <c r="V168" s="58">
        <f t="shared" si="122"/>
        <v>11249.63803500724</v>
      </c>
      <c r="W168" s="91">
        <f t="shared" si="123"/>
        <v>6103.4687179306229</v>
      </c>
      <c r="X168" s="59">
        <f t="shared" si="124"/>
        <v>17353.106752937863</v>
      </c>
      <c r="Y168" s="57">
        <f t="shared" si="125"/>
        <v>9642.546887149063</v>
      </c>
      <c r="Z168" s="91">
        <f t="shared" si="126"/>
        <v>5231.5446153691055</v>
      </c>
      <c r="AA168" s="59">
        <f t="shared" si="127"/>
        <v>14874.091502518168</v>
      </c>
    </row>
    <row r="169" spans="1:27" ht="13.5" customHeight="1">
      <c r="A169" s="187">
        <v>10</v>
      </c>
      <c r="B169" s="40">
        <v>44986</v>
      </c>
      <c r="C169" s="61">
        <f>VLOOKUP(B169,'base(indices)'!$A$4:$C$183,3,FALSE)</f>
        <v>1302</v>
      </c>
      <c r="D169" s="192">
        <f>'base(indices)'!G162</f>
        <v>0.99999998000000001</v>
      </c>
      <c r="E169" s="63">
        <f t="shared" si="129"/>
        <v>1301.99997396</v>
      </c>
      <c r="F169" s="82">
        <f>'base(indices)'!I162</f>
        <v>0.15379999999999999</v>
      </c>
      <c r="G169" s="63">
        <f t="shared" si="109"/>
        <v>200.24759599504799</v>
      </c>
      <c r="H169" s="268">
        <f t="shared" si="110"/>
        <v>1502.247569955048</v>
      </c>
      <c r="I169" s="278">
        <f t="shared" si="128"/>
        <v>14556.685508866291</v>
      </c>
      <c r="J169" s="119">
        <f>IF((I169)+K169&gt;$I$197,$I$197-K169,(I169))</f>
        <v>14556.685508866291</v>
      </c>
      <c r="K169" s="108">
        <f t="shared" si="111"/>
        <v>8719.2410256151761</v>
      </c>
      <c r="L169" s="46">
        <f t="shared" si="116"/>
        <v>23275.926534481467</v>
      </c>
      <c r="M169" s="43">
        <f t="shared" si="117"/>
        <v>13828.851233422974</v>
      </c>
      <c r="N169" s="108">
        <f t="shared" si="118"/>
        <v>8283.2789743344165</v>
      </c>
      <c r="O169" s="47">
        <f t="shared" si="119"/>
        <v>22112.130207757393</v>
      </c>
      <c r="P169" s="119">
        <f t="shared" si="100"/>
        <v>13101.016957979662</v>
      </c>
      <c r="Q169" s="108">
        <f t="shared" si="120"/>
        <v>7847.3169230536587</v>
      </c>
      <c r="R169" s="46">
        <f t="shared" si="102"/>
        <v>20948.333881033323</v>
      </c>
      <c r="S169" s="43">
        <f t="shared" si="113"/>
        <v>11645.348407093034</v>
      </c>
      <c r="T169" s="108">
        <f t="shared" si="121"/>
        <v>6975.3928204921413</v>
      </c>
      <c r="U169" s="47">
        <f t="shared" si="114"/>
        <v>18620.741227585175</v>
      </c>
      <c r="V169" s="45">
        <f t="shared" si="122"/>
        <v>10189.679856206403</v>
      </c>
      <c r="W169" s="108">
        <f t="shared" si="123"/>
        <v>6103.4687179306229</v>
      </c>
      <c r="X169" s="46">
        <f t="shared" si="124"/>
        <v>16293.148574137027</v>
      </c>
      <c r="Y169" s="43">
        <f t="shared" si="125"/>
        <v>8734.0113053197747</v>
      </c>
      <c r="Z169" s="108">
        <f t="shared" si="126"/>
        <v>5231.5446153691055</v>
      </c>
      <c r="AA169" s="46">
        <f t="shared" si="127"/>
        <v>13965.555920688879</v>
      </c>
    </row>
    <row r="170" spans="1:27" ht="13.5" customHeight="1">
      <c r="A170" s="187">
        <v>9</v>
      </c>
      <c r="B170" s="50">
        <v>45017</v>
      </c>
      <c r="C170" s="61">
        <f>VLOOKUP(B170,'base(indices)'!$A$4:$C$183,3,FALSE)</f>
        <v>1302</v>
      </c>
      <c r="D170" s="192">
        <f>'base(indices)'!G163</f>
        <v>0.99999998000000001</v>
      </c>
      <c r="E170" s="54">
        <f t="shared" si="129"/>
        <v>1301.99997396</v>
      </c>
      <c r="F170" s="82">
        <f>'base(indices)'!I163</f>
        <v>0.1421</v>
      </c>
      <c r="G170" s="54">
        <f t="shared" si="109"/>
        <v>185.01419629971602</v>
      </c>
      <c r="H170" s="267">
        <f t="shared" si="110"/>
        <v>1487.0141702597161</v>
      </c>
      <c r="I170" s="277">
        <f t="shared" si="128"/>
        <v>13054.437938911242</v>
      </c>
      <c r="J170" s="58">
        <f>IF((I170)+K170&gt;$I$197,$I$197-K170,(I170))</f>
        <v>13054.437938911242</v>
      </c>
      <c r="K170" s="91">
        <f t="shared" si="111"/>
        <v>8719.2410256151761</v>
      </c>
      <c r="L170" s="284">
        <f t="shared" si="116"/>
        <v>21773.678964526418</v>
      </c>
      <c r="M170" s="57">
        <f t="shared" si="117"/>
        <v>12401.716041965679</v>
      </c>
      <c r="N170" s="91">
        <f t="shared" si="118"/>
        <v>8283.2789743344165</v>
      </c>
      <c r="O170" s="60">
        <f t="shared" si="119"/>
        <v>20684.995016300098</v>
      </c>
      <c r="P170" s="58">
        <f t="shared" si="100"/>
        <v>11748.994145020119</v>
      </c>
      <c r="Q170" s="91">
        <f t="shared" si="120"/>
        <v>7847.3169230536587</v>
      </c>
      <c r="R170" s="59">
        <f t="shared" si="102"/>
        <v>19596.311068073777</v>
      </c>
      <c r="S170" s="57">
        <f t="shared" si="113"/>
        <v>10443.550351128993</v>
      </c>
      <c r="T170" s="91">
        <f t="shared" si="121"/>
        <v>6975.3928204921413</v>
      </c>
      <c r="U170" s="60">
        <f t="shared" si="114"/>
        <v>17418.943171621133</v>
      </c>
      <c r="V170" s="58">
        <f t="shared" si="122"/>
        <v>9138.1065572378684</v>
      </c>
      <c r="W170" s="91">
        <f t="shared" si="123"/>
        <v>6103.4687179306229</v>
      </c>
      <c r="X170" s="59">
        <f t="shared" si="124"/>
        <v>15241.575275168492</v>
      </c>
      <c r="Y170" s="57">
        <f t="shared" si="125"/>
        <v>7832.6627633467451</v>
      </c>
      <c r="Z170" s="91">
        <f t="shared" si="126"/>
        <v>5231.5446153691055</v>
      </c>
      <c r="AA170" s="59">
        <f t="shared" si="127"/>
        <v>13064.207378715852</v>
      </c>
    </row>
    <row r="171" spans="1:27" ht="13.5" customHeight="1">
      <c r="A171" s="187">
        <v>8</v>
      </c>
      <c r="B171" s="40">
        <v>45047</v>
      </c>
      <c r="C171" s="61">
        <f>VLOOKUP(B171,'base(indices)'!$A$4:$C$183,3,FALSE)</f>
        <v>1320</v>
      </c>
      <c r="D171" s="192">
        <f>'base(indices)'!G164</f>
        <v>0.99999998000000001</v>
      </c>
      <c r="E171" s="63">
        <f t="shared" si="129"/>
        <v>1319.9999736</v>
      </c>
      <c r="F171" s="82">
        <f>'base(indices)'!I164</f>
        <v>0.13289999999999999</v>
      </c>
      <c r="G171" s="63">
        <f t="shared" si="109"/>
        <v>175.42799649143998</v>
      </c>
      <c r="H171" s="268">
        <f t="shared" si="110"/>
        <v>1495.4279700914399</v>
      </c>
      <c r="I171" s="278">
        <f t="shared" si="128"/>
        <v>11567.423768651526</v>
      </c>
      <c r="J171" s="119">
        <f t="shared" ref="J171:J178" si="130">IF((I171)+K171&gt;$I$197,$I$197-K171,(I171))</f>
        <v>11567.423768651526</v>
      </c>
      <c r="K171" s="108">
        <f t="shared" si="111"/>
        <v>8719.2410256151761</v>
      </c>
      <c r="L171" s="46">
        <f t="shared" si="116"/>
        <v>20286.664794266704</v>
      </c>
      <c r="M171" s="43">
        <f t="shared" si="117"/>
        <v>10989.05258021895</v>
      </c>
      <c r="N171" s="108">
        <f t="shared" si="118"/>
        <v>8283.2789743344165</v>
      </c>
      <c r="O171" s="47">
        <f t="shared" si="119"/>
        <v>19272.331554553366</v>
      </c>
      <c r="P171" s="119">
        <f t="shared" si="100"/>
        <v>10410.681391786375</v>
      </c>
      <c r="Q171" s="108">
        <f t="shared" si="120"/>
        <v>7847.3169230536587</v>
      </c>
      <c r="R171" s="46">
        <f t="shared" si="102"/>
        <v>18257.998314840035</v>
      </c>
      <c r="S171" s="43">
        <f t="shared" si="113"/>
        <v>9253.9390149212213</v>
      </c>
      <c r="T171" s="108">
        <f t="shared" si="121"/>
        <v>6975.3928204921413</v>
      </c>
      <c r="U171" s="47">
        <f t="shared" si="114"/>
        <v>16229.331835413363</v>
      </c>
      <c r="V171" s="45">
        <f t="shared" si="122"/>
        <v>8097.196638056068</v>
      </c>
      <c r="W171" s="108">
        <f t="shared" si="123"/>
        <v>6103.4687179306229</v>
      </c>
      <c r="X171" s="46">
        <f t="shared" si="124"/>
        <v>14200.66535598669</v>
      </c>
      <c r="Y171" s="43">
        <f t="shared" si="125"/>
        <v>6940.4542611909155</v>
      </c>
      <c r="Z171" s="108">
        <f t="shared" si="126"/>
        <v>5231.5446153691055</v>
      </c>
      <c r="AA171" s="46">
        <f t="shared" si="127"/>
        <v>12171.998876560021</v>
      </c>
    </row>
    <row r="172" spans="1:27" ht="13.5" customHeight="1">
      <c r="A172" s="187">
        <v>7</v>
      </c>
      <c r="B172" s="50">
        <v>45078</v>
      </c>
      <c r="C172" s="61">
        <f>VLOOKUP(B172,'base(indices)'!$A$4:$C$183,3,FALSE)</f>
        <v>1320</v>
      </c>
      <c r="D172" s="192">
        <f>'base(indices)'!G165</f>
        <v>0.99999998000000001</v>
      </c>
      <c r="E172" s="54">
        <f t="shared" si="129"/>
        <v>1319.9999736</v>
      </c>
      <c r="F172" s="82">
        <f>'base(indices)'!I165</f>
        <v>0.1217</v>
      </c>
      <c r="G172" s="54">
        <f t="shared" si="109"/>
        <v>160.64399678711999</v>
      </c>
      <c r="H172" s="267">
        <f t="shared" si="110"/>
        <v>1480.6439703871199</v>
      </c>
      <c r="I172" s="277">
        <f t="shared" si="128"/>
        <v>10071.995798560087</v>
      </c>
      <c r="J172" s="58">
        <f t="shared" si="130"/>
        <v>10071.995798560087</v>
      </c>
      <c r="K172" s="91">
        <f t="shared" si="111"/>
        <v>8719.2410256151761</v>
      </c>
      <c r="L172" s="284">
        <f t="shared" si="116"/>
        <v>18791.236824175263</v>
      </c>
      <c r="M172" s="57">
        <f t="shared" si="117"/>
        <v>9568.3960086320822</v>
      </c>
      <c r="N172" s="91">
        <f t="shared" si="118"/>
        <v>8283.2789743344165</v>
      </c>
      <c r="O172" s="60">
        <f t="shared" si="119"/>
        <v>17851.674982966499</v>
      </c>
      <c r="P172" s="58">
        <f t="shared" si="100"/>
        <v>9064.7962187040775</v>
      </c>
      <c r="Q172" s="91">
        <f t="shared" si="120"/>
        <v>7847.3169230536587</v>
      </c>
      <c r="R172" s="59">
        <f t="shared" si="102"/>
        <v>16912.113141757734</v>
      </c>
      <c r="S172" s="57">
        <f t="shared" si="113"/>
        <v>8057.5966388480701</v>
      </c>
      <c r="T172" s="91">
        <f t="shared" si="121"/>
        <v>6975.3928204921413</v>
      </c>
      <c r="U172" s="60">
        <f t="shared" si="114"/>
        <v>15032.989459340211</v>
      </c>
      <c r="V172" s="58">
        <f t="shared" si="122"/>
        <v>7050.39705899206</v>
      </c>
      <c r="W172" s="91">
        <f t="shared" si="123"/>
        <v>6103.4687179306229</v>
      </c>
      <c r="X172" s="59">
        <f t="shared" si="124"/>
        <v>13153.865776922683</v>
      </c>
      <c r="Y172" s="57">
        <f t="shared" si="125"/>
        <v>6043.1974791360517</v>
      </c>
      <c r="Z172" s="91">
        <f t="shared" si="126"/>
        <v>5231.5446153691055</v>
      </c>
      <c r="AA172" s="59">
        <f t="shared" si="127"/>
        <v>11274.742094505156</v>
      </c>
    </row>
    <row r="173" spans="1:27" ht="13.5" customHeight="1">
      <c r="A173" s="187">
        <v>6</v>
      </c>
      <c r="B173" s="40">
        <v>45108</v>
      </c>
      <c r="C173" s="61">
        <f>VLOOKUP(B173,'base(indices)'!$A$4:$C$183,3,FALSE)</f>
        <v>1320</v>
      </c>
      <c r="D173" s="192">
        <f>'base(indices)'!G166</f>
        <v>0.99999998000000001</v>
      </c>
      <c r="E173" s="63">
        <f t="shared" si="129"/>
        <v>1319.9999736</v>
      </c>
      <c r="F173" s="82">
        <f>'base(indices)'!I166</f>
        <v>0.111</v>
      </c>
      <c r="G173" s="63">
        <f t="shared" si="109"/>
        <v>146.51999706960001</v>
      </c>
      <c r="H173" s="268">
        <f t="shared" si="110"/>
        <v>1466.5199706696001</v>
      </c>
      <c r="I173" s="278">
        <f t="shared" si="128"/>
        <v>8591.3518281729666</v>
      </c>
      <c r="J173" s="119">
        <f t="shared" si="130"/>
        <v>8591.3518281729666</v>
      </c>
      <c r="K173" s="108">
        <f t="shared" si="111"/>
        <v>8719.2410256151761</v>
      </c>
      <c r="L173" s="46">
        <f t="shared" si="116"/>
        <v>17310.592853788141</v>
      </c>
      <c r="M173" s="43">
        <f t="shared" si="117"/>
        <v>8161.7842367643179</v>
      </c>
      <c r="N173" s="108">
        <f t="shared" si="118"/>
        <v>8283.2789743344165</v>
      </c>
      <c r="O173" s="47">
        <f t="shared" si="119"/>
        <v>16445.063211098735</v>
      </c>
      <c r="P173" s="119">
        <f t="shared" si="100"/>
        <v>7732.2166453556702</v>
      </c>
      <c r="Q173" s="108">
        <f t="shared" si="120"/>
        <v>7847.3169230536587</v>
      </c>
      <c r="R173" s="46">
        <f t="shared" si="102"/>
        <v>15579.53356840933</v>
      </c>
      <c r="S173" s="43">
        <f t="shared" si="113"/>
        <v>6873.0814625383737</v>
      </c>
      <c r="T173" s="108">
        <f t="shared" si="121"/>
        <v>6975.3928204921413</v>
      </c>
      <c r="U173" s="47">
        <f t="shared" si="114"/>
        <v>13848.474283030515</v>
      </c>
      <c r="V173" s="45">
        <f t="shared" si="122"/>
        <v>6013.9462797210763</v>
      </c>
      <c r="W173" s="108">
        <f t="shared" si="123"/>
        <v>6103.4687179306229</v>
      </c>
      <c r="X173" s="46">
        <f t="shared" si="124"/>
        <v>12117.4149976517</v>
      </c>
      <c r="Y173" s="43">
        <f t="shared" si="125"/>
        <v>5154.8110969037798</v>
      </c>
      <c r="Z173" s="108">
        <f t="shared" si="126"/>
        <v>5231.5446153691055</v>
      </c>
      <c r="AA173" s="46">
        <f t="shared" si="127"/>
        <v>10386.355712272885</v>
      </c>
    </row>
    <row r="174" spans="1:27" ht="13.5" customHeight="1">
      <c r="A174" s="187">
        <v>5</v>
      </c>
      <c r="B174" s="50">
        <v>45139</v>
      </c>
      <c r="C174" s="61">
        <f>VLOOKUP(B174,'base(indices)'!$A$4:$C$183,3,FALSE)</f>
        <v>1320</v>
      </c>
      <c r="D174" s="192">
        <f>'base(indices)'!G167</f>
        <v>0.99999998000000001</v>
      </c>
      <c r="E174" s="54">
        <f t="shared" si="129"/>
        <v>1319.9999736</v>
      </c>
      <c r="F174" s="82">
        <f>'base(indices)'!I167</f>
        <v>0.1003</v>
      </c>
      <c r="G174" s="54">
        <f t="shared" si="109"/>
        <v>132.39599735208</v>
      </c>
      <c r="H174" s="267">
        <f t="shared" si="110"/>
        <v>1452.39597095208</v>
      </c>
      <c r="I174" s="277">
        <f t="shared" si="128"/>
        <v>7124.8318575033663</v>
      </c>
      <c r="J174" s="58">
        <f t="shared" si="130"/>
        <v>7124.8318575033663</v>
      </c>
      <c r="K174" s="91">
        <f t="shared" si="111"/>
        <v>8719.2410256151761</v>
      </c>
      <c r="L174" s="284">
        <f t="shared" si="116"/>
        <v>15844.072883118542</v>
      </c>
      <c r="M174" s="57">
        <f t="shared" si="117"/>
        <v>6768.5902646281975</v>
      </c>
      <c r="N174" s="91">
        <f t="shared" si="118"/>
        <v>8283.2789743344165</v>
      </c>
      <c r="O174" s="60">
        <f t="shared" si="119"/>
        <v>15051.869238962614</v>
      </c>
      <c r="P174" s="58">
        <f t="shared" si="100"/>
        <v>6412.3486717530295</v>
      </c>
      <c r="Q174" s="91">
        <f t="shared" si="120"/>
        <v>7847.3169230536587</v>
      </c>
      <c r="R174" s="59">
        <f t="shared" si="102"/>
        <v>14259.665594806687</v>
      </c>
      <c r="S174" s="57">
        <f t="shared" si="113"/>
        <v>5699.8654860026936</v>
      </c>
      <c r="T174" s="91">
        <f t="shared" si="121"/>
        <v>6975.3928204921413</v>
      </c>
      <c r="U174" s="60">
        <f t="shared" si="114"/>
        <v>12675.258306494834</v>
      </c>
      <c r="V174" s="58">
        <f t="shared" si="122"/>
        <v>4987.3823002523559</v>
      </c>
      <c r="W174" s="91">
        <f t="shared" si="123"/>
        <v>6103.4687179306229</v>
      </c>
      <c r="X174" s="59">
        <f t="shared" si="124"/>
        <v>11090.851018182979</v>
      </c>
      <c r="Y174" s="57">
        <f t="shared" si="125"/>
        <v>4274.89911450202</v>
      </c>
      <c r="Z174" s="91">
        <f t="shared" si="126"/>
        <v>5231.5446153691055</v>
      </c>
      <c r="AA174" s="59">
        <f t="shared" si="127"/>
        <v>9506.4437298711255</v>
      </c>
    </row>
    <row r="175" spans="1:27" ht="13.5" customHeight="1">
      <c r="A175" s="187">
        <v>4</v>
      </c>
      <c r="B175" s="40">
        <v>45170</v>
      </c>
      <c r="C175" s="61">
        <f>VLOOKUP(B175,'base(indices)'!$A$4:$C$183,3,FALSE)</f>
        <v>1320</v>
      </c>
      <c r="D175" s="192">
        <f>'base(indices)'!G168</f>
        <v>0.99999998000000001</v>
      </c>
      <c r="E175" s="63">
        <f t="shared" si="129"/>
        <v>1319.9999736</v>
      </c>
      <c r="F175" s="82">
        <f>'base(indices)'!I168</f>
        <v>8.8900000000000007E-2</v>
      </c>
      <c r="G175" s="63">
        <f t="shared" si="109"/>
        <v>117.34799765304001</v>
      </c>
      <c r="H175" s="268">
        <f t="shared" si="110"/>
        <v>1437.34797125304</v>
      </c>
      <c r="I175" s="278">
        <f t="shared" si="128"/>
        <v>5672.4358865512859</v>
      </c>
      <c r="J175" s="119">
        <f t="shared" si="130"/>
        <v>5672.4358865512859</v>
      </c>
      <c r="K175" s="108">
        <f t="shared" si="111"/>
        <v>8719.2410256151761</v>
      </c>
      <c r="L175" s="46">
        <f t="shared" si="116"/>
        <v>14391.676912166462</v>
      </c>
      <c r="M175" s="43">
        <f t="shared" si="117"/>
        <v>5388.8140922237217</v>
      </c>
      <c r="N175" s="108">
        <f t="shared" si="118"/>
        <v>8283.2789743344165</v>
      </c>
      <c r="O175" s="47">
        <f t="shared" si="119"/>
        <v>13672.093066558138</v>
      </c>
      <c r="P175" s="119">
        <f t="shared" si="100"/>
        <v>5105.1922978961575</v>
      </c>
      <c r="Q175" s="108">
        <f t="shared" si="120"/>
        <v>7847.3169230536587</v>
      </c>
      <c r="R175" s="46">
        <f t="shared" si="102"/>
        <v>12952.509220949816</v>
      </c>
      <c r="S175" s="43">
        <f t="shared" si="113"/>
        <v>4537.9487092410291</v>
      </c>
      <c r="T175" s="108">
        <f t="shared" si="121"/>
        <v>6975.3928204921413</v>
      </c>
      <c r="U175" s="47">
        <f t="shared" si="114"/>
        <v>11513.34152973317</v>
      </c>
      <c r="V175" s="45">
        <f t="shared" si="122"/>
        <v>3970.7051205858997</v>
      </c>
      <c r="W175" s="108">
        <f t="shared" si="123"/>
        <v>6103.4687179306229</v>
      </c>
      <c r="X175" s="46">
        <f t="shared" si="124"/>
        <v>10074.173838516523</v>
      </c>
      <c r="Y175" s="43">
        <f t="shared" si="125"/>
        <v>3403.4615319307713</v>
      </c>
      <c r="Z175" s="108">
        <f t="shared" si="126"/>
        <v>5231.5446153691055</v>
      </c>
      <c r="AA175" s="46">
        <f t="shared" si="127"/>
        <v>8635.0061472998768</v>
      </c>
    </row>
    <row r="176" spans="1:27" ht="13.5" customHeight="1">
      <c r="A176" s="187">
        <v>3</v>
      </c>
      <c r="B176" s="50">
        <v>45200</v>
      </c>
      <c r="C176" s="61">
        <f>VLOOKUP(B176,'base(indices)'!$A$4:$C$183,3,FALSE)</f>
        <v>1320</v>
      </c>
      <c r="D176" s="192">
        <f>'base(indices)'!G169</f>
        <v>0.99999998000000001</v>
      </c>
      <c r="E176" s="54">
        <f t="shared" si="129"/>
        <v>1319.9999736</v>
      </c>
      <c r="F176" s="82">
        <f>'base(indices)'!I169</f>
        <v>7.9200000000000007E-2</v>
      </c>
      <c r="G176" s="54">
        <f t="shared" si="109"/>
        <v>104.54399790912001</v>
      </c>
      <c r="H176" s="267">
        <f t="shared" si="110"/>
        <v>1424.54397150912</v>
      </c>
      <c r="I176" s="277">
        <f t="shared" si="128"/>
        <v>4235.0879152982461</v>
      </c>
      <c r="J176" s="58">
        <f t="shared" si="130"/>
        <v>4235.0879152982461</v>
      </c>
      <c r="K176" s="91">
        <f t="shared" si="111"/>
        <v>8719.2410256151761</v>
      </c>
      <c r="L176" s="284">
        <f t="shared" si="116"/>
        <v>12954.328940913423</v>
      </c>
      <c r="M176" s="57">
        <f t="shared" si="117"/>
        <v>4023.3335195333334</v>
      </c>
      <c r="N176" s="91">
        <f t="shared" si="118"/>
        <v>8283.2789743344165</v>
      </c>
      <c r="O176" s="60">
        <f t="shared" si="119"/>
        <v>12306.612493867749</v>
      </c>
      <c r="P176" s="58">
        <f t="shared" si="100"/>
        <v>3811.5791237684216</v>
      </c>
      <c r="Q176" s="91">
        <f t="shared" si="120"/>
        <v>7847.3169230536587</v>
      </c>
      <c r="R176" s="59">
        <f t="shared" si="102"/>
        <v>11658.896046822079</v>
      </c>
      <c r="S176" s="57">
        <f t="shared" si="113"/>
        <v>3388.0703322385971</v>
      </c>
      <c r="T176" s="91">
        <f t="shared" si="121"/>
        <v>6975.3928204921413</v>
      </c>
      <c r="U176" s="60">
        <f t="shared" si="114"/>
        <v>10363.463152730739</v>
      </c>
      <c r="V176" s="58">
        <f t="shared" si="122"/>
        <v>2964.5615407087721</v>
      </c>
      <c r="W176" s="91">
        <f t="shared" si="123"/>
        <v>6103.4687179306229</v>
      </c>
      <c r="X176" s="59">
        <f t="shared" si="124"/>
        <v>9068.0302586393955</v>
      </c>
      <c r="Y176" s="57">
        <f t="shared" si="125"/>
        <v>2541.0527491789476</v>
      </c>
      <c r="Z176" s="91">
        <f t="shared" si="126"/>
        <v>5231.5446153691055</v>
      </c>
      <c r="AA176" s="59">
        <f t="shared" si="127"/>
        <v>7772.5973645480535</v>
      </c>
    </row>
    <row r="177" spans="1:35" ht="13.5" customHeight="1">
      <c r="A177" s="187">
        <v>2</v>
      </c>
      <c r="B177" s="40">
        <v>45231</v>
      </c>
      <c r="C177" s="61">
        <f>VLOOKUP(B177,'base(indices)'!$A$4:$C$183,3,FALSE)</f>
        <v>1320</v>
      </c>
      <c r="D177" s="192">
        <f>'base(indices)'!G170</f>
        <v>0.99999998000000001</v>
      </c>
      <c r="E177" s="63">
        <f t="shared" si="129"/>
        <v>1319.9999736</v>
      </c>
      <c r="F177" s="82">
        <f>'base(indices)'!I170</f>
        <v>6.9199999999999998E-2</v>
      </c>
      <c r="G177" s="63">
        <f t="shared" si="109"/>
        <v>91.343998173119999</v>
      </c>
      <c r="H177" s="268">
        <f t="shared" si="110"/>
        <v>1411.3439717731201</v>
      </c>
      <c r="I177" s="278">
        <f t="shared" si="128"/>
        <v>2810.5439437891264</v>
      </c>
      <c r="J177" s="119">
        <f t="shared" si="130"/>
        <v>2810.5439437891264</v>
      </c>
      <c r="K177" s="108">
        <f t="shared" si="111"/>
        <v>8719.2410256151761</v>
      </c>
      <c r="L177" s="46">
        <f t="shared" si="116"/>
        <v>11529.784969404303</v>
      </c>
      <c r="M177" s="43">
        <f t="shared" si="117"/>
        <v>2670.0167465996701</v>
      </c>
      <c r="N177" s="108">
        <f t="shared" si="118"/>
        <v>8283.2789743344165</v>
      </c>
      <c r="O177" s="47">
        <f t="shared" si="119"/>
        <v>10953.295720934086</v>
      </c>
      <c r="P177" s="119">
        <f t="shared" si="100"/>
        <v>2529.4895494102138</v>
      </c>
      <c r="Q177" s="108">
        <f t="shared" si="120"/>
        <v>7847.3169230536587</v>
      </c>
      <c r="R177" s="46">
        <f t="shared" si="102"/>
        <v>10376.806472463872</v>
      </c>
      <c r="S177" s="43">
        <f t="shared" si="113"/>
        <v>2248.4351550313013</v>
      </c>
      <c r="T177" s="108">
        <f t="shared" si="121"/>
        <v>6975.3928204921413</v>
      </c>
      <c r="U177" s="47">
        <f t="shared" si="114"/>
        <v>9223.8279755234435</v>
      </c>
      <c r="V177" s="45">
        <f t="shared" si="122"/>
        <v>1967.3807606523883</v>
      </c>
      <c r="W177" s="108">
        <f t="shared" si="123"/>
        <v>6103.4687179306229</v>
      </c>
      <c r="X177" s="46">
        <f t="shared" si="124"/>
        <v>8070.8494785830117</v>
      </c>
      <c r="Y177" s="43">
        <f t="shared" si="125"/>
        <v>1686.3263662734757</v>
      </c>
      <c r="Z177" s="108">
        <f t="shared" si="126"/>
        <v>5231.5446153691055</v>
      </c>
      <c r="AA177" s="46">
        <f t="shared" si="127"/>
        <v>6917.8709816425817</v>
      </c>
    </row>
    <row r="178" spans="1:35" ht="13.5" customHeight="1" thickBot="1">
      <c r="A178" s="188">
        <v>1</v>
      </c>
      <c r="B178" s="50">
        <v>45261</v>
      </c>
      <c r="C178" s="61">
        <f>VLOOKUP(B178,'base(indices)'!$A$4:$C$183,3,FALSE)</f>
        <v>1320</v>
      </c>
      <c r="D178" s="335">
        <f>'base(indices)'!G171</f>
        <v>0.99999998000000001</v>
      </c>
      <c r="E178" s="163">
        <f t="shared" si="129"/>
        <v>1319.9999736</v>
      </c>
      <c r="F178" s="304">
        <f>'base(indices)'!I171</f>
        <v>0.06</v>
      </c>
      <c r="G178" s="163">
        <f t="shared" si="109"/>
        <v>79.199998416</v>
      </c>
      <c r="H178" s="355">
        <f t="shared" si="110"/>
        <v>1399.1999720159999</v>
      </c>
      <c r="I178" s="280">
        <f t="shared" si="128"/>
        <v>1399.1999720160063</v>
      </c>
      <c r="J178" s="58">
        <f t="shared" si="130"/>
        <v>1399.1999720160063</v>
      </c>
      <c r="K178" s="86">
        <f t="shared" si="111"/>
        <v>8719.2410256151761</v>
      </c>
      <c r="L178" s="287">
        <f t="shared" si="116"/>
        <v>10118.440997631182</v>
      </c>
      <c r="M178" s="85">
        <f t="shared" si="117"/>
        <v>1329.2399734152059</v>
      </c>
      <c r="N178" s="86">
        <f t="shared" si="118"/>
        <v>8283.2789743344165</v>
      </c>
      <c r="O178" s="107">
        <f t="shared" si="119"/>
        <v>9612.5189477496224</v>
      </c>
      <c r="P178" s="175">
        <f t="shared" si="100"/>
        <v>1259.2799748144057</v>
      </c>
      <c r="Q178" s="86">
        <f t="shared" si="120"/>
        <v>7847.3169230536587</v>
      </c>
      <c r="R178" s="165">
        <f t="shared" si="102"/>
        <v>9106.5968978680648</v>
      </c>
      <c r="S178" s="85">
        <f t="shared" si="113"/>
        <v>1119.3599776128051</v>
      </c>
      <c r="T178" s="86">
        <f t="shared" si="121"/>
        <v>6975.3928204921413</v>
      </c>
      <c r="U178" s="107">
        <f t="shared" si="114"/>
        <v>8094.7527981049461</v>
      </c>
      <c r="V178" s="175">
        <f t="shared" si="122"/>
        <v>979.43998041120437</v>
      </c>
      <c r="W178" s="86">
        <f t="shared" si="123"/>
        <v>6103.4687179306229</v>
      </c>
      <c r="X178" s="165">
        <f t="shared" si="124"/>
        <v>7082.9086983418274</v>
      </c>
      <c r="Y178" s="85">
        <f t="shared" si="125"/>
        <v>839.51998320960377</v>
      </c>
      <c r="Z178" s="86">
        <f t="shared" si="126"/>
        <v>5231.5446153691055</v>
      </c>
      <c r="AA178" s="165">
        <f t="shared" si="127"/>
        <v>6071.0645985787096</v>
      </c>
    </row>
    <row r="179" spans="1:35" ht="13.5" customHeight="1" thickBot="1">
      <c r="A179" s="171"/>
      <c r="B179" s="172" t="s">
        <v>24</v>
      </c>
      <c r="C179" s="172"/>
      <c r="D179" s="376"/>
      <c r="E179" s="174"/>
      <c r="F179" s="437">
        <f>Y7</f>
        <v>45474</v>
      </c>
      <c r="G179" s="437"/>
      <c r="H179" s="377"/>
      <c r="I179" s="451">
        <f>SUM(H11:H178)</f>
        <v>276883.42894481809</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5.11E-2</v>
      </c>
      <c r="G182" s="78">
        <f t="shared" ref="G182:G193" si="131">E182*F182</f>
        <v>72.153198556936005</v>
      </c>
      <c r="H182" s="80">
        <f>E182+G182</f>
        <v>1484.1531703169362</v>
      </c>
      <c r="I182" s="81">
        <f>I196</f>
        <v>8719.2410256151761</v>
      </c>
      <c r="J182" s="114">
        <v>0</v>
      </c>
      <c r="K182" s="90">
        <f t="shared" ref="K182:K192" si="132">I182</f>
        <v>8719.2410256151761</v>
      </c>
      <c r="L182" s="112">
        <f t="shared" ref="L182:L192" si="133">J182+K182</f>
        <v>8719.2410256151761</v>
      </c>
      <c r="M182" s="48">
        <f>$J182*M$9</f>
        <v>0</v>
      </c>
      <c r="N182" s="109">
        <f>$K182*M$9</f>
        <v>8283.2789743344165</v>
      </c>
      <c r="O182" s="49">
        <f>M182+N182</f>
        <v>8283.2789743344165</v>
      </c>
      <c r="P182" s="138">
        <f>$J182*P$9</f>
        <v>0</v>
      </c>
      <c r="Q182" s="138">
        <f>$K182*P$9</f>
        <v>7847.3169230536587</v>
      </c>
      <c r="R182" s="139">
        <f>P182+Q182</f>
        <v>7847.3169230536587</v>
      </c>
      <c r="S182" s="48">
        <f>$J182*S$9</f>
        <v>0</v>
      </c>
      <c r="T182" s="109">
        <f>$K182*S$9</f>
        <v>6975.3928204921413</v>
      </c>
      <c r="U182" s="49">
        <f>S182+T182</f>
        <v>6975.3928204921413</v>
      </c>
      <c r="V182" s="48">
        <f>$J182*V$9</f>
        <v>0</v>
      </c>
      <c r="W182" s="138">
        <f>$K182*V$9</f>
        <v>6103.4687179306229</v>
      </c>
      <c r="X182" s="49">
        <f>V182+W182</f>
        <v>6103.4687179306229</v>
      </c>
      <c r="Y182" s="48">
        <f>$J182*Y$9</f>
        <v>0</v>
      </c>
      <c r="Z182" s="138">
        <f>$K182*Y$9</f>
        <v>5231.5446153691055</v>
      </c>
      <c r="AA182" s="49">
        <f>Y182+Z182</f>
        <v>5231.5446153691055</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4.1399999999999999E-2</v>
      </c>
      <c r="G183" s="54">
        <f t="shared" si="131"/>
        <v>58.456798830864003</v>
      </c>
      <c r="H183" s="55">
        <f>E183+G183</f>
        <v>1470.4567705908642</v>
      </c>
      <c r="I183" s="56">
        <f t="shared" ref="I183:I193" si="134">I182-H182</f>
        <v>7235.0878552982394</v>
      </c>
      <c r="J183" s="57">
        <v>0</v>
      </c>
      <c r="K183" s="91">
        <f t="shared" si="132"/>
        <v>7235.0878552982394</v>
      </c>
      <c r="L183" s="113">
        <f t="shared" si="133"/>
        <v>7235.0878552982394</v>
      </c>
      <c r="M183" s="58">
        <f t="shared" ref="M183:M193" si="135">$J183*M$9</f>
        <v>0</v>
      </c>
      <c r="N183" s="91">
        <f t="shared" ref="N183:N188" si="136">$K183*M$9</f>
        <v>6873.3334625333273</v>
      </c>
      <c r="O183" s="59">
        <f t="shared" ref="O183:O188" si="137">M183+N183</f>
        <v>6873.3334625333273</v>
      </c>
      <c r="P183" s="57">
        <f t="shared" ref="P183:P193" si="138">$J183*P$9</f>
        <v>0</v>
      </c>
      <c r="Q183" s="57">
        <f t="shared" ref="Q183:Q188" si="139">$K183*P$9</f>
        <v>6511.579069768416</v>
      </c>
      <c r="R183" s="60">
        <f t="shared" ref="R183:R188" si="140">P183+Q183</f>
        <v>6511.579069768416</v>
      </c>
      <c r="S183" s="58">
        <f t="shared" ref="S183:S193" si="141">$J183*S$9</f>
        <v>0</v>
      </c>
      <c r="T183" s="91">
        <f t="shared" ref="T183:T188" si="142">$K183*S$9</f>
        <v>5788.0702842385917</v>
      </c>
      <c r="U183" s="59">
        <f t="shared" ref="U183:U188" si="143">S183+T183</f>
        <v>5788.0702842385917</v>
      </c>
      <c r="V183" s="58">
        <f t="shared" ref="V183:V193" si="144">$J183*V$9</f>
        <v>0</v>
      </c>
      <c r="W183" s="57">
        <f t="shared" ref="W183:W188" si="145">$K183*V$9</f>
        <v>5064.5614987087674</v>
      </c>
      <c r="X183" s="59">
        <f t="shared" ref="X183:X188" si="146">V183+W183</f>
        <v>5064.5614987087674</v>
      </c>
      <c r="Y183" s="58">
        <f t="shared" ref="Y183:Y193" si="147">$J183*Y$9</f>
        <v>0</v>
      </c>
      <c r="Z183" s="57">
        <f t="shared" ref="Z183:Z192" si="148">$K183*Y$9</f>
        <v>4341.0527131789431</v>
      </c>
      <c r="AA183" s="59">
        <f t="shared" ref="AA183:AA192" si="149">Y183+Z183</f>
        <v>4341.0527131789431</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3.3399999999999999E-2</v>
      </c>
      <c r="G184" s="63">
        <f t="shared" si="131"/>
        <v>47.160799056784001</v>
      </c>
      <c r="H184" s="64">
        <f>E184+G184</f>
        <v>1459.1607708167842</v>
      </c>
      <c r="I184" s="65">
        <f t="shared" si="134"/>
        <v>5764.6310847073755</v>
      </c>
      <c r="J184" s="66">
        <v>0</v>
      </c>
      <c r="K184" s="93">
        <f t="shared" si="132"/>
        <v>5764.6310847073755</v>
      </c>
      <c r="L184" s="115">
        <f>J184+K184</f>
        <v>5764.6310847073755</v>
      </c>
      <c r="M184" s="45">
        <f t="shared" si="135"/>
        <v>0</v>
      </c>
      <c r="N184" s="108">
        <f t="shared" si="136"/>
        <v>5476.3995304720065</v>
      </c>
      <c r="O184" s="46">
        <f t="shared" si="137"/>
        <v>5476.3995304720065</v>
      </c>
      <c r="P184" s="43">
        <f t="shared" si="138"/>
        <v>0</v>
      </c>
      <c r="Q184" s="43">
        <f t="shared" si="139"/>
        <v>5188.1679762366384</v>
      </c>
      <c r="R184" s="47">
        <f t="shared" si="140"/>
        <v>5188.1679762366384</v>
      </c>
      <c r="S184" s="45">
        <f t="shared" si="141"/>
        <v>0</v>
      </c>
      <c r="T184" s="108">
        <f t="shared" si="142"/>
        <v>4611.7048677659004</v>
      </c>
      <c r="U184" s="46">
        <f t="shared" si="143"/>
        <v>4611.7048677659004</v>
      </c>
      <c r="V184" s="45">
        <f t="shared" si="144"/>
        <v>0</v>
      </c>
      <c r="W184" s="43">
        <f t="shared" si="145"/>
        <v>4035.2417592951624</v>
      </c>
      <c r="X184" s="46">
        <f t="shared" si="146"/>
        <v>4035.2417592951624</v>
      </c>
      <c r="Y184" s="45">
        <f t="shared" si="147"/>
        <v>0</v>
      </c>
      <c r="Z184" s="43">
        <f t="shared" si="148"/>
        <v>3458.7786508244253</v>
      </c>
      <c r="AA184" s="46">
        <f t="shared" si="149"/>
        <v>3458.7786508244253</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2.5100000000000001E-2</v>
      </c>
      <c r="G185" s="54">
        <f t="shared" si="131"/>
        <v>35.441199291176005</v>
      </c>
      <c r="H185" s="55">
        <f t="shared" ref="H185:H193" si="150">E185+G185</f>
        <v>1447.4411710511761</v>
      </c>
      <c r="I185" s="56">
        <f t="shared" si="134"/>
        <v>4305.4703138905916</v>
      </c>
      <c r="J185" s="57">
        <v>0</v>
      </c>
      <c r="K185" s="91">
        <f t="shared" si="132"/>
        <v>4305.4703138905916</v>
      </c>
      <c r="L185" s="113">
        <f t="shared" si="133"/>
        <v>4305.4703138905916</v>
      </c>
      <c r="M185" s="58">
        <f t="shared" si="135"/>
        <v>0</v>
      </c>
      <c r="N185" s="91">
        <f t="shared" si="136"/>
        <v>4090.196798196062</v>
      </c>
      <c r="O185" s="59">
        <f t="shared" si="137"/>
        <v>4090.196798196062</v>
      </c>
      <c r="P185" s="57">
        <f t="shared" si="138"/>
        <v>0</v>
      </c>
      <c r="Q185" s="57">
        <f t="shared" si="139"/>
        <v>3874.9232825015324</v>
      </c>
      <c r="R185" s="60">
        <f t="shared" si="140"/>
        <v>3874.9232825015324</v>
      </c>
      <c r="S185" s="58">
        <f t="shared" si="141"/>
        <v>0</v>
      </c>
      <c r="T185" s="91">
        <f t="shared" si="142"/>
        <v>3444.3762511124733</v>
      </c>
      <c r="U185" s="59">
        <f t="shared" si="143"/>
        <v>3444.3762511124733</v>
      </c>
      <c r="V185" s="58">
        <f t="shared" si="144"/>
        <v>0</v>
      </c>
      <c r="W185" s="57">
        <f t="shared" si="145"/>
        <v>3013.8292197234141</v>
      </c>
      <c r="X185" s="59">
        <f t="shared" si="146"/>
        <v>3013.8292197234141</v>
      </c>
      <c r="Y185" s="58">
        <f t="shared" si="147"/>
        <v>0</v>
      </c>
      <c r="Z185" s="57">
        <f t="shared" si="148"/>
        <v>2583.2821883343549</v>
      </c>
      <c r="AA185" s="59">
        <f t="shared" si="149"/>
        <v>2583.2821883343549</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1.6199999999999999E-2</v>
      </c>
      <c r="G186" s="63">
        <f t="shared" si="131"/>
        <v>22.874399542512002</v>
      </c>
      <c r="H186" s="64">
        <f t="shared" si="150"/>
        <v>1434.8743713025121</v>
      </c>
      <c r="I186" s="83">
        <f t="shared" si="134"/>
        <v>2858.0291428394157</v>
      </c>
      <c r="J186" s="66">
        <v>0</v>
      </c>
      <c r="K186" s="93">
        <f t="shared" si="132"/>
        <v>2858.0291428394157</v>
      </c>
      <c r="L186" s="115">
        <f t="shared" si="133"/>
        <v>2858.0291428394157</v>
      </c>
      <c r="M186" s="45">
        <f t="shared" si="135"/>
        <v>0</v>
      </c>
      <c r="N186" s="108">
        <f t="shared" si="136"/>
        <v>2715.127685697445</v>
      </c>
      <c r="O186" s="46">
        <f t="shared" si="137"/>
        <v>2715.127685697445</v>
      </c>
      <c r="P186" s="43">
        <f t="shared" si="138"/>
        <v>0</v>
      </c>
      <c r="Q186" s="43">
        <f t="shared" si="139"/>
        <v>2572.2262285554743</v>
      </c>
      <c r="R186" s="47">
        <f t="shared" si="140"/>
        <v>2572.2262285554743</v>
      </c>
      <c r="S186" s="45">
        <f t="shared" si="141"/>
        <v>0</v>
      </c>
      <c r="T186" s="108">
        <f t="shared" si="142"/>
        <v>2286.4233142715325</v>
      </c>
      <c r="U186" s="46">
        <f t="shared" si="143"/>
        <v>2286.4233142715325</v>
      </c>
      <c r="V186" s="45">
        <f t="shared" si="144"/>
        <v>0</v>
      </c>
      <c r="W186" s="43">
        <f t="shared" si="145"/>
        <v>2000.6203999875909</v>
      </c>
      <c r="X186" s="46">
        <f t="shared" si="146"/>
        <v>2000.6203999875909</v>
      </c>
      <c r="Y186" s="45">
        <f t="shared" si="147"/>
        <v>0</v>
      </c>
      <c r="Z186" s="43">
        <f t="shared" si="148"/>
        <v>1714.8174857036495</v>
      </c>
      <c r="AA186" s="46">
        <f t="shared" si="149"/>
        <v>1714.8174857036495</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51">C187*D187</f>
        <v>1411.9999717600001</v>
      </c>
      <c r="F187" s="53">
        <f>'base(indices)'!I177</f>
        <v>7.9000000000000008E-3</v>
      </c>
      <c r="G187" s="54">
        <f t="shared" si="131"/>
        <v>11.154799776904001</v>
      </c>
      <c r="H187" s="55">
        <f t="shared" si="150"/>
        <v>1423.154771536904</v>
      </c>
      <c r="I187" s="56">
        <f t="shared" si="134"/>
        <v>1423.1547715369036</v>
      </c>
      <c r="J187" s="57">
        <v>0</v>
      </c>
      <c r="K187" s="91">
        <f t="shared" si="132"/>
        <v>1423.1547715369036</v>
      </c>
      <c r="L187" s="113">
        <f t="shared" si="133"/>
        <v>1423.1547715369036</v>
      </c>
      <c r="M187" s="58">
        <f t="shared" si="135"/>
        <v>0</v>
      </c>
      <c r="N187" s="91">
        <f t="shared" si="136"/>
        <v>1351.9970329600583</v>
      </c>
      <c r="O187" s="59">
        <f t="shared" si="137"/>
        <v>1351.9970329600583</v>
      </c>
      <c r="P187" s="57">
        <f t="shared" si="138"/>
        <v>0</v>
      </c>
      <c r="Q187" s="57">
        <f t="shared" si="139"/>
        <v>1280.8392943832132</v>
      </c>
      <c r="R187" s="60">
        <f t="shared" si="140"/>
        <v>1280.8392943832132</v>
      </c>
      <c r="S187" s="58">
        <f t="shared" si="141"/>
        <v>0</v>
      </c>
      <c r="T187" s="91">
        <f t="shared" si="142"/>
        <v>1138.5238172295228</v>
      </c>
      <c r="U187" s="59">
        <f t="shared" si="143"/>
        <v>1138.5238172295228</v>
      </c>
      <c r="V187" s="58">
        <f t="shared" si="144"/>
        <v>0</v>
      </c>
      <c r="W187" s="57">
        <f t="shared" si="145"/>
        <v>996.20834007583244</v>
      </c>
      <c r="X187" s="59">
        <f t="shared" si="146"/>
        <v>996.20834007583244</v>
      </c>
      <c r="Y187" s="58">
        <f t="shared" si="147"/>
        <v>0</v>
      </c>
      <c r="Z187" s="57">
        <f t="shared" si="148"/>
        <v>853.89286292214217</v>
      </c>
      <c r="AA187" s="59">
        <f t="shared" si="149"/>
        <v>853.89286292214217</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v>
      </c>
      <c r="E188" s="63">
        <f t="shared" si="151"/>
        <v>0</v>
      </c>
      <c r="F188" s="53">
        <f>'base(indices)'!I178</f>
        <v>0</v>
      </c>
      <c r="G188" s="63">
        <f t="shared" si="131"/>
        <v>0</v>
      </c>
      <c r="H188" s="55">
        <f t="shared" si="150"/>
        <v>0</v>
      </c>
      <c r="I188" s="65">
        <f t="shared" si="134"/>
        <v>0</v>
      </c>
      <c r="J188" s="66">
        <v>0</v>
      </c>
      <c r="K188" s="93">
        <f t="shared" si="132"/>
        <v>0</v>
      </c>
      <c r="L188" s="115">
        <f t="shared" si="133"/>
        <v>0</v>
      </c>
      <c r="M188" s="45">
        <f t="shared" si="135"/>
        <v>0</v>
      </c>
      <c r="N188" s="108">
        <f t="shared" si="136"/>
        <v>0</v>
      </c>
      <c r="O188" s="46">
        <f t="shared" si="137"/>
        <v>0</v>
      </c>
      <c r="P188" s="43">
        <f t="shared" si="138"/>
        <v>0</v>
      </c>
      <c r="Q188" s="43">
        <f t="shared" si="139"/>
        <v>0</v>
      </c>
      <c r="R188" s="47">
        <f t="shared" si="140"/>
        <v>0</v>
      </c>
      <c r="S188" s="45">
        <f t="shared" si="141"/>
        <v>0</v>
      </c>
      <c r="T188" s="108">
        <f t="shared" si="142"/>
        <v>0</v>
      </c>
      <c r="U188" s="46">
        <f t="shared" si="143"/>
        <v>0</v>
      </c>
      <c r="V188" s="45">
        <f t="shared" si="144"/>
        <v>0</v>
      </c>
      <c r="W188" s="43">
        <f t="shared" si="145"/>
        <v>0</v>
      </c>
      <c r="X188" s="46">
        <f t="shared" si="146"/>
        <v>0</v>
      </c>
      <c r="Y188" s="45">
        <f t="shared" si="147"/>
        <v>0</v>
      </c>
      <c r="Z188" s="43">
        <f t="shared" si="148"/>
        <v>0</v>
      </c>
      <c r="AA188" s="46">
        <f t="shared" si="149"/>
        <v>0</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v>
      </c>
      <c r="E189" s="63">
        <f t="shared" si="151"/>
        <v>0</v>
      </c>
      <c r="F189" s="53">
        <f>'base(indices)'!I179</f>
        <v>0</v>
      </c>
      <c r="G189" s="63">
        <f t="shared" si="131"/>
        <v>0</v>
      </c>
      <c r="H189" s="55">
        <f t="shared" si="150"/>
        <v>0</v>
      </c>
      <c r="I189" s="56">
        <f t="shared" si="134"/>
        <v>0</v>
      </c>
      <c r="J189" s="57">
        <v>0</v>
      </c>
      <c r="K189" s="91">
        <f t="shared" si="132"/>
        <v>0</v>
      </c>
      <c r="L189" s="113">
        <f t="shared" si="133"/>
        <v>0</v>
      </c>
      <c r="M189" s="58">
        <f t="shared" si="135"/>
        <v>0</v>
      </c>
      <c r="N189" s="91">
        <f>$K189*M$9</f>
        <v>0</v>
      </c>
      <c r="O189" s="59">
        <f>M189+N189</f>
        <v>0</v>
      </c>
      <c r="P189" s="57">
        <f t="shared" si="138"/>
        <v>0</v>
      </c>
      <c r="Q189" s="57">
        <f>$K189*P$9</f>
        <v>0</v>
      </c>
      <c r="R189" s="60">
        <f>P189+Q189</f>
        <v>0</v>
      </c>
      <c r="S189" s="58">
        <f t="shared" si="141"/>
        <v>0</v>
      </c>
      <c r="T189" s="91">
        <f>$K189*S$9</f>
        <v>0</v>
      </c>
      <c r="U189" s="59">
        <f>S189+T189</f>
        <v>0</v>
      </c>
      <c r="V189" s="58">
        <f t="shared" si="144"/>
        <v>0</v>
      </c>
      <c r="W189" s="57">
        <f>$K189*V$9</f>
        <v>0</v>
      </c>
      <c r="X189" s="59">
        <f>V189+W189</f>
        <v>0</v>
      </c>
      <c r="Y189" s="58">
        <f t="shared" si="147"/>
        <v>0</v>
      </c>
      <c r="Z189" s="57">
        <f t="shared" si="148"/>
        <v>0</v>
      </c>
      <c r="AA189" s="59">
        <f t="shared" si="149"/>
        <v>0</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v>
      </c>
      <c r="E190" s="63">
        <f t="shared" si="151"/>
        <v>0</v>
      </c>
      <c r="F190" s="53">
        <f>'base(indices)'!I180</f>
        <v>0</v>
      </c>
      <c r="G190" s="63">
        <f t="shared" si="131"/>
        <v>0</v>
      </c>
      <c r="H190" s="55">
        <f t="shared" si="150"/>
        <v>0</v>
      </c>
      <c r="I190" s="65">
        <f t="shared" si="134"/>
        <v>0</v>
      </c>
      <c r="J190" s="66">
        <v>0</v>
      </c>
      <c r="K190" s="93">
        <f t="shared" si="132"/>
        <v>0</v>
      </c>
      <c r="L190" s="115">
        <f t="shared" si="133"/>
        <v>0</v>
      </c>
      <c r="M190" s="45">
        <f t="shared" si="135"/>
        <v>0</v>
      </c>
      <c r="N190" s="108">
        <f>$K190*M$9</f>
        <v>0</v>
      </c>
      <c r="O190" s="46">
        <f>M190+N190</f>
        <v>0</v>
      </c>
      <c r="P190" s="43">
        <f t="shared" si="138"/>
        <v>0</v>
      </c>
      <c r="Q190" s="43">
        <f>$K190*P$9</f>
        <v>0</v>
      </c>
      <c r="R190" s="47">
        <f>P190+Q190</f>
        <v>0</v>
      </c>
      <c r="S190" s="45">
        <f t="shared" si="141"/>
        <v>0</v>
      </c>
      <c r="T190" s="108">
        <f>$K190*S$9</f>
        <v>0</v>
      </c>
      <c r="U190" s="46">
        <f>S190+T190</f>
        <v>0</v>
      </c>
      <c r="V190" s="45">
        <f t="shared" si="144"/>
        <v>0</v>
      </c>
      <c r="W190" s="43">
        <f>$K190*V$9</f>
        <v>0</v>
      </c>
      <c r="X190" s="46">
        <f>V190+W190</f>
        <v>0</v>
      </c>
      <c r="Y190" s="45">
        <f t="shared" si="147"/>
        <v>0</v>
      </c>
      <c r="Z190" s="43">
        <f t="shared" si="148"/>
        <v>0</v>
      </c>
      <c r="AA190" s="46">
        <f t="shared" si="149"/>
        <v>0</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v>
      </c>
      <c r="E191" s="63">
        <f t="shared" si="151"/>
        <v>0</v>
      </c>
      <c r="F191" s="53">
        <f>'base(indices)'!I181</f>
        <v>0</v>
      </c>
      <c r="G191" s="63">
        <f t="shared" si="131"/>
        <v>0</v>
      </c>
      <c r="H191" s="55">
        <f t="shared" si="150"/>
        <v>0</v>
      </c>
      <c r="I191" s="56">
        <f t="shared" si="134"/>
        <v>0</v>
      </c>
      <c r="J191" s="57">
        <v>0</v>
      </c>
      <c r="K191" s="91">
        <f t="shared" si="132"/>
        <v>0</v>
      </c>
      <c r="L191" s="113">
        <f t="shared" si="133"/>
        <v>0</v>
      </c>
      <c r="M191" s="58">
        <f t="shared" si="135"/>
        <v>0</v>
      </c>
      <c r="N191" s="91">
        <f>$K191*M$9</f>
        <v>0</v>
      </c>
      <c r="O191" s="59">
        <f>M191+N191</f>
        <v>0</v>
      </c>
      <c r="P191" s="57">
        <f t="shared" si="138"/>
        <v>0</v>
      </c>
      <c r="Q191" s="57">
        <f>$K191*P$9</f>
        <v>0</v>
      </c>
      <c r="R191" s="60">
        <f>P191+Q191</f>
        <v>0</v>
      </c>
      <c r="S191" s="58">
        <f t="shared" si="141"/>
        <v>0</v>
      </c>
      <c r="T191" s="91">
        <f>$K191*S$9</f>
        <v>0</v>
      </c>
      <c r="U191" s="59">
        <f>S191+T191</f>
        <v>0</v>
      </c>
      <c r="V191" s="58">
        <f t="shared" si="144"/>
        <v>0</v>
      </c>
      <c r="W191" s="57">
        <f>$K191*V$9</f>
        <v>0</v>
      </c>
      <c r="X191" s="59">
        <f>V191+W191</f>
        <v>0</v>
      </c>
      <c r="Y191" s="58">
        <f t="shared" si="147"/>
        <v>0</v>
      </c>
      <c r="Z191" s="57">
        <f t="shared" si="148"/>
        <v>0</v>
      </c>
      <c r="AA191" s="59">
        <f t="shared" si="149"/>
        <v>0</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51"/>
        <v>0</v>
      </c>
      <c r="F192" s="53">
        <f>'base(indices)'!I182</f>
        <v>0</v>
      </c>
      <c r="G192" s="63">
        <f t="shared" si="131"/>
        <v>0</v>
      </c>
      <c r="H192" s="55">
        <f t="shared" si="150"/>
        <v>0</v>
      </c>
      <c r="I192" s="65">
        <f t="shared" si="134"/>
        <v>0</v>
      </c>
      <c r="J192" s="66">
        <v>0</v>
      </c>
      <c r="K192" s="93">
        <f t="shared" si="132"/>
        <v>0</v>
      </c>
      <c r="L192" s="115">
        <f t="shared" si="133"/>
        <v>0</v>
      </c>
      <c r="M192" s="45">
        <f t="shared" si="135"/>
        <v>0</v>
      </c>
      <c r="N192" s="108">
        <f>$K192*M$9</f>
        <v>0</v>
      </c>
      <c r="O192" s="46">
        <f>M192+N192</f>
        <v>0</v>
      </c>
      <c r="P192" s="43">
        <f t="shared" si="138"/>
        <v>0</v>
      </c>
      <c r="Q192" s="43">
        <f>$K192*P$9</f>
        <v>0</v>
      </c>
      <c r="R192" s="47">
        <f>P192+Q192</f>
        <v>0</v>
      </c>
      <c r="S192" s="45">
        <f t="shared" si="141"/>
        <v>0</v>
      </c>
      <c r="T192" s="108">
        <f>$K192*S$9</f>
        <v>0</v>
      </c>
      <c r="U192" s="46">
        <f>S192+T192</f>
        <v>0</v>
      </c>
      <c r="V192" s="45">
        <f t="shared" si="144"/>
        <v>0</v>
      </c>
      <c r="W192" s="43">
        <f>$K192*V$9</f>
        <v>0</v>
      </c>
      <c r="X192" s="46">
        <f>V192+W192</f>
        <v>0</v>
      </c>
      <c r="Y192" s="45">
        <f t="shared" si="147"/>
        <v>0</v>
      </c>
      <c r="Z192" s="43">
        <f t="shared" si="148"/>
        <v>0</v>
      </c>
      <c r="AA192" s="46">
        <f t="shared" si="149"/>
        <v>0</v>
      </c>
      <c r="AB192" s="16"/>
      <c r="AC192" s="16"/>
      <c r="AD192" s="16"/>
      <c r="AE192" s="16"/>
      <c r="AF192" s="16"/>
      <c r="AG192" s="17"/>
      <c r="AH192" s="16"/>
      <c r="AI192" s="16"/>
    </row>
    <row r="193" spans="1:37" ht="13.5" customHeight="1">
      <c r="A193" s="110">
        <v>12</v>
      </c>
      <c r="B193" s="50">
        <v>45627</v>
      </c>
      <c r="C193" s="61">
        <f>VLOOKUP(B193,'base(indices)'!$A$16:$C$183,3,FALSE)</f>
        <v>1412</v>
      </c>
      <c r="D193" s="192">
        <f>'base(indices)'!G183</f>
        <v>0</v>
      </c>
      <c r="E193" s="63">
        <f t="shared" si="151"/>
        <v>0</v>
      </c>
      <c r="F193" s="53">
        <f>'base(indices)'!I183</f>
        <v>0</v>
      </c>
      <c r="G193" s="63">
        <f t="shared" si="131"/>
        <v>0</v>
      </c>
      <c r="H193" s="55">
        <f t="shared" si="150"/>
        <v>0</v>
      </c>
      <c r="I193" s="56">
        <f t="shared" si="134"/>
        <v>0</v>
      </c>
      <c r="J193" s="57">
        <v>0</v>
      </c>
      <c r="K193" s="91">
        <f>I193</f>
        <v>0</v>
      </c>
      <c r="L193" s="113">
        <f>J193+K193</f>
        <v>0</v>
      </c>
      <c r="M193" s="58">
        <f t="shared" si="135"/>
        <v>0</v>
      </c>
      <c r="N193" s="91">
        <f>$K193*M$9</f>
        <v>0</v>
      </c>
      <c r="O193" s="59">
        <f>M193+N193</f>
        <v>0</v>
      </c>
      <c r="P193" s="57">
        <f t="shared" si="138"/>
        <v>0</v>
      </c>
      <c r="Q193" s="57">
        <f>$K193*P$9</f>
        <v>0</v>
      </c>
      <c r="R193" s="60">
        <f>P193+Q193</f>
        <v>0</v>
      </c>
      <c r="S193" s="58">
        <f t="shared" si="141"/>
        <v>0</v>
      </c>
      <c r="T193" s="91">
        <f>$K193*S$9</f>
        <v>0</v>
      </c>
      <c r="U193" s="59">
        <f>S193+T193</f>
        <v>0</v>
      </c>
      <c r="V193" s="58">
        <f t="shared" si="144"/>
        <v>0</v>
      </c>
      <c r="W193" s="57">
        <f>$K193*V$9</f>
        <v>0</v>
      </c>
      <c r="X193" s="59">
        <f>V193+W193</f>
        <v>0</v>
      </c>
      <c r="Y193" s="58">
        <f t="shared" si="147"/>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40">
        <f>Y7</f>
        <v>45474</v>
      </c>
      <c r="G196" s="440"/>
      <c r="H196" s="440"/>
      <c r="I196" s="441">
        <f>SUM(H182:H195)</f>
        <v>8719.2410256151761</v>
      </c>
      <c r="J196" s="441"/>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Y7:AA7"/>
    <mergeCell ref="K7:U7"/>
    <mergeCell ref="I8:J8"/>
    <mergeCell ref="A9:A10"/>
    <mergeCell ref="B9:B10"/>
    <mergeCell ref="C9:C10"/>
    <mergeCell ref="D9:D10"/>
    <mergeCell ref="E9:E10"/>
    <mergeCell ref="F9:F10"/>
    <mergeCell ref="G9:G10"/>
    <mergeCell ref="H9:H10"/>
    <mergeCell ref="Y9:AA9"/>
    <mergeCell ref="V9:X9"/>
    <mergeCell ref="P5:Q5"/>
    <mergeCell ref="I9:I10"/>
    <mergeCell ref="J9:L9"/>
    <mergeCell ref="M9:O9"/>
    <mergeCell ref="P9:R9"/>
    <mergeCell ref="F179:G179"/>
    <mergeCell ref="F196:H196"/>
    <mergeCell ref="I196:J196"/>
    <mergeCell ref="S9:U9"/>
    <mergeCell ref="I179:J179"/>
  </mergeCells>
  <conditionalFormatting sqref="H195:X195 F179:F181 E23:H34 B155:B166 B23:B106">
    <cfRule type="cellIs" dxfId="120" priority="172" stopIfTrue="1" operator="notEqual">
      <formula>""</formula>
    </cfRule>
  </conditionalFormatting>
  <conditionalFormatting sqref="D23:D34">
    <cfRule type="cellIs" dxfId="119" priority="171" stopIfTrue="1" operator="equal">
      <formula>"Total"</formula>
    </cfRule>
  </conditionalFormatting>
  <conditionalFormatting sqref="E182">
    <cfRule type="cellIs" dxfId="118" priority="168" stopIfTrue="1" operator="notEqual">
      <formula>""</formula>
    </cfRule>
  </conditionalFormatting>
  <conditionalFormatting sqref="E182">
    <cfRule type="cellIs" dxfId="117" priority="166" stopIfTrue="1" operator="notEqual">
      <formula>""</formula>
    </cfRule>
  </conditionalFormatting>
  <conditionalFormatting sqref="E182">
    <cfRule type="cellIs" dxfId="116" priority="167" stopIfTrue="1" operator="notEqual">
      <formula>""</formula>
    </cfRule>
  </conditionalFormatting>
  <conditionalFormatting sqref="F196">
    <cfRule type="cellIs" dxfId="115" priority="170" stopIfTrue="1" operator="notEqual">
      <formula>""</formula>
    </cfRule>
  </conditionalFormatting>
  <conditionalFormatting sqref="F196 E194:H194">
    <cfRule type="cellIs" dxfId="114" priority="169" stopIfTrue="1" operator="notEqual">
      <formula>""</formula>
    </cfRule>
  </conditionalFormatting>
  <conditionalFormatting sqref="C194">
    <cfRule type="cellIs" dxfId="113" priority="164" stopIfTrue="1" operator="notEqual">
      <formula>""</formula>
    </cfRule>
  </conditionalFormatting>
  <conditionalFormatting sqref="G182:H182">
    <cfRule type="cellIs" dxfId="112" priority="159" stopIfTrue="1" operator="notEqual">
      <formula>""</formula>
    </cfRule>
  </conditionalFormatting>
  <conditionalFormatting sqref="B194">
    <cfRule type="cellIs" dxfId="111" priority="162" stopIfTrue="1" operator="notEqual">
      <formula>""</formula>
    </cfRule>
  </conditionalFormatting>
  <conditionalFormatting sqref="G182:H182">
    <cfRule type="cellIs" dxfId="110" priority="158" stopIfTrue="1" operator="notEqual">
      <formula>""</formula>
    </cfRule>
  </conditionalFormatting>
  <conditionalFormatting sqref="Y195:AA195">
    <cfRule type="cellIs" dxfId="109" priority="165" stopIfTrue="1" operator="notEqual">
      <formula>""</formula>
    </cfRule>
  </conditionalFormatting>
  <conditionalFormatting sqref="D194">
    <cfRule type="cellIs" dxfId="108" priority="163" stopIfTrue="1" operator="equal">
      <formula>"Total"</formula>
    </cfRule>
  </conditionalFormatting>
  <conditionalFormatting sqref="D9">
    <cfRule type="cellIs" dxfId="107" priority="161" stopIfTrue="1" operator="equal">
      <formula>"Total"</formula>
    </cfRule>
  </conditionalFormatting>
  <conditionalFormatting sqref="D9">
    <cfRule type="cellIs" dxfId="106" priority="160" stopIfTrue="1" operator="equal">
      <formula>"Total"</formula>
    </cfRule>
  </conditionalFormatting>
  <conditionalFormatting sqref="G188:G193">
    <cfRule type="cellIs" dxfId="105" priority="151" stopIfTrue="1" operator="notEqual">
      <formula>""</formula>
    </cfRule>
  </conditionalFormatting>
  <conditionalFormatting sqref="G187:H187 H188:H193">
    <cfRule type="cellIs" dxfId="104" priority="152" stopIfTrue="1" operator="notEqual">
      <formula>""</formula>
    </cfRule>
  </conditionalFormatting>
  <conditionalFormatting sqref="G183:H183">
    <cfRule type="cellIs" dxfId="103" priority="156" stopIfTrue="1" operator="notEqual">
      <formula>""</formula>
    </cfRule>
  </conditionalFormatting>
  <conditionalFormatting sqref="G183:H183">
    <cfRule type="cellIs" dxfId="102" priority="157" stopIfTrue="1" operator="notEqual">
      <formula>""</formula>
    </cfRule>
  </conditionalFormatting>
  <conditionalFormatting sqref="G184:H186">
    <cfRule type="cellIs" dxfId="101" priority="154" stopIfTrue="1" operator="notEqual">
      <formula>""</formula>
    </cfRule>
  </conditionalFormatting>
  <conditionalFormatting sqref="G184:H186">
    <cfRule type="cellIs" dxfId="100" priority="155" stopIfTrue="1" operator="notEqual">
      <formula>""</formula>
    </cfRule>
  </conditionalFormatting>
  <conditionalFormatting sqref="G188:G193">
    <cfRule type="cellIs" dxfId="99" priority="150" stopIfTrue="1" operator="notEqual">
      <formula>""</formula>
    </cfRule>
  </conditionalFormatting>
  <conditionalFormatting sqref="G187:H187 H188:H193">
    <cfRule type="cellIs" dxfId="98" priority="153" stopIfTrue="1" operator="notEqual">
      <formula>""</formula>
    </cfRule>
  </conditionalFormatting>
  <conditionalFormatting sqref="F182">
    <cfRule type="cellIs" dxfId="97" priority="149" stopIfTrue="1" operator="notEqual">
      <formula>""</formula>
    </cfRule>
  </conditionalFormatting>
  <conditionalFormatting sqref="F183:F193">
    <cfRule type="cellIs" dxfId="96" priority="148" stopIfTrue="1" operator="notEqual">
      <formula>""</formula>
    </cfRule>
  </conditionalFormatting>
  <conditionalFormatting sqref="F183:F193">
    <cfRule type="cellIs" dxfId="95" priority="147" stopIfTrue="1" operator="notEqual">
      <formula>""</formula>
    </cfRule>
  </conditionalFormatting>
  <conditionalFormatting sqref="D182">
    <cfRule type="cellIs" dxfId="94" priority="144" stopIfTrue="1" operator="notEqual">
      <formula>""</formula>
    </cfRule>
  </conditionalFormatting>
  <conditionalFormatting sqref="D182">
    <cfRule type="cellIs" dxfId="93" priority="146" stopIfTrue="1" operator="notEqual">
      <formula>""</formula>
    </cfRule>
  </conditionalFormatting>
  <conditionalFormatting sqref="D182">
    <cfRule type="cellIs" dxfId="92" priority="145" stopIfTrue="1" operator="notEqual">
      <formula>""</formula>
    </cfRule>
  </conditionalFormatting>
  <conditionalFormatting sqref="E183">
    <cfRule type="cellIs" dxfId="91" priority="143" stopIfTrue="1" operator="notEqual">
      <formula>""</formula>
    </cfRule>
  </conditionalFormatting>
  <conditionalFormatting sqref="E183">
    <cfRule type="cellIs" dxfId="90" priority="141" stopIfTrue="1" operator="notEqual">
      <formula>""</formula>
    </cfRule>
  </conditionalFormatting>
  <conditionalFormatting sqref="E183">
    <cfRule type="cellIs" dxfId="89" priority="142" stopIfTrue="1" operator="notEqual">
      <formula>""</formula>
    </cfRule>
  </conditionalFormatting>
  <conditionalFormatting sqref="E184:E185">
    <cfRule type="cellIs" dxfId="88" priority="140" stopIfTrue="1" operator="notEqual">
      <formula>""</formula>
    </cfRule>
  </conditionalFormatting>
  <conditionalFormatting sqref="E184:E185">
    <cfRule type="cellIs" dxfId="87" priority="138" stopIfTrue="1" operator="notEqual">
      <formula>""</formula>
    </cfRule>
  </conditionalFormatting>
  <conditionalFormatting sqref="E184:E185">
    <cfRule type="cellIs" dxfId="86" priority="139" stopIfTrue="1" operator="notEqual">
      <formula>""</formula>
    </cfRule>
  </conditionalFormatting>
  <conditionalFormatting sqref="E186">
    <cfRule type="cellIs" dxfId="85" priority="137" stopIfTrue="1" operator="notEqual">
      <formula>""</formula>
    </cfRule>
  </conditionalFormatting>
  <conditionalFormatting sqref="E186">
    <cfRule type="cellIs" dxfId="84" priority="135" stopIfTrue="1" operator="notEqual">
      <formula>""</formula>
    </cfRule>
  </conditionalFormatting>
  <conditionalFormatting sqref="E186">
    <cfRule type="cellIs" dxfId="83" priority="136" stopIfTrue="1" operator="notEqual">
      <formula>""</formula>
    </cfRule>
  </conditionalFormatting>
  <conditionalFormatting sqref="E187:E193">
    <cfRule type="cellIs" dxfId="82" priority="134" stopIfTrue="1" operator="notEqual">
      <formula>""</formula>
    </cfRule>
  </conditionalFormatting>
  <conditionalFormatting sqref="E187:E193">
    <cfRule type="cellIs" dxfId="81" priority="132" stopIfTrue="1" operator="notEqual">
      <formula>""</formula>
    </cfRule>
  </conditionalFormatting>
  <conditionalFormatting sqref="E187:E193">
    <cfRule type="cellIs" dxfId="80" priority="133" stopIfTrue="1" operator="notEqual">
      <formula>""</formula>
    </cfRule>
  </conditionalFormatting>
  <conditionalFormatting sqref="D183:D193">
    <cfRule type="cellIs" dxfId="79" priority="129" stopIfTrue="1" operator="equal">
      <formula>"Total"</formula>
    </cfRule>
  </conditionalFormatting>
  <conditionalFormatting sqref="B95:B166">
    <cfRule type="cellIs" dxfId="78" priority="126" stopIfTrue="1" operator="notEqual">
      <formula>""</formula>
    </cfRule>
  </conditionalFormatting>
  <conditionalFormatting sqref="C193">
    <cfRule type="cellIs" dxfId="77" priority="73" stopIfTrue="1" operator="notEqual">
      <formula>""</formula>
    </cfRule>
  </conditionalFormatting>
  <conditionalFormatting sqref="E155:H166">
    <cfRule type="cellIs" dxfId="76" priority="84" stopIfTrue="1" operator="notEqual">
      <formula>""</formula>
    </cfRule>
  </conditionalFormatting>
  <conditionalFormatting sqref="B47:B58">
    <cfRule type="cellIs" dxfId="75" priority="125" stopIfTrue="1" operator="notEqual">
      <formula>""</formula>
    </cfRule>
  </conditionalFormatting>
  <conditionalFormatting sqref="C182:C192">
    <cfRule type="cellIs" dxfId="74" priority="76" stopIfTrue="1" operator="notEqual">
      <formula>""</formula>
    </cfRule>
  </conditionalFormatting>
  <conditionalFormatting sqref="C187 C183 C189 C185 C191">
    <cfRule type="cellIs" dxfId="73" priority="74" stopIfTrue="1" operator="notEqual">
      <formula>""</formula>
    </cfRule>
  </conditionalFormatting>
  <conditionalFormatting sqref="E35:H46">
    <cfRule type="cellIs" dxfId="72" priority="124" stopIfTrue="1" operator="notEqual">
      <formula>""</formula>
    </cfRule>
  </conditionalFormatting>
  <conditionalFormatting sqref="D35:D46">
    <cfRule type="cellIs" dxfId="71" priority="123" stopIfTrue="1" operator="equal">
      <formula>"Total"</formula>
    </cfRule>
  </conditionalFormatting>
  <conditionalFormatting sqref="E47:H58">
    <cfRule type="cellIs" dxfId="70" priority="120" stopIfTrue="1" operator="notEqual">
      <formula>""</formula>
    </cfRule>
  </conditionalFormatting>
  <conditionalFormatting sqref="D47:D58">
    <cfRule type="cellIs" dxfId="69" priority="119" stopIfTrue="1" operator="equal">
      <formula>"Total"</formula>
    </cfRule>
  </conditionalFormatting>
  <conditionalFormatting sqref="E59:H70">
    <cfRule type="cellIs" dxfId="68" priority="116" stopIfTrue="1" operator="notEqual">
      <formula>""</formula>
    </cfRule>
  </conditionalFormatting>
  <conditionalFormatting sqref="D59:D70">
    <cfRule type="cellIs" dxfId="67" priority="115" stopIfTrue="1" operator="equal">
      <formula>"Total"</formula>
    </cfRule>
  </conditionalFormatting>
  <conditionalFormatting sqref="E71:H82">
    <cfRule type="cellIs" dxfId="66" priority="112" stopIfTrue="1" operator="notEqual">
      <formula>""</formula>
    </cfRule>
  </conditionalFormatting>
  <conditionalFormatting sqref="D71:D82">
    <cfRule type="cellIs" dxfId="65" priority="111" stopIfTrue="1" operator="equal">
      <formula>"Total"</formula>
    </cfRule>
  </conditionalFormatting>
  <conditionalFormatting sqref="E83:H94">
    <cfRule type="cellIs" dxfId="64" priority="108" stopIfTrue="1" operator="notEqual">
      <formula>""</formula>
    </cfRule>
  </conditionalFormatting>
  <conditionalFormatting sqref="D83:D94">
    <cfRule type="cellIs" dxfId="63" priority="107" stopIfTrue="1" operator="equal">
      <formula>"Total"</formula>
    </cfRule>
  </conditionalFormatting>
  <conditionalFormatting sqref="E95:H106">
    <cfRule type="cellIs" dxfId="62" priority="104" stopIfTrue="1" operator="notEqual">
      <formula>""</formula>
    </cfRule>
  </conditionalFormatting>
  <conditionalFormatting sqref="D95:D106">
    <cfRule type="cellIs" dxfId="61" priority="103" stopIfTrue="1" operator="equal">
      <formula>"Total"</formula>
    </cfRule>
  </conditionalFormatting>
  <conditionalFormatting sqref="E107:H118">
    <cfRule type="cellIs" dxfId="60" priority="100" stopIfTrue="1" operator="notEqual">
      <formula>""</formula>
    </cfRule>
  </conditionalFormatting>
  <conditionalFormatting sqref="D107:D118">
    <cfRule type="cellIs" dxfId="59" priority="99" stopIfTrue="1" operator="equal">
      <formula>"Total"</formula>
    </cfRule>
  </conditionalFormatting>
  <conditionalFormatting sqref="E119:H130">
    <cfRule type="cellIs" dxfId="58" priority="96" stopIfTrue="1" operator="notEqual">
      <formula>""</formula>
    </cfRule>
  </conditionalFormatting>
  <conditionalFormatting sqref="D119:D130">
    <cfRule type="cellIs" dxfId="57" priority="95" stopIfTrue="1" operator="equal">
      <formula>"Total"</formula>
    </cfRule>
  </conditionalFormatting>
  <conditionalFormatting sqref="E131:H142">
    <cfRule type="cellIs" dxfId="56" priority="92" stopIfTrue="1" operator="notEqual">
      <formula>""</formula>
    </cfRule>
  </conditionalFormatting>
  <conditionalFormatting sqref="D131:D142">
    <cfRule type="cellIs" dxfId="55" priority="91" stopIfTrue="1" operator="equal">
      <formula>"Total"</formula>
    </cfRule>
  </conditionalFormatting>
  <conditionalFormatting sqref="E143:H154">
    <cfRule type="cellIs" dxfId="54" priority="88" stopIfTrue="1" operator="notEqual">
      <formula>""</formula>
    </cfRule>
  </conditionalFormatting>
  <conditionalFormatting sqref="D143:D154">
    <cfRule type="cellIs" dxfId="53" priority="87" stopIfTrue="1" operator="equal">
      <formula>"Total"</formula>
    </cfRule>
  </conditionalFormatting>
  <conditionalFormatting sqref="D155:D166">
    <cfRule type="cellIs" dxfId="52" priority="83" stopIfTrue="1" operator="equal">
      <formula>"Total"</formula>
    </cfRule>
  </conditionalFormatting>
  <conditionalFormatting sqref="E167:H178">
    <cfRule type="cellIs" dxfId="51" priority="80" stopIfTrue="1" operator="notEqual">
      <formula>""</formula>
    </cfRule>
  </conditionalFormatting>
  <conditionalFormatting sqref="D167:D178">
    <cfRule type="cellIs" dxfId="50" priority="79" stopIfTrue="1" operator="equal">
      <formula>"Total"</formula>
    </cfRule>
  </conditionalFormatting>
  <conditionalFormatting sqref="C187 C183 C189 C185 C191">
    <cfRule type="cellIs" dxfId="49" priority="75" stopIfTrue="1" operator="notEqual">
      <formula>""</formula>
    </cfRule>
  </conditionalFormatting>
  <conditionalFormatting sqref="E11:H22 B11:B22">
    <cfRule type="cellIs" dxfId="48" priority="72" stopIfTrue="1" operator="notEqual">
      <formula>""</formula>
    </cfRule>
  </conditionalFormatting>
  <conditionalFormatting sqref="D11:D22">
    <cfRule type="cellIs" dxfId="47" priority="71" stopIfTrue="1" operator="equal">
      <formula>"Total"</formula>
    </cfRule>
  </conditionalFormatting>
  <conditionalFormatting sqref="C11:C22">
    <cfRule type="cellIs" dxfId="46" priority="65" stopIfTrue="1" operator="notEqual">
      <formula>""</formula>
    </cfRule>
  </conditionalFormatting>
  <conditionalFormatting sqref="C12:C22">
    <cfRule type="cellIs" dxfId="45" priority="64" stopIfTrue="1" operator="notEqual">
      <formula>""</formula>
    </cfRule>
  </conditionalFormatting>
  <conditionalFormatting sqref="C12:C22">
    <cfRule type="cellIs" dxfId="44" priority="63" stopIfTrue="1" operator="notEqual">
      <formula>""</formula>
    </cfRule>
  </conditionalFormatting>
  <conditionalFormatting sqref="B35:B46">
    <cfRule type="cellIs" dxfId="43" priority="50" stopIfTrue="1" operator="notEqual">
      <formula>""</formula>
    </cfRule>
  </conditionalFormatting>
  <conditionalFormatting sqref="C23:C34">
    <cfRule type="cellIs" dxfId="42" priority="49" stopIfTrue="1" operator="notEqual">
      <formula>""</formula>
    </cfRule>
  </conditionalFormatting>
  <conditionalFormatting sqref="C24:C34">
    <cfRule type="cellIs" dxfId="41" priority="48" stopIfTrue="1" operator="notEqual">
      <formula>""</formula>
    </cfRule>
  </conditionalFormatting>
  <conditionalFormatting sqref="C24:C34">
    <cfRule type="cellIs" dxfId="40" priority="47" stopIfTrue="1" operator="notEqual">
      <formula>""</formula>
    </cfRule>
  </conditionalFormatting>
  <conditionalFormatting sqref="C35:C46">
    <cfRule type="cellIs" dxfId="39" priority="46" stopIfTrue="1" operator="notEqual">
      <formula>""</formula>
    </cfRule>
  </conditionalFormatting>
  <conditionalFormatting sqref="C36:C46">
    <cfRule type="cellIs" dxfId="38" priority="45" stopIfTrue="1" operator="notEqual">
      <formula>""</formula>
    </cfRule>
  </conditionalFormatting>
  <conditionalFormatting sqref="C36:C46">
    <cfRule type="cellIs" dxfId="37" priority="44" stopIfTrue="1" operator="notEqual">
      <formula>""</formula>
    </cfRule>
  </conditionalFormatting>
  <conditionalFormatting sqref="C47:C58">
    <cfRule type="cellIs" dxfId="36" priority="43" stopIfTrue="1" operator="notEqual">
      <formula>""</formula>
    </cfRule>
  </conditionalFormatting>
  <conditionalFormatting sqref="C48:C58">
    <cfRule type="cellIs" dxfId="35" priority="42" stopIfTrue="1" operator="notEqual">
      <formula>""</formula>
    </cfRule>
  </conditionalFormatting>
  <conditionalFormatting sqref="C48:C58">
    <cfRule type="cellIs" dxfId="34" priority="41" stopIfTrue="1" operator="notEqual">
      <formula>""</formula>
    </cfRule>
  </conditionalFormatting>
  <conditionalFormatting sqref="C59:C70">
    <cfRule type="cellIs" dxfId="33" priority="40" stopIfTrue="1" operator="notEqual">
      <formula>""</formula>
    </cfRule>
  </conditionalFormatting>
  <conditionalFormatting sqref="C60:C70">
    <cfRule type="cellIs" dxfId="32" priority="39" stopIfTrue="1" operator="notEqual">
      <formula>""</formula>
    </cfRule>
  </conditionalFormatting>
  <conditionalFormatting sqref="C60:C70">
    <cfRule type="cellIs" dxfId="31" priority="38" stopIfTrue="1" operator="notEqual">
      <formula>""</formula>
    </cfRule>
  </conditionalFormatting>
  <conditionalFormatting sqref="C71:C82">
    <cfRule type="cellIs" dxfId="30" priority="37" stopIfTrue="1" operator="notEqual">
      <formula>""</formula>
    </cfRule>
  </conditionalFormatting>
  <conditionalFormatting sqref="C72:C82">
    <cfRule type="cellIs" dxfId="29" priority="36" stopIfTrue="1" operator="notEqual">
      <formula>""</formula>
    </cfRule>
  </conditionalFormatting>
  <conditionalFormatting sqref="C72:C82">
    <cfRule type="cellIs" dxfId="28" priority="35" stopIfTrue="1" operator="notEqual">
      <formula>""</formula>
    </cfRule>
  </conditionalFormatting>
  <conditionalFormatting sqref="C83:C94">
    <cfRule type="cellIs" dxfId="27" priority="28" stopIfTrue="1" operator="notEqual">
      <formula>""</formula>
    </cfRule>
  </conditionalFormatting>
  <conditionalFormatting sqref="C84:C94">
    <cfRule type="cellIs" dxfId="26" priority="27" stopIfTrue="1" operator="notEqual">
      <formula>""</formula>
    </cfRule>
  </conditionalFormatting>
  <conditionalFormatting sqref="C84:C94">
    <cfRule type="cellIs" dxfId="25" priority="26" stopIfTrue="1" operator="notEqual">
      <formula>""</formula>
    </cfRule>
  </conditionalFormatting>
  <conditionalFormatting sqref="C95:C106">
    <cfRule type="cellIs" dxfId="24" priority="25" stopIfTrue="1" operator="notEqual">
      <formula>""</formula>
    </cfRule>
  </conditionalFormatting>
  <conditionalFormatting sqref="C96:C106">
    <cfRule type="cellIs" dxfId="23" priority="24" stopIfTrue="1" operator="notEqual">
      <formula>""</formula>
    </cfRule>
  </conditionalFormatting>
  <conditionalFormatting sqref="C96:C106">
    <cfRule type="cellIs" dxfId="22" priority="23" stopIfTrue="1" operator="notEqual">
      <formula>""</formula>
    </cfRule>
  </conditionalFormatting>
  <conditionalFormatting sqref="C107:C118">
    <cfRule type="cellIs" dxfId="21" priority="22" stopIfTrue="1" operator="notEqual">
      <formula>""</formula>
    </cfRule>
  </conditionalFormatting>
  <conditionalFormatting sqref="C108:C118">
    <cfRule type="cellIs" dxfId="20" priority="21" stopIfTrue="1" operator="notEqual">
      <formula>""</formula>
    </cfRule>
  </conditionalFormatting>
  <conditionalFormatting sqref="C108:C118">
    <cfRule type="cellIs" dxfId="19" priority="20" stopIfTrue="1" operator="notEqual">
      <formula>""</formula>
    </cfRule>
  </conditionalFormatting>
  <conditionalFormatting sqref="C119:C130">
    <cfRule type="cellIs" dxfId="18" priority="19" stopIfTrue="1" operator="notEqual">
      <formula>""</formula>
    </cfRule>
  </conditionalFormatting>
  <conditionalFormatting sqref="C120:C130">
    <cfRule type="cellIs" dxfId="17" priority="18" stopIfTrue="1" operator="notEqual">
      <formula>""</formula>
    </cfRule>
  </conditionalFormatting>
  <conditionalFormatting sqref="C120:C130">
    <cfRule type="cellIs" dxfId="16" priority="17" stopIfTrue="1" operator="notEqual">
      <formula>""</formula>
    </cfRule>
  </conditionalFormatting>
  <conditionalFormatting sqref="C131:C142">
    <cfRule type="cellIs" dxfId="15" priority="16" stopIfTrue="1" operator="notEqual">
      <formula>""</formula>
    </cfRule>
  </conditionalFormatting>
  <conditionalFormatting sqref="C132:C142">
    <cfRule type="cellIs" dxfId="14" priority="15" stopIfTrue="1" operator="notEqual">
      <formula>""</formula>
    </cfRule>
  </conditionalFormatting>
  <conditionalFormatting sqref="C132:C142">
    <cfRule type="cellIs" dxfId="13" priority="14" stopIfTrue="1" operator="notEqual">
      <formula>""</formula>
    </cfRule>
  </conditionalFormatting>
  <conditionalFormatting sqref="C143:C154">
    <cfRule type="cellIs" dxfId="12" priority="13" stopIfTrue="1" operator="notEqual">
      <formula>""</formula>
    </cfRule>
  </conditionalFormatting>
  <conditionalFormatting sqref="C144:C154">
    <cfRule type="cellIs" dxfId="11" priority="12" stopIfTrue="1" operator="notEqual">
      <formula>""</formula>
    </cfRule>
  </conditionalFormatting>
  <conditionalFormatting sqref="C144:C154">
    <cfRule type="cellIs" dxfId="10" priority="11" stopIfTrue="1" operator="notEqual">
      <formula>""</formula>
    </cfRule>
  </conditionalFormatting>
  <conditionalFormatting sqref="C155:C166">
    <cfRule type="cellIs" dxfId="9" priority="10" stopIfTrue="1" operator="notEqual">
      <formula>""</formula>
    </cfRule>
  </conditionalFormatting>
  <conditionalFormatting sqref="C156:C166">
    <cfRule type="cellIs" dxfId="8" priority="9" stopIfTrue="1" operator="notEqual">
      <formula>""</formula>
    </cfRule>
  </conditionalFormatting>
  <conditionalFormatting sqref="C156:C166">
    <cfRule type="cellIs" dxfId="7" priority="8" stopIfTrue="1" operator="notEqual">
      <formula>""</formula>
    </cfRule>
  </conditionalFormatting>
  <conditionalFormatting sqref="C167:C178">
    <cfRule type="cellIs" dxfId="6" priority="7" stopIfTrue="1" operator="notEqual">
      <formula>""</formula>
    </cfRule>
  </conditionalFormatting>
  <conditionalFormatting sqref="C168:C178">
    <cfRule type="cellIs" dxfId="5" priority="6" stopIfTrue="1" operator="notEqual">
      <formula>""</formula>
    </cfRule>
  </conditionalFormatting>
  <conditionalFormatting sqref="C168:C178">
    <cfRule type="cellIs" dxfId="4" priority="5" stopIfTrue="1" operator="notEqual">
      <formula>""</formula>
    </cfRule>
  </conditionalFormatting>
  <conditionalFormatting sqref="B167:B178">
    <cfRule type="cellIs" dxfId="3" priority="4" stopIfTrue="1" operator="notEqual">
      <formula>""</formula>
    </cfRule>
  </conditionalFormatting>
  <conditionalFormatting sqref="B167:B178">
    <cfRule type="cellIs" dxfId="2" priority="3" stopIfTrue="1" operator="notEqual">
      <formula>""</formula>
    </cfRule>
  </conditionalFormatting>
  <conditionalFormatting sqref="B182:B193">
    <cfRule type="cellIs" dxfId="1" priority="1" stopIfTrue="1" operator="notEqual">
      <formula>""</formula>
    </cfRule>
  </conditionalFormatting>
  <conditionalFormatting sqref="B182:B193">
    <cfRule type="cellIs" dxfId="0" priority="2"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183"/>
  <sheetViews>
    <sheetView workbookViewId="0">
      <selection activeCell="I3" sqref="I3"/>
    </sheetView>
  </sheetViews>
  <sheetFormatPr defaultRowHeight="12.75"/>
  <cols>
    <col min="2" max="2" width="4" customWidth="1"/>
    <col min="3" max="3" width="9.85546875" customWidth="1"/>
    <col min="4" max="4" width="8.7109375" customWidth="1"/>
    <col min="5" max="5" width="7.85546875" customWidth="1"/>
    <col min="6" max="6" width="9.42578125" customWidth="1"/>
    <col min="7" max="9" width="9.140625" customWidth="1"/>
  </cols>
  <sheetData>
    <row r="1" spans="1:23" ht="13.5">
      <c r="A1" s="492" t="s">
        <v>56</v>
      </c>
      <c r="B1" s="492"/>
      <c r="C1" s="492"/>
      <c r="D1" s="493" t="s">
        <v>57</v>
      </c>
      <c r="E1" s="493"/>
      <c r="F1" s="493"/>
      <c r="G1" s="493"/>
      <c r="H1" s="211" t="s">
        <v>58</v>
      </c>
      <c r="I1" s="209" t="s">
        <v>59</v>
      </c>
    </row>
    <row r="2" spans="1:23">
      <c r="A2" s="492"/>
      <c r="B2" s="492"/>
      <c r="C2" s="492"/>
      <c r="D2" s="493"/>
      <c r="E2" s="493"/>
      <c r="F2" s="493"/>
      <c r="G2" s="493"/>
      <c r="H2" s="367">
        <v>42005</v>
      </c>
      <c r="I2" s="210">
        <v>45474</v>
      </c>
    </row>
    <row r="3" spans="1:23" ht="14.25" thickBot="1">
      <c r="A3" s="212" t="s">
        <v>60</v>
      </c>
      <c r="B3" s="212"/>
      <c r="C3" s="212" t="s">
        <v>8</v>
      </c>
      <c r="D3" s="212" t="s">
        <v>61</v>
      </c>
      <c r="E3" s="212" t="s">
        <v>62</v>
      </c>
      <c r="F3" s="211" t="s">
        <v>63</v>
      </c>
      <c r="G3" s="211" t="s">
        <v>64</v>
      </c>
      <c r="H3" s="211" t="s">
        <v>65</v>
      </c>
      <c r="I3" s="211" t="s">
        <v>66</v>
      </c>
    </row>
    <row r="4" spans="1:23" ht="14.25" thickBot="1">
      <c r="A4" s="213">
        <v>40179</v>
      </c>
      <c r="B4" s="212"/>
      <c r="C4" s="243">
        <v>510</v>
      </c>
      <c r="D4" s="213">
        <v>40179</v>
      </c>
      <c r="E4" s="212"/>
      <c r="F4" s="211"/>
      <c r="G4" s="243">
        <f>S4</f>
        <v>2.0114918099999999</v>
      </c>
      <c r="H4" s="302">
        <v>0</v>
      </c>
      <c r="I4" s="257">
        <f t="shared" ref="I4:I15" si="0">U4</f>
        <v>0.60997000000000001</v>
      </c>
      <c r="M4" s="243" t="s">
        <v>226</v>
      </c>
      <c r="N4" s="243">
        <v>1.0771999999999999</v>
      </c>
      <c r="O4" s="243">
        <v>510</v>
      </c>
      <c r="P4" s="243">
        <v>1</v>
      </c>
      <c r="Q4" s="243">
        <v>0</v>
      </c>
      <c r="R4" s="243">
        <v>510</v>
      </c>
      <c r="S4" s="243">
        <v>2.0114918099999999</v>
      </c>
      <c r="T4" s="336">
        <v>1025.8599999999999</v>
      </c>
      <c r="U4" s="337">
        <v>0.60997000000000001</v>
      </c>
      <c r="V4" s="243">
        <v>625.74</v>
      </c>
      <c r="W4" s="336">
        <v>1651.6</v>
      </c>
    </row>
    <row r="5" spans="1:23" ht="14.25" thickBot="1">
      <c r="A5" s="213">
        <v>40210</v>
      </c>
      <c r="B5" s="212"/>
      <c r="C5" s="243">
        <v>510</v>
      </c>
      <c r="D5" s="213">
        <v>40210</v>
      </c>
      <c r="E5" s="212"/>
      <c r="F5" s="211"/>
      <c r="G5" s="243">
        <f t="shared" ref="G5:G68" si="1">S5</f>
        <v>2.0010861599999998</v>
      </c>
      <c r="H5" s="302">
        <v>0</v>
      </c>
      <c r="I5" s="257">
        <f t="shared" si="0"/>
        <v>0.60997000000000001</v>
      </c>
      <c r="M5" s="243" t="s">
        <v>227</v>
      </c>
      <c r="N5" s="243">
        <v>1</v>
      </c>
      <c r="O5" s="243">
        <v>510</v>
      </c>
      <c r="P5" s="243">
        <v>1</v>
      </c>
      <c r="Q5" s="243">
        <v>0</v>
      </c>
      <c r="R5" s="243">
        <v>510</v>
      </c>
      <c r="S5" s="243">
        <v>2.0010861599999998</v>
      </c>
      <c r="T5" s="336">
        <v>1020.55</v>
      </c>
      <c r="U5" s="337">
        <v>0.60997000000000001</v>
      </c>
      <c r="V5" s="243">
        <v>622.5</v>
      </c>
      <c r="W5" s="336">
        <v>1643.05</v>
      </c>
    </row>
    <row r="6" spans="1:23" ht="14.25" thickBot="1">
      <c r="A6" s="213">
        <v>40238</v>
      </c>
      <c r="B6" s="212"/>
      <c r="C6" s="243">
        <v>510</v>
      </c>
      <c r="D6" s="213">
        <v>40238</v>
      </c>
      <c r="E6" s="212"/>
      <c r="F6" s="211"/>
      <c r="G6" s="243">
        <f t="shared" si="1"/>
        <v>1.9824511199999999</v>
      </c>
      <c r="H6" s="302">
        <v>0</v>
      </c>
      <c r="I6" s="257">
        <f t="shared" si="0"/>
        <v>0.60997000000000001</v>
      </c>
      <c r="M6" s="243" t="s">
        <v>228</v>
      </c>
      <c r="N6" s="243">
        <v>1</v>
      </c>
      <c r="O6" s="243">
        <v>510</v>
      </c>
      <c r="P6" s="243">
        <v>1</v>
      </c>
      <c r="Q6" s="243">
        <v>0</v>
      </c>
      <c r="R6" s="243">
        <v>510</v>
      </c>
      <c r="S6" s="243">
        <v>1.9824511199999999</v>
      </c>
      <c r="T6" s="336">
        <v>1011.05</v>
      </c>
      <c r="U6" s="337">
        <v>0.60997000000000001</v>
      </c>
      <c r="V6" s="243">
        <v>616.71</v>
      </c>
      <c r="W6" s="336">
        <v>1627.76</v>
      </c>
    </row>
    <row r="7" spans="1:23" ht="14.25" thickBot="1">
      <c r="A7" s="213">
        <v>40269</v>
      </c>
      <c r="B7" s="212"/>
      <c r="C7" s="243">
        <v>510</v>
      </c>
      <c r="D7" s="213">
        <v>40269</v>
      </c>
      <c r="E7" s="212"/>
      <c r="F7" s="211"/>
      <c r="G7" s="243">
        <f t="shared" si="1"/>
        <v>1.97160728</v>
      </c>
      <c r="H7" s="302">
        <v>0</v>
      </c>
      <c r="I7" s="257">
        <f t="shared" si="0"/>
        <v>0.60997000000000001</v>
      </c>
      <c r="M7" s="243" t="s">
        <v>229</v>
      </c>
      <c r="N7" s="243">
        <v>1</v>
      </c>
      <c r="O7" s="243">
        <v>510</v>
      </c>
      <c r="P7" s="243">
        <v>1</v>
      </c>
      <c r="Q7" s="243">
        <v>0</v>
      </c>
      <c r="R7" s="243">
        <v>510</v>
      </c>
      <c r="S7" s="243">
        <v>1.97160728</v>
      </c>
      <c r="T7" s="336">
        <v>1005.52</v>
      </c>
      <c r="U7" s="337">
        <v>0.60997000000000001</v>
      </c>
      <c r="V7" s="243">
        <v>613.33000000000004</v>
      </c>
      <c r="W7" s="336">
        <v>1618.85</v>
      </c>
    </row>
    <row r="8" spans="1:23" ht="14.25" thickBot="1">
      <c r="A8" s="213">
        <v>40299</v>
      </c>
      <c r="B8" s="212"/>
      <c r="C8" s="243">
        <v>510</v>
      </c>
      <c r="D8" s="213">
        <v>40299</v>
      </c>
      <c r="E8" s="212"/>
      <c r="F8" s="211"/>
      <c r="G8" s="243">
        <f t="shared" si="1"/>
        <v>1.96218878</v>
      </c>
      <c r="H8" s="302">
        <v>0</v>
      </c>
      <c r="I8" s="257">
        <f t="shared" si="0"/>
        <v>0.60997000000000001</v>
      </c>
      <c r="M8" s="243" t="s">
        <v>230</v>
      </c>
      <c r="N8" s="243">
        <v>1</v>
      </c>
      <c r="O8" s="243">
        <v>510</v>
      </c>
      <c r="P8" s="243">
        <v>1</v>
      </c>
      <c r="Q8" s="243">
        <v>0</v>
      </c>
      <c r="R8" s="243">
        <v>510</v>
      </c>
      <c r="S8" s="243">
        <v>1.96218878</v>
      </c>
      <c r="T8" s="336">
        <v>1000.71</v>
      </c>
      <c r="U8" s="337">
        <v>0.60997000000000001</v>
      </c>
      <c r="V8" s="243">
        <v>610.4</v>
      </c>
      <c r="W8" s="336">
        <v>1611.11</v>
      </c>
    </row>
    <row r="9" spans="1:23" ht="14.25" thickBot="1">
      <c r="A9" s="213">
        <v>40330</v>
      </c>
      <c r="B9" s="212"/>
      <c r="C9" s="243">
        <v>510</v>
      </c>
      <c r="D9" s="213">
        <v>40330</v>
      </c>
      <c r="E9" s="212"/>
      <c r="F9" s="211"/>
      <c r="G9" s="243">
        <f t="shared" si="1"/>
        <v>1.94990438</v>
      </c>
      <c r="H9" s="302">
        <v>0</v>
      </c>
      <c r="I9" s="257">
        <f t="shared" si="0"/>
        <v>0.60997000000000001</v>
      </c>
      <c r="M9" s="243" t="s">
        <v>231</v>
      </c>
      <c r="N9" s="243">
        <v>1</v>
      </c>
      <c r="O9" s="243">
        <v>510</v>
      </c>
      <c r="P9" s="243">
        <v>1</v>
      </c>
      <c r="Q9" s="243">
        <v>0</v>
      </c>
      <c r="R9" s="243">
        <v>510</v>
      </c>
      <c r="S9" s="243">
        <v>1.94990438</v>
      </c>
      <c r="T9" s="243">
        <v>994.45</v>
      </c>
      <c r="U9" s="337">
        <v>0.60997000000000001</v>
      </c>
      <c r="V9" s="243">
        <v>606.58000000000004</v>
      </c>
      <c r="W9" s="336">
        <v>1601.03</v>
      </c>
    </row>
    <row r="10" spans="1:23" ht="14.25" thickBot="1">
      <c r="A10" s="213">
        <v>40360</v>
      </c>
      <c r="B10" s="212"/>
      <c r="C10" s="243">
        <v>510</v>
      </c>
      <c r="D10" s="213">
        <v>40360</v>
      </c>
      <c r="E10" s="212"/>
      <c r="F10" s="211"/>
      <c r="G10" s="243">
        <f t="shared" si="1"/>
        <v>1.9462065900000001</v>
      </c>
      <c r="H10" s="302">
        <v>0</v>
      </c>
      <c r="I10" s="257">
        <f t="shared" si="0"/>
        <v>0.60997000000000001</v>
      </c>
      <c r="M10" s="243" t="s">
        <v>232</v>
      </c>
      <c r="N10" s="243">
        <v>1</v>
      </c>
      <c r="O10" s="243">
        <v>510</v>
      </c>
      <c r="P10" s="243">
        <v>1</v>
      </c>
      <c r="Q10" s="243">
        <v>0</v>
      </c>
      <c r="R10" s="243">
        <v>510</v>
      </c>
      <c r="S10" s="243">
        <v>1.9462065900000001</v>
      </c>
      <c r="T10" s="243">
        <v>992.56</v>
      </c>
      <c r="U10" s="337">
        <v>0.60997000000000001</v>
      </c>
      <c r="V10" s="243">
        <v>605.42999999999995</v>
      </c>
      <c r="W10" s="336">
        <v>1597.99</v>
      </c>
    </row>
    <row r="11" spans="1:23" ht="14.25" thickBot="1">
      <c r="A11" s="213">
        <v>40391</v>
      </c>
      <c r="B11" s="212"/>
      <c r="C11" s="243">
        <v>510</v>
      </c>
      <c r="D11" s="213">
        <v>40391</v>
      </c>
      <c r="E11" s="212"/>
      <c r="F11" s="211"/>
      <c r="G11" s="243">
        <f t="shared" si="1"/>
        <v>1.9479597500000001</v>
      </c>
      <c r="H11" s="302">
        <v>0</v>
      </c>
      <c r="I11" s="257">
        <f t="shared" si="0"/>
        <v>0.60997000000000001</v>
      </c>
      <c r="M11" s="243" t="s">
        <v>233</v>
      </c>
      <c r="N11" s="243">
        <v>1</v>
      </c>
      <c r="O11" s="243">
        <v>510</v>
      </c>
      <c r="P11" s="243">
        <v>1</v>
      </c>
      <c r="Q11" s="243">
        <v>0</v>
      </c>
      <c r="R11" s="243">
        <v>510</v>
      </c>
      <c r="S11" s="243">
        <v>1.9479597500000001</v>
      </c>
      <c r="T11" s="243">
        <v>993.46</v>
      </c>
      <c r="U11" s="337">
        <v>0.60997000000000001</v>
      </c>
      <c r="V11" s="243">
        <v>605.98</v>
      </c>
      <c r="W11" s="336">
        <v>1599.44</v>
      </c>
    </row>
    <row r="12" spans="1:23" ht="14.25" thickBot="1">
      <c r="A12" s="213">
        <v>40422</v>
      </c>
      <c r="B12" s="212"/>
      <c r="C12" s="243">
        <v>510</v>
      </c>
      <c r="D12" s="213">
        <v>40422</v>
      </c>
      <c r="E12" s="212"/>
      <c r="F12" s="211"/>
      <c r="G12" s="243">
        <f t="shared" si="1"/>
        <v>1.9489342199999999</v>
      </c>
      <c r="H12" s="302">
        <v>0</v>
      </c>
      <c r="I12" s="257">
        <f t="shared" si="0"/>
        <v>0.60997000000000001</v>
      </c>
      <c r="M12" s="243" t="s">
        <v>234</v>
      </c>
      <c r="N12" s="243">
        <v>1</v>
      </c>
      <c r="O12" s="243">
        <v>510</v>
      </c>
      <c r="P12" s="243">
        <v>1</v>
      </c>
      <c r="Q12" s="243">
        <v>0</v>
      </c>
      <c r="R12" s="243">
        <v>510</v>
      </c>
      <c r="S12" s="243">
        <v>1.9489342199999999</v>
      </c>
      <c r="T12" s="243">
        <v>993.95</v>
      </c>
      <c r="U12" s="337">
        <v>0.60997000000000001</v>
      </c>
      <c r="V12" s="243">
        <v>606.28</v>
      </c>
      <c r="W12" s="336">
        <v>1600.23</v>
      </c>
    </row>
    <row r="13" spans="1:23" ht="14.25" thickBot="1">
      <c r="A13" s="213">
        <v>40452</v>
      </c>
      <c r="B13" s="212"/>
      <c r="C13" s="243">
        <v>510</v>
      </c>
      <c r="D13" s="213">
        <v>40452</v>
      </c>
      <c r="E13" s="212"/>
      <c r="F13" s="211"/>
      <c r="G13" s="243">
        <f t="shared" si="1"/>
        <v>1.94291119</v>
      </c>
      <c r="H13" s="302">
        <v>0</v>
      </c>
      <c r="I13" s="257">
        <f t="shared" si="0"/>
        <v>0.60997000000000001</v>
      </c>
      <c r="M13" s="243" t="s">
        <v>235</v>
      </c>
      <c r="N13" s="243">
        <v>1</v>
      </c>
      <c r="O13" s="243">
        <v>510</v>
      </c>
      <c r="P13" s="243">
        <v>1</v>
      </c>
      <c r="Q13" s="243">
        <v>0</v>
      </c>
      <c r="R13" s="243">
        <v>510</v>
      </c>
      <c r="S13" s="243">
        <v>1.94291119</v>
      </c>
      <c r="T13" s="243">
        <v>990.88</v>
      </c>
      <c r="U13" s="337">
        <v>0.60997000000000001</v>
      </c>
      <c r="V13" s="243">
        <v>604.4</v>
      </c>
      <c r="W13" s="336">
        <v>1595.28</v>
      </c>
    </row>
    <row r="14" spans="1:23" ht="14.25" thickBot="1">
      <c r="A14" s="213">
        <v>40483</v>
      </c>
      <c r="B14" s="212"/>
      <c r="C14" s="243">
        <v>510</v>
      </c>
      <c r="D14" s="213">
        <v>40483</v>
      </c>
      <c r="E14" s="212"/>
      <c r="F14" s="211"/>
      <c r="G14" s="243">
        <f t="shared" si="1"/>
        <v>1.9309393699999999</v>
      </c>
      <c r="H14" s="302">
        <v>0</v>
      </c>
      <c r="I14" s="257">
        <f t="shared" si="0"/>
        <v>0.60997000000000001</v>
      </c>
      <c r="M14" s="243" t="s">
        <v>236</v>
      </c>
      <c r="N14" s="243">
        <v>1</v>
      </c>
      <c r="O14" s="243">
        <v>510</v>
      </c>
      <c r="P14" s="243">
        <v>1</v>
      </c>
      <c r="Q14" s="243">
        <v>0</v>
      </c>
      <c r="R14" s="243">
        <v>510</v>
      </c>
      <c r="S14" s="243">
        <v>1.9309393699999999</v>
      </c>
      <c r="T14" s="243">
        <v>984.78</v>
      </c>
      <c r="U14" s="337">
        <v>0.60997000000000001</v>
      </c>
      <c r="V14" s="243">
        <v>600.67999999999995</v>
      </c>
      <c r="W14" s="336">
        <v>1585.46</v>
      </c>
    </row>
    <row r="15" spans="1:23" ht="14.25" thickBot="1">
      <c r="A15" s="213">
        <v>40513</v>
      </c>
      <c r="B15" s="212"/>
      <c r="C15" s="243">
        <v>510</v>
      </c>
      <c r="D15" s="213">
        <v>40513</v>
      </c>
      <c r="E15" s="212"/>
      <c r="F15" s="211"/>
      <c r="G15" s="243">
        <f t="shared" si="1"/>
        <v>1.91447488</v>
      </c>
      <c r="H15" s="302">
        <v>0</v>
      </c>
      <c r="I15" s="257">
        <f t="shared" si="0"/>
        <v>0.60997000000000001</v>
      </c>
      <c r="M15" s="243" t="s">
        <v>237</v>
      </c>
      <c r="N15" s="243">
        <v>1</v>
      </c>
      <c r="O15" s="243">
        <v>510</v>
      </c>
      <c r="P15" s="243">
        <v>1</v>
      </c>
      <c r="Q15" s="243">
        <v>0</v>
      </c>
      <c r="R15" s="243">
        <v>510</v>
      </c>
      <c r="S15" s="243">
        <v>1.91447488</v>
      </c>
      <c r="T15" s="243">
        <v>976.38</v>
      </c>
      <c r="U15" s="337">
        <v>0.60997000000000001</v>
      </c>
      <c r="V15" s="243">
        <v>595.55999999999995</v>
      </c>
      <c r="W15" s="336">
        <v>1571.94</v>
      </c>
    </row>
    <row r="16" spans="1:23" ht="13.5" customHeight="1" thickBot="1">
      <c r="A16" s="213">
        <v>40544</v>
      </c>
      <c r="B16" s="213"/>
      <c r="C16" s="214">
        <v>540</v>
      </c>
      <c r="D16" s="213">
        <v>40544</v>
      </c>
      <c r="E16" s="215"/>
      <c r="F16" s="216"/>
      <c r="G16" s="243">
        <f t="shared" si="1"/>
        <v>1.90135553</v>
      </c>
      <c r="H16" s="302">
        <v>0</v>
      </c>
      <c r="I16" s="257">
        <f t="shared" ref="I16:I79" si="2">U16</f>
        <v>0.60997000000000001</v>
      </c>
      <c r="M16" s="243" t="s">
        <v>67</v>
      </c>
      <c r="N16" s="243">
        <v>1.0647</v>
      </c>
      <c r="O16" s="243">
        <v>540</v>
      </c>
      <c r="P16" s="243">
        <v>1</v>
      </c>
      <c r="Q16" s="243">
        <v>0</v>
      </c>
      <c r="R16" s="243">
        <v>540</v>
      </c>
      <c r="S16" s="243">
        <v>1.90135553</v>
      </c>
      <c r="T16" s="336">
        <v>1026.73</v>
      </c>
      <c r="U16" s="337">
        <v>0.60997000000000001</v>
      </c>
      <c r="V16" s="243">
        <v>626.27</v>
      </c>
      <c r="W16" s="336">
        <v>1653</v>
      </c>
    </row>
    <row r="17" spans="1:23" ht="13.5" customHeight="1" thickBot="1">
      <c r="A17" s="213">
        <v>40575</v>
      </c>
      <c r="B17" s="213"/>
      <c r="C17" s="214">
        <v>540</v>
      </c>
      <c r="D17" s="213">
        <v>40575</v>
      </c>
      <c r="E17" s="215"/>
      <c r="F17" s="216"/>
      <c r="G17" s="243">
        <f t="shared" si="1"/>
        <v>1.88701422</v>
      </c>
      <c r="H17" s="302">
        <v>0</v>
      </c>
      <c r="I17" s="257">
        <f t="shared" si="2"/>
        <v>0.60997000000000001</v>
      </c>
      <c r="M17" s="243" t="s">
        <v>68</v>
      </c>
      <c r="N17" s="243">
        <v>1</v>
      </c>
      <c r="O17" s="243">
        <v>540</v>
      </c>
      <c r="P17" s="243">
        <v>1</v>
      </c>
      <c r="Q17" s="243">
        <v>0</v>
      </c>
      <c r="R17" s="243">
        <v>540</v>
      </c>
      <c r="S17" s="243">
        <v>1.88701422</v>
      </c>
      <c r="T17" s="336">
        <v>1018.98</v>
      </c>
      <c r="U17" s="337">
        <v>0.60997000000000001</v>
      </c>
      <c r="V17" s="243">
        <v>621.54</v>
      </c>
      <c r="W17" s="336">
        <v>1640.52</v>
      </c>
    </row>
    <row r="18" spans="1:23" ht="13.5" customHeight="1" thickBot="1">
      <c r="A18" s="213">
        <v>40603</v>
      </c>
      <c r="B18" s="213"/>
      <c r="C18" s="214">
        <v>545</v>
      </c>
      <c r="D18" s="213">
        <v>40603</v>
      </c>
      <c r="E18" s="215"/>
      <c r="F18" s="216"/>
      <c r="G18" s="243">
        <f t="shared" si="1"/>
        <v>1.8688860300000001</v>
      </c>
      <c r="H18" s="302">
        <v>0</v>
      </c>
      <c r="I18" s="257">
        <f t="shared" si="2"/>
        <v>0.60997000000000001</v>
      </c>
      <c r="M18" s="243" t="s">
        <v>69</v>
      </c>
      <c r="N18" s="243">
        <v>1</v>
      </c>
      <c r="O18" s="243">
        <v>545</v>
      </c>
      <c r="P18" s="243">
        <v>1</v>
      </c>
      <c r="Q18" s="243">
        <v>0</v>
      </c>
      <c r="R18" s="243">
        <v>545</v>
      </c>
      <c r="S18" s="243">
        <v>1.8688860300000001</v>
      </c>
      <c r="T18" s="336">
        <v>1018.54</v>
      </c>
      <c r="U18" s="337">
        <v>0.60997000000000001</v>
      </c>
      <c r="V18" s="243">
        <v>621.27</v>
      </c>
      <c r="W18" s="336">
        <v>1639.81</v>
      </c>
    </row>
    <row r="19" spans="1:23" ht="13.5" customHeight="1" thickBot="1">
      <c r="A19" s="213">
        <v>40634</v>
      </c>
      <c r="B19" s="213"/>
      <c r="C19" s="214">
        <v>545</v>
      </c>
      <c r="D19" s="213">
        <v>40634</v>
      </c>
      <c r="E19" s="215"/>
      <c r="F19" s="216"/>
      <c r="G19" s="243">
        <f t="shared" si="1"/>
        <v>1.85773959</v>
      </c>
      <c r="H19" s="302">
        <v>0</v>
      </c>
      <c r="I19" s="257">
        <f t="shared" si="2"/>
        <v>0.60997000000000001</v>
      </c>
      <c r="M19" s="243" t="s">
        <v>70</v>
      </c>
      <c r="N19" s="243">
        <v>1</v>
      </c>
      <c r="O19" s="243">
        <v>545</v>
      </c>
      <c r="P19" s="243">
        <v>1</v>
      </c>
      <c r="Q19" s="243">
        <v>0</v>
      </c>
      <c r="R19" s="243">
        <v>545</v>
      </c>
      <c r="S19" s="243">
        <v>1.85773959</v>
      </c>
      <c r="T19" s="336">
        <v>1012.46</v>
      </c>
      <c r="U19" s="337">
        <v>0.60997000000000001</v>
      </c>
      <c r="V19" s="243">
        <v>617.57000000000005</v>
      </c>
      <c r="W19" s="336">
        <v>1630.03</v>
      </c>
    </row>
    <row r="20" spans="1:23" ht="13.5" customHeight="1" thickBot="1">
      <c r="A20" s="213">
        <v>40664</v>
      </c>
      <c r="B20" s="213"/>
      <c r="C20" s="214">
        <v>545</v>
      </c>
      <c r="D20" s="213">
        <v>40664</v>
      </c>
      <c r="E20" s="215"/>
      <c r="F20" s="216"/>
      <c r="G20" s="243">
        <f t="shared" si="1"/>
        <v>1.8435443</v>
      </c>
      <c r="H20" s="302">
        <v>0</v>
      </c>
      <c r="I20" s="257">
        <f t="shared" si="2"/>
        <v>0.60997000000000001</v>
      </c>
      <c r="M20" s="243" t="s">
        <v>71</v>
      </c>
      <c r="N20" s="243">
        <v>1</v>
      </c>
      <c r="O20" s="243">
        <v>545</v>
      </c>
      <c r="P20" s="243">
        <v>1</v>
      </c>
      <c r="Q20" s="243">
        <v>0</v>
      </c>
      <c r="R20" s="243">
        <v>545</v>
      </c>
      <c r="S20" s="243">
        <v>1.8435443</v>
      </c>
      <c r="T20" s="336">
        <v>1004.73</v>
      </c>
      <c r="U20" s="337">
        <v>0.60997000000000001</v>
      </c>
      <c r="V20" s="243">
        <v>612.85</v>
      </c>
      <c r="W20" s="336">
        <v>1617.58</v>
      </c>
    </row>
    <row r="21" spans="1:23" ht="13.5" customHeight="1" thickBot="1">
      <c r="A21" s="213">
        <v>40695</v>
      </c>
      <c r="B21" s="213"/>
      <c r="C21" s="214">
        <v>545</v>
      </c>
      <c r="D21" s="213">
        <v>40695</v>
      </c>
      <c r="E21" s="215"/>
      <c r="F21" s="216"/>
      <c r="G21" s="243">
        <f t="shared" si="1"/>
        <v>1.8307291999999999</v>
      </c>
      <c r="H21" s="302">
        <v>0</v>
      </c>
      <c r="I21" s="257">
        <f t="shared" si="2"/>
        <v>0.60997000000000001</v>
      </c>
      <c r="M21" s="243" t="s">
        <v>72</v>
      </c>
      <c r="N21" s="243">
        <v>1</v>
      </c>
      <c r="O21" s="243">
        <v>545</v>
      </c>
      <c r="P21" s="243">
        <v>1</v>
      </c>
      <c r="Q21" s="243">
        <v>0</v>
      </c>
      <c r="R21" s="243">
        <v>545</v>
      </c>
      <c r="S21" s="243">
        <v>1.8307291999999999</v>
      </c>
      <c r="T21" s="243">
        <v>997.74</v>
      </c>
      <c r="U21" s="337">
        <v>0.60997000000000001</v>
      </c>
      <c r="V21" s="243">
        <v>608.59</v>
      </c>
      <c r="W21" s="336">
        <v>1606.33</v>
      </c>
    </row>
    <row r="22" spans="1:23" ht="13.5" customHeight="1" thickBot="1">
      <c r="A22" s="213">
        <v>40725</v>
      </c>
      <c r="B22" s="213"/>
      <c r="C22" s="214">
        <v>545</v>
      </c>
      <c r="D22" s="213">
        <v>40725</v>
      </c>
      <c r="E22" s="215"/>
      <c r="F22" s="216"/>
      <c r="G22" s="243">
        <f t="shared" si="1"/>
        <v>1.8265281799999999</v>
      </c>
      <c r="H22" s="302">
        <v>0</v>
      </c>
      <c r="I22" s="257">
        <f t="shared" si="2"/>
        <v>0.60997000000000001</v>
      </c>
      <c r="M22" s="243" t="s">
        <v>73</v>
      </c>
      <c r="N22" s="243">
        <v>1</v>
      </c>
      <c r="O22" s="243">
        <v>545</v>
      </c>
      <c r="P22" s="243">
        <v>1</v>
      </c>
      <c r="Q22" s="243">
        <v>0</v>
      </c>
      <c r="R22" s="243">
        <v>545</v>
      </c>
      <c r="S22" s="243">
        <v>1.8265281799999999</v>
      </c>
      <c r="T22" s="243">
        <v>995.45</v>
      </c>
      <c r="U22" s="337">
        <v>0.60997000000000001</v>
      </c>
      <c r="V22" s="243">
        <v>607.19000000000005</v>
      </c>
      <c r="W22" s="336">
        <v>1602.64</v>
      </c>
    </row>
    <row r="23" spans="1:23" ht="13.5" customHeight="1" thickBot="1">
      <c r="A23" s="213">
        <v>40756</v>
      </c>
      <c r="B23" s="213"/>
      <c r="C23" s="214">
        <v>545</v>
      </c>
      <c r="D23" s="213">
        <v>40756</v>
      </c>
      <c r="E23" s="215"/>
      <c r="F23" s="216"/>
      <c r="G23" s="243">
        <f t="shared" si="1"/>
        <v>1.8247034799999999</v>
      </c>
      <c r="H23" s="302">
        <v>0</v>
      </c>
      <c r="I23" s="257">
        <f t="shared" si="2"/>
        <v>0.60997000000000001</v>
      </c>
      <c r="M23" s="243" t="s">
        <v>74</v>
      </c>
      <c r="N23" s="243">
        <v>1</v>
      </c>
      <c r="O23" s="243">
        <v>545</v>
      </c>
      <c r="P23" s="243">
        <v>1</v>
      </c>
      <c r="Q23" s="243">
        <v>0</v>
      </c>
      <c r="R23" s="243">
        <v>545</v>
      </c>
      <c r="S23" s="243">
        <v>1.8247034799999999</v>
      </c>
      <c r="T23" s="243">
        <v>994.46</v>
      </c>
      <c r="U23" s="337">
        <v>0.60997000000000001</v>
      </c>
      <c r="V23" s="243">
        <v>606.59</v>
      </c>
      <c r="W23" s="336">
        <v>1601.05</v>
      </c>
    </row>
    <row r="24" spans="1:23" ht="13.5" customHeight="1" thickBot="1">
      <c r="A24" s="213">
        <v>40787</v>
      </c>
      <c r="B24" s="213"/>
      <c r="C24" s="214">
        <v>545</v>
      </c>
      <c r="D24" s="213">
        <v>40787</v>
      </c>
      <c r="E24" s="215"/>
      <c r="F24" s="216"/>
      <c r="G24" s="243">
        <f t="shared" si="1"/>
        <v>1.81979004</v>
      </c>
      <c r="H24" s="302">
        <v>0</v>
      </c>
      <c r="I24" s="257">
        <f t="shared" si="2"/>
        <v>0.60997000000000001</v>
      </c>
      <c r="M24" s="243" t="s">
        <v>75</v>
      </c>
      <c r="N24" s="243">
        <v>1</v>
      </c>
      <c r="O24" s="243">
        <v>545</v>
      </c>
      <c r="P24" s="243">
        <v>1</v>
      </c>
      <c r="Q24" s="243">
        <v>0</v>
      </c>
      <c r="R24" s="243">
        <v>545</v>
      </c>
      <c r="S24" s="243">
        <v>1.81979004</v>
      </c>
      <c r="T24" s="243">
        <v>991.78</v>
      </c>
      <c r="U24" s="337">
        <v>0.60997000000000001</v>
      </c>
      <c r="V24" s="243">
        <v>604.95000000000005</v>
      </c>
      <c r="W24" s="336">
        <v>1596.73</v>
      </c>
    </row>
    <row r="25" spans="1:23" ht="13.5" customHeight="1" thickBot="1">
      <c r="A25" s="213">
        <v>40817</v>
      </c>
      <c r="B25" s="213"/>
      <c r="C25" s="214">
        <v>545</v>
      </c>
      <c r="D25" s="213">
        <v>40817</v>
      </c>
      <c r="E25" s="215"/>
      <c r="F25" s="216"/>
      <c r="G25" s="243">
        <f t="shared" si="1"/>
        <v>1.8101960100000001</v>
      </c>
      <c r="H25" s="302">
        <v>0</v>
      </c>
      <c r="I25" s="257">
        <f t="shared" si="2"/>
        <v>0.60997000000000001</v>
      </c>
      <c r="M25" s="243" t="s">
        <v>76</v>
      </c>
      <c r="N25" s="243">
        <v>1</v>
      </c>
      <c r="O25" s="243">
        <v>545</v>
      </c>
      <c r="P25" s="243">
        <v>1</v>
      </c>
      <c r="Q25" s="243">
        <v>0</v>
      </c>
      <c r="R25" s="243">
        <v>545</v>
      </c>
      <c r="S25" s="243">
        <v>1.8101960100000001</v>
      </c>
      <c r="T25" s="243">
        <v>986.55</v>
      </c>
      <c r="U25" s="337">
        <v>0.60997000000000001</v>
      </c>
      <c r="V25" s="243">
        <v>601.76</v>
      </c>
      <c r="W25" s="336">
        <v>1588.31</v>
      </c>
    </row>
    <row r="26" spans="1:23" ht="13.5" customHeight="1" thickBot="1">
      <c r="A26" s="213">
        <v>40848</v>
      </c>
      <c r="B26" s="213"/>
      <c r="C26" s="214">
        <v>545</v>
      </c>
      <c r="D26" s="213">
        <v>40848</v>
      </c>
      <c r="E26" s="215"/>
      <c r="F26" s="216"/>
      <c r="G26" s="243">
        <f t="shared" si="1"/>
        <v>1.80262498</v>
      </c>
      <c r="H26" s="302">
        <v>0</v>
      </c>
      <c r="I26" s="257">
        <f t="shared" si="2"/>
        <v>0.60997000000000001</v>
      </c>
      <c r="M26" s="243" t="s">
        <v>77</v>
      </c>
      <c r="N26" s="243">
        <v>1</v>
      </c>
      <c r="O26" s="243">
        <v>545</v>
      </c>
      <c r="P26" s="243">
        <v>1</v>
      </c>
      <c r="Q26" s="243">
        <v>0</v>
      </c>
      <c r="R26" s="243">
        <v>545</v>
      </c>
      <c r="S26" s="243">
        <v>1.80262498</v>
      </c>
      <c r="T26" s="243">
        <v>982.43</v>
      </c>
      <c r="U26" s="337">
        <v>0.60997000000000001</v>
      </c>
      <c r="V26" s="243">
        <v>599.25</v>
      </c>
      <c r="W26" s="336">
        <v>1581.68</v>
      </c>
    </row>
    <row r="27" spans="1:23" ht="13.5" customHeight="1" thickBot="1">
      <c r="A27" s="213">
        <v>40878</v>
      </c>
      <c r="B27" s="213"/>
      <c r="C27" s="214">
        <v>545</v>
      </c>
      <c r="D27" s="213">
        <v>40878</v>
      </c>
      <c r="E27" s="215"/>
      <c r="F27" s="216"/>
      <c r="G27" s="243">
        <f t="shared" si="1"/>
        <v>1.7943708700000001</v>
      </c>
      <c r="H27" s="302">
        <v>0</v>
      </c>
      <c r="I27" s="257">
        <f t="shared" si="2"/>
        <v>0.60997000000000001</v>
      </c>
      <c r="M27" s="243" t="s">
        <v>78</v>
      </c>
      <c r="N27" s="243">
        <v>1</v>
      </c>
      <c r="O27" s="243">
        <v>545</v>
      </c>
      <c r="P27" s="243">
        <v>1</v>
      </c>
      <c r="Q27" s="243">
        <v>0</v>
      </c>
      <c r="R27" s="243">
        <v>545</v>
      </c>
      <c r="S27" s="243">
        <v>1.7943708700000001</v>
      </c>
      <c r="T27" s="243">
        <v>977.93</v>
      </c>
      <c r="U27" s="337">
        <v>0.60997000000000001</v>
      </c>
      <c r="V27" s="243">
        <v>596.5</v>
      </c>
      <c r="W27" s="336">
        <v>1574.43</v>
      </c>
    </row>
    <row r="28" spans="1:23" ht="13.5" customHeight="1" thickBot="1">
      <c r="A28" s="213">
        <v>40909</v>
      </c>
      <c r="B28" s="213"/>
      <c r="C28" s="214">
        <v>622</v>
      </c>
      <c r="D28" s="213">
        <v>40909</v>
      </c>
      <c r="E28" s="215"/>
      <c r="F28" s="216"/>
      <c r="G28" s="243">
        <f t="shared" si="1"/>
        <v>1.7843783600000001</v>
      </c>
      <c r="H28" s="302">
        <v>0</v>
      </c>
      <c r="I28" s="257">
        <f t="shared" si="2"/>
        <v>0.60997000000000001</v>
      </c>
      <c r="M28" s="243" t="s">
        <v>79</v>
      </c>
      <c r="N28" s="243">
        <v>1.0608</v>
      </c>
      <c r="O28" s="243">
        <v>622</v>
      </c>
      <c r="P28" s="243">
        <v>1</v>
      </c>
      <c r="Q28" s="243">
        <v>0</v>
      </c>
      <c r="R28" s="243">
        <v>622</v>
      </c>
      <c r="S28" s="243">
        <v>1.7843783600000001</v>
      </c>
      <c r="T28" s="336">
        <v>1109.8800000000001</v>
      </c>
      <c r="U28" s="337">
        <v>0.60997000000000001</v>
      </c>
      <c r="V28" s="243">
        <v>676.99</v>
      </c>
      <c r="W28" s="336">
        <v>1786.87</v>
      </c>
    </row>
    <row r="29" spans="1:23" ht="13.5" customHeight="1" thickBot="1">
      <c r="A29" s="213">
        <v>40940</v>
      </c>
      <c r="B29" s="213"/>
      <c r="C29" s="214">
        <v>622</v>
      </c>
      <c r="D29" s="213">
        <v>40940</v>
      </c>
      <c r="E29" s="215"/>
      <c r="F29" s="216"/>
      <c r="G29" s="243">
        <f t="shared" si="1"/>
        <v>1.7728548</v>
      </c>
      <c r="H29" s="302">
        <v>0</v>
      </c>
      <c r="I29" s="257">
        <f t="shared" si="2"/>
        <v>0.60997000000000001</v>
      </c>
      <c r="M29" s="243" t="s">
        <v>80</v>
      </c>
      <c r="N29" s="243">
        <v>1</v>
      </c>
      <c r="O29" s="243">
        <v>622</v>
      </c>
      <c r="P29" s="243">
        <v>1</v>
      </c>
      <c r="Q29" s="243">
        <v>0</v>
      </c>
      <c r="R29" s="243">
        <v>622</v>
      </c>
      <c r="S29" s="243">
        <v>1.7728548</v>
      </c>
      <c r="T29" s="336">
        <v>1102.71</v>
      </c>
      <c r="U29" s="337">
        <v>0.60997000000000001</v>
      </c>
      <c r="V29" s="243">
        <v>672.62</v>
      </c>
      <c r="W29" s="336">
        <v>1775.33</v>
      </c>
    </row>
    <row r="30" spans="1:23" ht="13.5" customHeight="1" thickBot="1">
      <c r="A30" s="213">
        <v>40969</v>
      </c>
      <c r="B30" s="213"/>
      <c r="C30" s="214">
        <v>622</v>
      </c>
      <c r="D30" s="213">
        <v>40969</v>
      </c>
      <c r="E30" s="215"/>
      <c r="F30" s="216"/>
      <c r="G30" s="243">
        <f t="shared" si="1"/>
        <v>1.7635082099999999</v>
      </c>
      <c r="H30" s="302">
        <v>0</v>
      </c>
      <c r="I30" s="257">
        <f t="shared" si="2"/>
        <v>0.60997000000000001</v>
      </c>
      <c r="M30" s="243" t="s">
        <v>81</v>
      </c>
      <c r="N30" s="243">
        <v>1</v>
      </c>
      <c r="O30" s="243">
        <v>622</v>
      </c>
      <c r="P30" s="243">
        <v>1</v>
      </c>
      <c r="Q30" s="243">
        <v>0</v>
      </c>
      <c r="R30" s="243">
        <v>622</v>
      </c>
      <c r="S30" s="243">
        <v>1.7635082099999999</v>
      </c>
      <c r="T30" s="336">
        <v>1096.9000000000001</v>
      </c>
      <c r="U30" s="337">
        <v>0.60997000000000001</v>
      </c>
      <c r="V30" s="243">
        <v>669.07</v>
      </c>
      <c r="W30" s="336">
        <v>1765.97</v>
      </c>
    </row>
    <row r="31" spans="1:23" ht="13.5" customHeight="1" thickBot="1">
      <c r="A31" s="213">
        <v>41000</v>
      </c>
      <c r="B31" s="213"/>
      <c r="C31" s="214">
        <v>622</v>
      </c>
      <c r="D31" s="213">
        <v>41000</v>
      </c>
      <c r="E31" s="215"/>
      <c r="F31" s="216"/>
      <c r="G31" s="243">
        <f t="shared" si="1"/>
        <v>1.75911043</v>
      </c>
      <c r="H31" s="302">
        <v>0</v>
      </c>
      <c r="I31" s="257">
        <f t="shared" si="2"/>
        <v>0.60997000000000001</v>
      </c>
      <c r="M31" s="243" t="s">
        <v>82</v>
      </c>
      <c r="N31" s="243">
        <v>1</v>
      </c>
      <c r="O31" s="243">
        <v>622</v>
      </c>
      <c r="P31" s="243">
        <v>1</v>
      </c>
      <c r="Q31" s="243">
        <v>0</v>
      </c>
      <c r="R31" s="243">
        <v>622</v>
      </c>
      <c r="S31" s="243">
        <v>1.75911043</v>
      </c>
      <c r="T31" s="336">
        <v>1094.1600000000001</v>
      </c>
      <c r="U31" s="337">
        <v>0.60997000000000001</v>
      </c>
      <c r="V31" s="243">
        <v>667.4</v>
      </c>
      <c r="W31" s="336">
        <v>1761.56</v>
      </c>
    </row>
    <row r="32" spans="1:23" ht="13.5" customHeight="1" thickBot="1">
      <c r="A32" s="213">
        <v>41030</v>
      </c>
      <c r="B32" s="213"/>
      <c r="C32" s="214">
        <v>622</v>
      </c>
      <c r="D32" s="213">
        <v>41030</v>
      </c>
      <c r="E32" s="215"/>
      <c r="F32" s="216"/>
      <c r="G32" s="243">
        <f t="shared" si="1"/>
        <v>1.75157864</v>
      </c>
      <c r="H32" s="302">
        <v>0</v>
      </c>
      <c r="I32" s="257">
        <f t="shared" si="2"/>
        <v>0.60997000000000001</v>
      </c>
      <c r="M32" s="243" t="s">
        <v>83</v>
      </c>
      <c r="N32" s="243">
        <v>1</v>
      </c>
      <c r="O32" s="243">
        <v>622</v>
      </c>
      <c r="P32" s="243">
        <v>1</v>
      </c>
      <c r="Q32" s="243">
        <v>0</v>
      </c>
      <c r="R32" s="243">
        <v>622</v>
      </c>
      <c r="S32" s="243">
        <v>1.75157864</v>
      </c>
      <c r="T32" s="336">
        <v>1089.48</v>
      </c>
      <c r="U32" s="337">
        <v>0.60997000000000001</v>
      </c>
      <c r="V32" s="243">
        <v>664.55</v>
      </c>
      <c r="W32" s="336">
        <v>1754.03</v>
      </c>
    </row>
    <row r="33" spans="1:23" ht="13.5" customHeight="1" thickBot="1">
      <c r="A33" s="213">
        <v>41061</v>
      </c>
      <c r="B33" s="213"/>
      <c r="C33" s="214">
        <v>622</v>
      </c>
      <c r="D33" s="213">
        <v>41061</v>
      </c>
      <c r="E33" s="215"/>
      <c r="F33" s="216"/>
      <c r="G33" s="243">
        <f t="shared" si="1"/>
        <v>1.74269092</v>
      </c>
      <c r="H33" s="302">
        <v>0</v>
      </c>
      <c r="I33" s="257">
        <f t="shared" si="2"/>
        <v>0.60997000000000001</v>
      </c>
      <c r="M33" s="243" t="s">
        <v>84</v>
      </c>
      <c r="N33" s="243">
        <v>1</v>
      </c>
      <c r="O33" s="243">
        <v>622</v>
      </c>
      <c r="P33" s="243">
        <v>1</v>
      </c>
      <c r="Q33" s="243">
        <v>0</v>
      </c>
      <c r="R33" s="243">
        <v>622</v>
      </c>
      <c r="S33" s="243">
        <v>1.74269092</v>
      </c>
      <c r="T33" s="336">
        <v>1083.95</v>
      </c>
      <c r="U33" s="337">
        <v>0.60997000000000001</v>
      </c>
      <c r="V33" s="243">
        <v>661.17</v>
      </c>
      <c r="W33" s="336">
        <v>1745.12</v>
      </c>
    </row>
    <row r="34" spans="1:23" ht="13.5" customHeight="1" thickBot="1">
      <c r="A34" s="213">
        <v>41091</v>
      </c>
      <c r="B34" s="213"/>
      <c r="C34" s="214">
        <v>622</v>
      </c>
      <c r="D34" s="213">
        <v>41091</v>
      </c>
      <c r="E34" s="215"/>
      <c r="F34" s="216"/>
      <c r="G34" s="243">
        <f t="shared" si="1"/>
        <v>1.73955971</v>
      </c>
      <c r="H34" s="302">
        <v>0</v>
      </c>
      <c r="I34" s="257">
        <f t="shared" si="2"/>
        <v>0.60997000000000001</v>
      </c>
      <c r="M34" s="243" t="s">
        <v>85</v>
      </c>
      <c r="N34" s="243">
        <v>1</v>
      </c>
      <c r="O34" s="243">
        <v>622</v>
      </c>
      <c r="P34" s="243">
        <v>1</v>
      </c>
      <c r="Q34" s="243">
        <v>0</v>
      </c>
      <c r="R34" s="243">
        <v>622</v>
      </c>
      <c r="S34" s="243">
        <v>1.73955971</v>
      </c>
      <c r="T34" s="336">
        <v>1082</v>
      </c>
      <c r="U34" s="337">
        <v>0.60997000000000001</v>
      </c>
      <c r="V34" s="243">
        <v>659.98</v>
      </c>
      <c r="W34" s="336">
        <v>1741.98</v>
      </c>
    </row>
    <row r="35" spans="1:23" ht="13.5" customHeight="1" thickBot="1">
      <c r="A35" s="213">
        <v>41122</v>
      </c>
      <c r="B35" s="213"/>
      <c r="C35" s="214">
        <v>622</v>
      </c>
      <c r="D35" s="213">
        <v>41122</v>
      </c>
      <c r="E35" s="215"/>
      <c r="F35" s="216"/>
      <c r="G35" s="243">
        <f t="shared" si="1"/>
        <v>1.7338380499999999</v>
      </c>
      <c r="H35" s="302">
        <v>0</v>
      </c>
      <c r="I35" s="257">
        <f t="shared" si="2"/>
        <v>0.60997000000000001</v>
      </c>
      <c r="M35" s="243" t="s">
        <v>86</v>
      </c>
      <c r="N35" s="243">
        <v>1</v>
      </c>
      <c r="O35" s="243">
        <v>622</v>
      </c>
      <c r="P35" s="243">
        <v>1</v>
      </c>
      <c r="Q35" s="243">
        <v>0</v>
      </c>
      <c r="R35" s="243">
        <v>622</v>
      </c>
      <c r="S35" s="243">
        <v>1.7338380499999999</v>
      </c>
      <c r="T35" s="336">
        <v>1078.44</v>
      </c>
      <c r="U35" s="337">
        <v>0.60997000000000001</v>
      </c>
      <c r="V35" s="243">
        <v>657.81</v>
      </c>
      <c r="W35" s="336">
        <v>1736.25</v>
      </c>
    </row>
    <row r="36" spans="1:23" ht="13.5" customHeight="1" thickBot="1">
      <c r="A36" s="213">
        <v>41153</v>
      </c>
      <c r="B36" s="213"/>
      <c r="C36" s="214">
        <v>622</v>
      </c>
      <c r="D36" s="213">
        <v>41153</v>
      </c>
      <c r="E36" s="215"/>
      <c r="F36" s="216"/>
      <c r="G36" s="243">
        <f t="shared" si="1"/>
        <v>1.72710235</v>
      </c>
      <c r="H36" s="302">
        <v>0</v>
      </c>
      <c r="I36" s="257">
        <f t="shared" si="2"/>
        <v>0.60997000000000001</v>
      </c>
      <c r="M36" s="243" t="s">
        <v>87</v>
      </c>
      <c r="N36" s="243">
        <v>1</v>
      </c>
      <c r="O36" s="243">
        <v>622</v>
      </c>
      <c r="P36" s="243">
        <v>1</v>
      </c>
      <c r="Q36" s="243">
        <v>0</v>
      </c>
      <c r="R36" s="243">
        <v>622</v>
      </c>
      <c r="S36" s="243">
        <v>1.72710235</v>
      </c>
      <c r="T36" s="336">
        <v>1074.25</v>
      </c>
      <c r="U36" s="337">
        <v>0.60997000000000001</v>
      </c>
      <c r="V36" s="243">
        <v>655.26</v>
      </c>
      <c r="W36" s="336">
        <v>1729.51</v>
      </c>
    </row>
    <row r="37" spans="1:23" ht="13.5" customHeight="1" thickBot="1">
      <c r="A37" s="213">
        <v>41183</v>
      </c>
      <c r="B37" s="213"/>
      <c r="C37" s="214">
        <v>622</v>
      </c>
      <c r="D37" s="213">
        <v>41183</v>
      </c>
      <c r="E37" s="215"/>
      <c r="F37" s="216"/>
      <c r="G37" s="243">
        <f t="shared" si="1"/>
        <v>1.71885186</v>
      </c>
      <c r="H37" s="302">
        <v>0</v>
      </c>
      <c r="I37" s="257">
        <f t="shared" si="2"/>
        <v>0.60997000000000001</v>
      </c>
      <c r="M37" s="243" t="s">
        <v>88</v>
      </c>
      <c r="N37" s="243">
        <v>1</v>
      </c>
      <c r="O37" s="243">
        <v>622</v>
      </c>
      <c r="P37" s="243">
        <v>1</v>
      </c>
      <c r="Q37" s="243">
        <v>0</v>
      </c>
      <c r="R37" s="243">
        <v>622</v>
      </c>
      <c r="S37" s="243">
        <v>1.71885186</v>
      </c>
      <c r="T37" s="336">
        <v>1069.1199999999999</v>
      </c>
      <c r="U37" s="337">
        <v>0.60997000000000001</v>
      </c>
      <c r="V37" s="243">
        <v>652.13</v>
      </c>
      <c r="W37" s="336">
        <v>1721.25</v>
      </c>
    </row>
    <row r="38" spans="1:23" ht="13.5" customHeight="1" thickBot="1">
      <c r="A38" s="213">
        <v>41214</v>
      </c>
      <c r="B38" s="213"/>
      <c r="C38" s="214">
        <v>622</v>
      </c>
      <c r="D38" s="213">
        <v>41214</v>
      </c>
      <c r="E38" s="215"/>
      <c r="F38" s="216"/>
      <c r="G38" s="243">
        <f t="shared" si="1"/>
        <v>1.70775147</v>
      </c>
      <c r="H38" s="302">
        <v>0</v>
      </c>
      <c r="I38" s="257">
        <f t="shared" si="2"/>
        <v>0.60997000000000001</v>
      </c>
      <c r="M38" s="243" t="s">
        <v>89</v>
      </c>
      <c r="N38" s="243">
        <v>1</v>
      </c>
      <c r="O38" s="243">
        <v>622</v>
      </c>
      <c r="P38" s="243">
        <v>1</v>
      </c>
      <c r="Q38" s="243">
        <v>0</v>
      </c>
      <c r="R38" s="243">
        <v>622</v>
      </c>
      <c r="S38" s="243">
        <v>1.70775147</v>
      </c>
      <c r="T38" s="336">
        <v>1062.22</v>
      </c>
      <c r="U38" s="337">
        <v>0.60997000000000001</v>
      </c>
      <c r="V38" s="243">
        <v>647.91999999999996</v>
      </c>
      <c r="W38" s="336">
        <v>1710.14</v>
      </c>
    </row>
    <row r="39" spans="1:23" ht="13.5" customHeight="1" thickBot="1">
      <c r="A39" s="213">
        <v>41244</v>
      </c>
      <c r="B39" s="213"/>
      <c r="C39" s="214">
        <v>622</v>
      </c>
      <c r="D39" s="213">
        <v>41244</v>
      </c>
      <c r="E39" s="215"/>
      <c r="F39" s="216"/>
      <c r="G39" s="243">
        <f t="shared" si="1"/>
        <v>1.69857915</v>
      </c>
      <c r="H39" s="302">
        <v>0</v>
      </c>
      <c r="I39" s="257">
        <f t="shared" si="2"/>
        <v>0.60997000000000001</v>
      </c>
      <c r="M39" s="243" t="s">
        <v>90</v>
      </c>
      <c r="N39" s="243">
        <v>1</v>
      </c>
      <c r="O39" s="243">
        <v>622</v>
      </c>
      <c r="P39" s="243">
        <v>1</v>
      </c>
      <c r="Q39" s="243">
        <v>0</v>
      </c>
      <c r="R39" s="243">
        <v>622</v>
      </c>
      <c r="S39" s="243">
        <v>1.69857915</v>
      </c>
      <c r="T39" s="336">
        <v>1056.51</v>
      </c>
      <c r="U39" s="337">
        <v>0.60997000000000001</v>
      </c>
      <c r="V39" s="243">
        <v>644.44000000000005</v>
      </c>
      <c r="W39" s="336">
        <v>1700.95</v>
      </c>
    </row>
    <row r="40" spans="1:23" ht="13.5" customHeight="1" thickBot="1">
      <c r="A40" s="213">
        <v>41275</v>
      </c>
      <c r="B40" s="213"/>
      <c r="C40" s="214">
        <v>678</v>
      </c>
      <c r="D40" s="213">
        <v>41275</v>
      </c>
      <c r="E40" s="215"/>
      <c r="F40" s="216"/>
      <c r="G40" s="243">
        <f t="shared" si="1"/>
        <v>1.6869392700000001</v>
      </c>
      <c r="H40" s="302">
        <v>0</v>
      </c>
      <c r="I40" s="257">
        <f t="shared" si="2"/>
        <v>0.60997000000000001</v>
      </c>
      <c r="M40" s="243" t="s">
        <v>91</v>
      </c>
      <c r="N40" s="243">
        <v>1.0620000000000001</v>
      </c>
      <c r="O40" s="243">
        <v>678</v>
      </c>
      <c r="P40" s="243">
        <v>1</v>
      </c>
      <c r="Q40" s="243">
        <v>0</v>
      </c>
      <c r="R40" s="243">
        <v>678</v>
      </c>
      <c r="S40" s="243">
        <v>1.6869392700000001</v>
      </c>
      <c r="T40" s="336">
        <v>1143.74</v>
      </c>
      <c r="U40" s="337">
        <v>0.60997000000000001</v>
      </c>
      <c r="V40" s="243">
        <v>697.64</v>
      </c>
      <c r="W40" s="336">
        <v>1841.38</v>
      </c>
    </row>
    <row r="41" spans="1:23" ht="13.5" customHeight="1" thickBot="1">
      <c r="A41" s="213">
        <v>41306</v>
      </c>
      <c r="B41" s="213"/>
      <c r="C41" s="214">
        <v>678</v>
      </c>
      <c r="D41" s="213">
        <v>41306</v>
      </c>
      <c r="E41" s="215"/>
      <c r="F41" s="216"/>
      <c r="G41" s="243">
        <f t="shared" si="1"/>
        <v>1.6722237</v>
      </c>
      <c r="H41" s="302">
        <v>0</v>
      </c>
      <c r="I41" s="257">
        <f t="shared" si="2"/>
        <v>0.60997000000000001</v>
      </c>
      <c r="M41" s="243" t="s">
        <v>92</v>
      </c>
      <c r="N41" s="243">
        <v>1</v>
      </c>
      <c r="O41" s="243">
        <v>678</v>
      </c>
      <c r="P41" s="243">
        <v>1</v>
      </c>
      <c r="Q41" s="243">
        <v>0</v>
      </c>
      <c r="R41" s="243">
        <v>678</v>
      </c>
      <c r="S41" s="243">
        <v>1.6722237</v>
      </c>
      <c r="T41" s="336">
        <v>1133.76</v>
      </c>
      <c r="U41" s="337">
        <v>0.60997000000000001</v>
      </c>
      <c r="V41" s="243">
        <v>691.56</v>
      </c>
      <c r="W41" s="336">
        <v>1825.32</v>
      </c>
    </row>
    <row r="42" spans="1:23" ht="13.5" customHeight="1" thickBot="1">
      <c r="A42" s="213">
        <v>41334</v>
      </c>
      <c r="B42" s="213"/>
      <c r="C42" s="214">
        <v>678</v>
      </c>
      <c r="D42" s="213">
        <v>41334</v>
      </c>
      <c r="E42" s="215"/>
      <c r="F42" s="216"/>
      <c r="G42" s="243">
        <f t="shared" si="1"/>
        <v>1.66092938</v>
      </c>
      <c r="H42" s="302">
        <v>0</v>
      </c>
      <c r="I42" s="257">
        <f t="shared" si="2"/>
        <v>0.60997000000000001</v>
      </c>
      <c r="M42" s="243" t="s">
        <v>93</v>
      </c>
      <c r="N42" s="243">
        <v>1</v>
      </c>
      <c r="O42" s="243">
        <v>678</v>
      </c>
      <c r="P42" s="243">
        <v>1</v>
      </c>
      <c r="Q42" s="243">
        <v>0</v>
      </c>
      <c r="R42" s="243">
        <v>678</v>
      </c>
      <c r="S42" s="243">
        <v>1.66092938</v>
      </c>
      <c r="T42" s="336">
        <v>1126.1099999999999</v>
      </c>
      <c r="U42" s="337">
        <v>0.60997000000000001</v>
      </c>
      <c r="V42" s="243">
        <v>686.89</v>
      </c>
      <c r="W42" s="336">
        <v>1813</v>
      </c>
    </row>
    <row r="43" spans="1:23" ht="13.5" customHeight="1" thickBot="1">
      <c r="A43" s="213">
        <v>41365</v>
      </c>
      <c r="B43" s="213"/>
      <c r="C43" s="214">
        <v>678</v>
      </c>
      <c r="D43" s="213">
        <v>41365</v>
      </c>
      <c r="E43" s="215"/>
      <c r="F43" s="216"/>
      <c r="G43" s="243">
        <f t="shared" si="1"/>
        <v>1.65283051</v>
      </c>
      <c r="H43" s="302">
        <v>0</v>
      </c>
      <c r="I43" s="257">
        <f t="shared" si="2"/>
        <v>0.60997000000000001</v>
      </c>
      <c r="M43" s="243" t="s">
        <v>94</v>
      </c>
      <c r="N43" s="243">
        <v>1</v>
      </c>
      <c r="O43" s="243">
        <v>678</v>
      </c>
      <c r="P43" s="243">
        <v>1</v>
      </c>
      <c r="Q43" s="243">
        <v>0</v>
      </c>
      <c r="R43" s="243">
        <v>678</v>
      </c>
      <c r="S43" s="243">
        <v>1.65283051</v>
      </c>
      <c r="T43" s="336">
        <v>1120.6199999999999</v>
      </c>
      <c r="U43" s="337">
        <v>0.60997000000000001</v>
      </c>
      <c r="V43" s="243">
        <v>683.54</v>
      </c>
      <c r="W43" s="336">
        <v>1804.16</v>
      </c>
    </row>
    <row r="44" spans="1:23" ht="13.5" customHeight="1" thickBot="1">
      <c r="A44" s="213">
        <v>41395</v>
      </c>
      <c r="B44" s="213"/>
      <c r="C44" s="214">
        <v>678</v>
      </c>
      <c r="D44" s="213">
        <v>41395</v>
      </c>
      <c r="E44" s="215"/>
      <c r="F44" s="216"/>
      <c r="G44" s="243">
        <f t="shared" si="1"/>
        <v>1.6444438400000001</v>
      </c>
      <c r="H44" s="302">
        <v>0</v>
      </c>
      <c r="I44" s="257">
        <f t="shared" si="2"/>
        <v>0.60997000000000001</v>
      </c>
      <c r="M44" s="243" t="s">
        <v>95</v>
      </c>
      <c r="N44" s="243">
        <v>1</v>
      </c>
      <c r="O44" s="243">
        <v>678</v>
      </c>
      <c r="P44" s="243">
        <v>1</v>
      </c>
      <c r="Q44" s="243">
        <v>0</v>
      </c>
      <c r="R44" s="243">
        <v>678</v>
      </c>
      <c r="S44" s="243">
        <v>1.6444438400000001</v>
      </c>
      <c r="T44" s="336">
        <v>1114.93</v>
      </c>
      <c r="U44" s="337">
        <v>0.60997000000000001</v>
      </c>
      <c r="V44" s="243">
        <v>680.07</v>
      </c>
      <c r="W44" s="336">
        <v>1795</v>
      </c>
    </row>
    <row r="45" spans="1:23" ht="13.5" customHeight="1" thickBot="1">
      <c r="A45" s="213">
        <v>41426</v>
      </c>
      <c r="B45" s="213"/>
      <c r="C45" s="214">
        <v>678</v>
      </c>
      <c r="D45" s="213">
        <v>41426</v>
      </c>
      <c r="E45" s="215"/>
      <c r="F45" s="216"/>
      <c r="G45" s="243">
        <f t="shared" si="1"/>
        <v>1.63691404</v>
      </c>
      <c r="H45" s="302">
        <v>0</v>
      </c>
      <c r="I45" s="257">
        <f t="shared" si="2"/>
        <v>0.60997000000000001</v>
      </c>
      <c r="M45" s="243" t="s">
        <v>96</v>
      </c>
      <c r="N45" s="243">
        <v>1</v>
      </c>
      <c r="O45" s="243">
        <v>678</v>
      </c>
      <c r="P45" s="243">
        <v>1</v>
      </c>
      <c r="Q45" s="243">
        <v>0</v>
      </c>
      <c r="R45" s="243">
        <v>678</v>
      </c>
      <c r="S45" s="243">
        <v>1.63691404</v>
      </c>
      <c r="T45" s="336">
        <v>1109.82</v>
      </c>
      <c r="U45" s="337">
        <v>0.60997000000000001</v>
      </c>
      <c r="V45" s="243">
        <v>676.95</v>
      </c>
      <c r="W45" s="336">
        <v>1786.77</v>
      </c>
    </row>
    <row r="46" spans="1:23" ht="13.5" customHeight="1" thickBot="1">
      <c r="A46" s="213">
        <v>41456</v>
      </c>
      <c r="B46" s="213"/>
      <c r="C46" s="214">
        <v>678</v>
      </c>
      <c r="D46" s="213">
        <v>41456</v>
      </c>
      <c r="E46" s="215"/>
      <c r="F46" s="216"/>
      <c r="G46" s="243">
        <f t="shared" si="1"/>
        <v>1.6307173100000001</v>
      </c>
      <c r="H46" s="302">
        <v>0</v>
      </c>
      <c r="I46" s="257">
        <f t="shared" si="2"/>
        <v>0.60997000000000001</v>
      </c>
      <c r="M46" s="243" t="s">
        <v>97</v>
      </c>
      <c r="N46" s="243">
        <v>1</v>
      </c>
      <c r="O46" s="243">
        <v>678</v>
      </c>
      <c r="P46" s="243">
        <v>1</v>
      </c>
      <c r="Q46" s="243">
        <v>0</v>
      </c>
      <c r="R46" s="243">
        <v>678</v>
      </c>
      <c r="S46" s="243">
        <v>1.6307173100000001</v>
      </c>
      <c r="T46" s="336">
        <v>1105.6199999999999</v>
      </c>
      <c r="U46" s="337">
        <v>0.60997000000000001</v>
      </c>
      <c r="V46" s="243">
        <v>674.39</v>
      </c>
      <c r="W46" s="336">
        <v>1780.01</v>
      </c>
    </row>
    <row r="47" spans="1:23" ht="13.5" customHeight="1" thickBot="1">
      <c r="A47" s="213">
        <v>41487</v>
      </c>
      <c r="B47" s="213"/>
      <c r="C47" s="214">
        <v>678</v>
      </c>
      <c r="D47" s="213">
        <v>41487</v>
      </c>
      <c r="E47" s="215"/>
      <c r="F47" s="216"/>
      <c r="G47" s="243">
        <f t="shared" si="1"/>
        <v>1.62957661</v>
      </c>
      <c r="H47" s="302">
        <v>0</v>
      </c>
      <c r="I47" s="257">
        <f t="shared" si="2"/>
        <v>0.60997000000000001</v>
      </c>
      <c r="M47" s="243" t="s">
        <v>98</v>
      </c>
      <c r="N47" s="243">
        <v>1</v>
      </c>
      <c r="O47" s="243">
        <v>678</v>
      </c>
      <c r="P47" s="243">
        <v>1</v>
      </c>
      <c r="Q47" s="243">
        <v>0</v>
      </c>
      <c r="R47" s="243">
        <v>678</v>
      </c>
      <c r="S47" s="243">
        <v>1.62957661</v>
      </c>
      <c r="T47" s="336">
        <v>1104.8499999999999</v>
      </c>
      <c r="U47" s="337">
        <v>0.60997000000000001</v>
      </c>
      <c r="V47" s="243">
        <v>673.92</v>
      </c>
      <c r="W47" s="336">
        <v>1778.77</v>
      </c>
    </row>
    <row r="48" spans="1:23" ht="13.5" customHeight="1" thickBot="1">
      <c r="A48" s="213">
        <v>41518</v>
      </c>
      <c r="B48" s="213"/>
      <c r="C48" s="214">
        <v>678</v>
      </c>
      <c r="D48" s="213">
        <v>41518</v>
      </c>
      <c r="E48" s="215"/>
      <c r="F48" s="216"/>
      <c r="G48" s="243">
        <f t="shared" si="1"/>
        <v>1.6269734499999999</v>
      </c>
      <c r="H48" s="302">
        <v>0</v>
      </c>
      <c r="I48" s="257">
        <f t="shared" si="2"/>
        <v>0.60997000000000001</v>
      </c>
      <c r="M48" s="243" t="s">
        <v>99</v>
      </c>
      <c r="N48" s="243">
        <v>1</v>
      </c>
      <c r="O48" s="243">
        <v>678</v>
      </c>
      <c r="P48" s="243">
        <v>1</v>
      </c>
      <c r="Q48" s="243">
        <v>0</v>
      </c>
      <c r="R48" s="243">
        <v>678</v>
      </c>
      <c r="S48" s="243">
        <v>1.6269734499999999</v>
      </c>
      <c r="T48" s="336">
        <v>1103.08</v>
      </c>
      <c r="U48" s="337">
        <v>0.60997000000000001</v>
      </c>
      <c r="V48" s="243">
        <v>672.84</v>
      </c>
      <c r="W48" s="336">
        <v>1775.92</v>
      </c>
    </row>
    <row r="49" spans="1:23" ht="13.5" customHeight="1" thickBot="1">
      <c r="A49" s="213">
        <v>41548</v>
      </c>
      <c r="B49" s="213"/>
      <c r="C49" s="214">
        <v>678</v>
      </c>
      <c r="D49" s="213">
        <v>41548</v>
      </c>
      <c r="E49" s="215"/>
      <c r="F49" s="216"/>
      <c r="G49" s="243">
        <f t="shared" si="1"/>
        <v>1.62259245</v>
      </c>
      <c r="H49" s="302">
        <v>0</v>
      </c>
      <c r="I49" s="257">
        <f t="shared" si="2"/>
        <v>0.60997000000000001</v>
      </c>
      <c r="M49" s="243" t="s">
        <v>100</v>
      </c>
      <c r="N49" s="243">
        <v>1</v>
      </c>
      <c r="O49" s="243">
        <v>678</v>
      </c>
      <c r="P49" s="243">
        <v>1</v>
      </c>
      <c r="Q49" s="243">
        <v>0</v>
      </c>
      <c r="R49" s="243">
        <v>678</v>
      </c>
      <c r="S49" s="243">
        <v>1.62259245</v>
      </c>
      <c r="T49" s="336">
        <v>1100.1099999999999</v>
      </c>
      <c r="U49" s="337">
        <v>0.60997000000000001</v>
      </c>
      <c r="V49" s="243">
        <v>671.03</v>
      </c>
      <c r="W49" s="336">
        <v>1771.14</v>
      </c>
    </row>
    <row r="50" spans="1:23" ht="13.5" customHeight="1" thickBot="1">
      <c r="A50" s="213">
        <v>41579</v>
      </c>
      <c r="B50" s="213"/>
      <c r="C50" s="214">
        <v>678</v>
      </c>
      <c r="D50" s="213">
        <v>41579</v>
      </c>
      <c r="E50" s="215"/>
      <c r="F50" s="216"/>
      <c r="G50" s="243">
        <f t="shared" si="1"/>
        <v>1.61484121</v>
      </c>
      <c r="H50" s="302">
        <v>0</v>
      </c>
      <c r="I50" s="257">
        <f t="shared" si="2"/>
        <v>0.60997000000000001</v>
      </c>
      <c r="M50" s="243" t="s">
        <v>101</v>
      </c>
      <c r="N50" s="243">
        <v>1</v>
      </c>
      <c r="O50" s="243">
        <v>678</v>
      </c>
      <c r="P50" s="243">
        <v>1</v>
      </c>
      <c r="Q50" s="243">
        <v>0</v>
      </c>
      <c r="R50" s="243">
        <v>678</v>
      </c>
      <c r="S50" s="243">
        <v>1.61484121</v>
      </c>
      <c r="T50" s="336">
        <v>1094.8599999999999</v>
      </c>
      <c r="U50" s="337">
        <v>0.60997000000000001</v>
      </c>
      <c r="V50" s="243">
        <v>667.83</v>
      </c>
      <c r="W50" s="336">
        <v>1762.69</v>
      </c>
    </row>
    <row r="51" spans="1:23" ht="13.5" customHeight="1" thickBot="1">
      <c r="A51" s="213">
        <v>41609</v>
      </c>
      <c r="B51" s="213"/>
      <c r="C51" s="214">
        <v>678</v>
      </c>
      <c r="D51" s="213">
        <v>41609</v>
      </c>
      <c r="E51" s="215"/>
      <c r="F51" s="216"/>
      <c r="G51" s="243">
        <f t="shared" si="1"/>
        <v>1.6056887900000001</v>
      </c>
      <c r="H51" s="302">
        <v>0</v>
      </c>
      <c r="I51" s="257">
        <f t="shared" si="2"/>
        <v>0.60997000000000001</v>
      </c>
      <c r="M51" s="243" t="s">
        <v>102</v>
      </c>
      <c r="N51" s="243">
        <v>1</v>
      </c>
      <c r="O51" s="243">
        <v>678</v>
      </c>
      <c r="P51" s="243">
        <v>1</v>
      </c>
      <c r="Q51" s="243">
        <v>0</v>
      </c>
      <c r="R51" s="243">
        <v>678</v>
      </c>
      <c r="S51" s="243">
        <v>1.6056887900000001</v>
      </c>
      <c r="T51" s="336">
        <v>1088.6500000000001</v>
      </c>
      <c r="U51" s="337">
        <v>0.60997000000000001</v>
      </c>
      <c r="V51" s="243">
        <v>664.04</v>
      </c>
      <c r="W51" s="336">
        <v>1752.69</v>
      </c>
    </row>
    <row r="52" spans="1:23" ht="13.5" customHeight="1" thickBot="1">
      <c r="A52" s="213">
        <v>41640</v>
      </c>
      <c r="B52" s="213"/>
      <c r="C52" s="214">
        <v>724</v>
      </c>
      <c r="D52" s="213">
        <v>41640</v>
      </c>
      <c r="E52" s="215"/>
      <c r="F52" s="216"/>
      <c r="G52" s="243">
        <f t="shared" si="1"/>
        <v>1.5937357700000001</v>
      </c>
      <c r="H52" s="302">
        <v>0</v>
      </c>
      <c r="I52" s="257">
        <f t="shared" si="2"/>
        <v>0.60997000000000001</v>
      </c>
      <c r="M52" s="243" t="s">
        <v>103</v>
      </c>
      <c r="N52" s="243">
        <v>1.0556000000000001</v>
      </c>
      <c r="O52" s="243">
        <v>724</v>
      </c>
      <c r="P52" s="243">
        <v>1</v>
      </c>
      <c r="Q52" s="243">
        <v>0</v>
      </c>
      <c r="R52" s="243">
        <v>724</v>
      </c>
      <c r="S52" s="243">
        <v>1.5937357700000001</v>
      </c>
      <c r="T52" s="336">
        <v>1153.8599999999999</v>
      </c>
      <c r="U52" s="337">
        <v>0.60997000000000001</v>
      </c>
      <c r="V52" s="243">
        <v>703.82</v>
      </c>
      <c r="W52" s="336">
        <v>1857.68</v>
      </c>
    </row>
    <row r="53" spans="1:23" ht="13.5" customHeight="1" thickBot="1">
      <c r="A53" s="213">
        <v>41671</v>
      </c>
      <c r="B53" s="213"/>
      <c r="C53" s="214">
        <v>724</v>
      </c>
      <c r="D53" s="213">
        <v>41671</v>
      </c>
      <c r="E53" s="215"/>
      <c r="F53" s="216"/>
      <c r="G53" s="243">
        <f t="shared" si="1"/>
        <v>1.5831288100000001</v>
      </c>
      <c r="H53" s="302">
        <v>0</v>
      </c>
      <c r="I53" s="257">
        <f t="shared" si="2"/>
        <v>0.60997000000000001</v>
      </c>
      <c r="M53" s="243" t="s">
        <v>104</v>
      </c>
      <c r="N53" s="243">
        <v>1</v>
      </c>
      <c r="O53" s="243">
        <v>724</v>
      </c>
      <c r="P53" s="243">
        <v>1</v>
      </c>
      <c r="Q53" s="243">
        <v>0</v>
      </c>
      <c r="R53" s="243">
        <v>724</v>
      </c>
      <c r="S53" s="243">
        <v>1.5831288100000001</v>
      </c>
      <c r="T53" s="336">
        <v>1146.18</v>
      </c>
      <c r="U53" s="337">
        <v>0.60997000000000001</v>
      </c>
      <c r="V53" s="243">
        <v>699.13</v>
      </c>
      <c r="W53" s="336">
        <v>1845.31</v>
      </c>
    </row>
    <row r="54" spans="1:23" ht="13.5" customHeight="1" thickBot="1">
      <c r="A54" s="213">
        <v>41699</v>
      </c>
      <c r="B54" s="213"/>
      <c r="C54" s="214">
        <v>724</v>
      </c>
      <c r="D54" s="213">
        <v>41699</v>
      </c>
      <c r="E54" s="215"/>
      <c r="F54" s="216"/>
      <c r="G54" s="243">
        <f t="shared" si="1"/>
        <v>1.57212394</v>
      </c>
      <c r="H54" s="302">
        <v>0</v>
      </c>
      <c r="I54" s="257">
        <f t="shared" si="2"/>
        <v>0.60997000000000001</v>
      </c>
      <c r="M54" s="243" t="s">
        <v>105</v>
      </c>
      <c r="N54" s="243">
        <v>1</v>
      </c>
      <c r="O54" s="243">
        <v>724</v>
      </c>
      <c r="P54" s="243">
        <v>1</v>
      </c>
      <c r="Q54" s="243">
        <v>0</v>
      </c>
      <c r="R54" s="243">
        <v>724</v>
      </c>
      <c r="S54" s="243">
        <v>1.57212394</v>
      </c>
      <c r="T54" s="336">
        <v>1138.21</v>
      </c>
      <c r="U54" s="337">
        <v>0.60997000000000001</v>
      </c>
      <c r="V54" s="243">
        <v>694.27</v>
      </c>
      <c r="W54" s="336">
        <v>1832.48</v>
      </c>
    </row>
    <row r="55" spans="1:23" ht="13.5" customHeight="1" thickBot="1">
      <c r="A55" s="213">
        <v>41730</v>
      </c>
      <c r="B55" s="213"/>
      <c r="C55" s="214">
        <v>724</v>
      </c>
      <c r="D55" s="213">
        <v>41730</v>
      </c>
      <c r="E55" s="215"/>
      <c r="F55" s="216"/>
      <c r="G55" s="243">
        <f t="shared" si="1"/>
        <v>1.56073061</v>
      </c>
      <c r="H55" s="302">
        <v>0</v>
      </c>
      <c r="I55" s="257">
        <f t="shared" si="2"/>
        <v>0.60997000000000001</v>
      </c>
      <c r="M55" s="243" t="s">
        <v>106</v>
      </c>
      <c r="N55" s="243">
        <v>1</v>
      </c>
      <c r="O55" s="243">
        <v>724</v>
      </c>
      <c r="P55" s="243">
        <v>1</v>
      </c>
      <c r="Q55" s="243">
        <v>0</v>
      </c>
      <c r="R55" s="243">
        <v>724</v>
      </c>
      <c r="S55" s="243">
        <v>1.56073061</v>
      </c>
      <c r="T55" s="336">
        <v>1129.96</v>
      </c>
      <c r="U55" s="337">
        <v>0.60997000000000001</v>
      </c>
      <c r="V55" s="243">
        <v>689.24</v>
      </c>
      <c r="W55" s="336">
        <v>1819.2</v>
      </c>
    </row>
    <row r="56" spans="1:23" ht="13.5" customHeight="1" thickBot="1">
      <c r="A56" s="213">
        <v>41760</v>
      </c>
      <c r="B56" s="213"/>
      <c r="C56" s="214">
        <v>724</v>
      </c>
      <c r="D56" s="213">
        <v>41760</v>
      </c>
      <c r="E56" s="215"/>
      <c r="F56" s="216"/>
      <c r="G56" s="243">
        <f t="shared" si="1"/>
        <v>1.5486511300000001</v>
      </c>
      <c r="H56" s="302">
        <v>0</v>
      </c>
      <c r="I56" s="257">
        <f t="shared" si="2"/>
        <v>0.60997000000000001</v>
      </c>
      <c r="M56" s="243" t="s">
        <v>107</v>
      </c>
      <c r="N56" s="243">
        <v>1</v>
      </c>
      <c r="O56" s="243">
        <v>724</v>
      </c>
      <c r="P56" s="243">
        <v>1</v>
      </c>
      <c r="Q56" s="243">
        <v>0</v>
      </c>
      <c r="R56" s="243">
        <v>724</v>
      </c>
      <c r="S56" s="243">
        <v>1.5486511300000001</v>
      </c>
      <c r="T56" s="336">
        <v>1121.22</v>
      </c>
      <c r="U56" s="337">
        <v>0.60997000000000001</v>
      </c>
      <c r="V56" s="243">
        <v>683.91</v>
      </c>
      <c r="W56" s="336">
        <v>1805.13</v>
      </c>
    </row>
    <row r="57" spans="1:23" ht="13.5" customHeight="1" thickBot="1">
      <c r="A57" s="213">
        <v>41791</v>
      </c>
      <c r="B57" s="213"/>
      <c r="C57" s="214">
        <v>724</v>
      </c>
      <c r="D57" s="213">
        <v>41791</v>
      </c>
      <c r="E57" s="215"/>
      <c r="F57" s="216"/>
      <c r="G57" s="243">
        <f t="shared" si="1"/>
        <v>1.5397207500000001</v>
      </c>
      <c r="H57" s="302">
        <v>0</v>
      </c>
      <c r="I57" s="257">
        <f t="shared" si="2"/>
        <v>0.60997000000000001</v>
      </c>
      <c r="M57" s="243" t="s">
        <v>108</v>
      </c>
      <c r="N57" s="243">
        <v>1</v>
      </c>
      <c r="O57" s="243">
        <v>724</v>
      </c>
      <c r="P57" s="243">
        <v>1</v>
      </c>
      <c r="Q57" s="243">
        <v>0</v>
      </c>
      <c r="R57" s="243">
        <v>724</v>
      </c>
      <c r="S57" s="243">
        <v>1.5397207500000001</v>
      </c>
      <c r="T57" s="336">
        <v>1114.75</v>
      </c>
      <c r="U57" s="337">
        <v>0.60997000000000001</v>
      </c>
      <c r="V57" s="243">
        <v>679.96</v>
      </c>
      <c r="W57" s="336">
        <v>1794.71</v>
      </c>
    </row>
    <row r="58" spans="1:23" ht="13.5" customHeight="1" thickBot="1">
      <c r="A58" s="213">
        <v>41821</v>
      </c>
      <c r="B58" s="213"/>
      <c r="C58" s="214">
        <v>724</v>
      </c>
      <c r="D58" s="213">
        <v>41821</v>
      </c>
      <c r="E58" s="215"/>
      <c r="F58" s="216"/>
      <c r="G58" s="243">
        <f t="shared" si="1"/>
        <v>1.5325179099999999</v>
      </c>
      <c r="H58" s="302">
        <v>0</v>
      </c>
      <c r="I58" s="257">
        <f t="shared" si="2"/>
        <v>0.60997000000000001</v>
      </c>
      <c r="M58" s="243" t="s">
        <v>109</v>
      </c>
      <c r="N58" s="243">
        <v>1</v>
      </c>
      <c r="O58" s="243">
        <v>724</v>
      </c>
      <c r="P58" s="243">
        <v>1</v>
      </c>
      <c r="Q58" s="243">
        <v>0</v>
      </c>
      <c r="R58" s="243">
        <v>724</v>
      </c>
      <c r="S58" s="243">
        <v>1.5325179099999999</v>
      </c>
      <c r="T58" s="336">
        <v>1109.54</v>
      </c>
      <c r="U58" s="337">
        <v>0.60997000000000001</v>
      </c>
      <c r="V58" s="243">
        <v>676.78</v>
      </c>
      <c r="W58" s="336">
        <v>1786.32</v>
      </c>
    </row>
    <row r="59" spans="1:23" ht="13.5" customHeight="1" thickBot="1">
      <c r="A59" s="213">
        <v>41852</v>
      </c>
      <c r="B59" s="213"/>
      <c r="C59" s="214">
        <v>724</v>
      </c>
      <c r="D59" s="213">
        <v>41852</v>
      </c>
      <c r="E59" s="215"/>
      <c r="F59" s="216"/>
      <c r="G59" s="243">
        <f t="shared" si="1"/>
        <v>1.5299170499999999</v>
      </c>
      <c r="H59" s="302">
        <v>0</v>
      </c>
      <c r="I59" s="257">
        <f t="shared" si="2"/>
        <v>0.60997000000000001</v>
      </c>
      <c r="M59" s="243" t="s">
        <v>110</v>
      </c>
      <c r="N59" s="243">
        <v>1</v>
      </c>
      <c r="O59" s="243">
        <v>724</v>
      </c>
      <c r="P59" s="243">
        <v>1</v>
      </c>
      <c r="Q59" s="243">
        <v>0</v>
      </c>
      <c r="R59" s="243">
        <v>724</v>
      </c>
      <c r="S59" s="243">
        <v>1.5299170499999999</v>
      </c>
      <c r="T59" s="336">
        <v>1107.6600000000001</v>
      </c>
      <c r="U59" s="337">
        <v>0.60997000000000001</v>
      </c>
      <c r="V59" s="243">
        <v>675.64</v>
      </c>
      <c r="W59" s="336">
        <v>1783.3</v>
      </c>
    </row>
    <row r="60" spans="1:23" ht="13.5" customHeight="1" thickBot="1">
      <c r="A60" s="213">
        <v>41883</v>
      </c>
      <c r="B60" s="213"/>
      <c r="C60" s="214">
        <v>724</v>
      </c>
      <c r="D60" s="213">
        <v>41883</v>
      </c>
      <c r="E60" s="215"/>
      <c r="F60" s="216"/>
      <c r="G60" s="243">
        <f t="shared" si="1"/>
        <v>1.5277781699999999</v>
      </c>
      <c r="H60" s="302">
        <v>0</v>
      </c>
      <c r="I60" s="257">
        <f t="shared" si="2"/>
        <v>0.60997000000000001</v>
      </c>
      <c r="M60" s="243" t="s">
        <v>111</v>
      </c>
      <c r="N60" s="243">
        <v>1</v>
      </c>
      <c r="O60" s="243">
        <v>724</v>
      </c>
      <c r="P60" s="243">
        <v>1</v>
      </c>
      <c r="Q60" s="243">
        <v>0</v>
      </c>
      <c r="R60" s="243">
        <v>724</v>
      </c>
      <c r="S60" s="243">
        <v>1.5277781699999999</v>
      </c>
      <c r="T60" s="336">
        <v>1106.1099999999999</v>
      </c>
      <c r="U60" s="337">
        <v>0.60997000000000001</v>
      </c>
      <c r="V60" s="243">
        <v>674.69</v>
      </c>
      <c r="W60" s="336">
        <v>1780.8</v>
      </c>
    </row>
    <row r="61" spans="1:23" ht="13.5" customHeight="1" thickBot="1">
      <c r="A61" s="213">
        <v>41913</v>
      </c>
      <c r="B61" s="213"/>
      <c r="C61" s="214">
        <v>724</v>
      </c>
      <c r="D61" s="213">
        <v>41913</v>
      </c>
      <c r="E61" s="215"/>
      <c r="F61" s="216"/>
      <c r="G61" s="243">
        <f t="shared" si="1"/>
        <v>1.52184298</v>
      </c>
      <c r="H61" s="302">
        <v>0</v>
      </c>
      <c r="I61" s="257">
        <f t="shared" si="2"/>
        <v>0.60997000000000001</v>
      </c>
      <c r="M61" s="243" t="s">
        <v>112</v>
      </c>
      <c r="N61" s="243">
        <v>1</v>
      </c>
      <c r="O61" s="243">
        <v>724</v>
      </c>
      <c r="P61" s="243">
        <v>1</v>
      </c>
      <c r="Q61" s="243">
        <v>0</v>
      </c>
      <c r="R61" s="243">
        <v>724</v>
      </c>
      <c r="S61" s="243">
        <v>1.52184298</v>
      </c>
      <c r="T61" s="336">
        <v>1101.81</v>
      </c>
      <c r="U61" s="337">
        <v>0.60997000000000001</v>
      </c>
      <c r="V61" s="243">
        <v>672.07</v>
      </c>
      <c r="W61" s="336">
        <v>1773.88</v>
      </c>
    </row>
    <row r="62" spans="1:23" ht="13.5" customHeight="1" thickBot="1">
      <c r="A62" s="213">
        <v>41944</v>
      </c>
      <c r="B62" s="213"/>
      <c r="C62" s="214">
        <v>724</v>
      </c>
      <c r="D62" s="213">
        <v>41944</v>
      </c>
      <c r="E62" s="215"/>
      <c r="F62" s="216"/>
      <c r="G62" s="243">
        <f t="shared" si="1"/>
        <v>1.51457303</v>
      </c>
      <c r="H62" s="302">
        <v>0</v>
      </c>
      <c r="I62" s="257">
        <f t="shared" si="2"/>
        <v>0.60997000000000001</v>
      </c>
      <c r="M62" s="243" t="s">
        <v>113</v>
      </c>
      <c r="N62" s="243">
        <v>1</v>
      </c>
      <c r="O62" s="243">
        <v>724</v>
      </c>
      <c r="P62" s="243">
        <v>1</v>
      </c>
      <c r="Q62" s="243">
        <v>0</v>
      </c>
      <c r="R62" s="243">
        <v>724</v>
      </c>
      <c r="S62" s="243">
        <v>1.51457303</v>
      </c>
      <c r="T62" s="336">
        <v>1096.55</v>
      </c>
      <c r="U62" s="337">
        <v>0.60997000000000001</v>
      </c>
      <c r="V62" s="243">
        <v>668.86</v>
      </c>
      <c r="W62" s="336">
        <v>1765.41</v>
      </c>
    </row>
    <row r="63" spans="1:23" ht="13.5" customHeight="1" thickBot="1">
      <c r="A63" s="213">
        <v>41974</v>
      </c>
      <c r="B63" s="213"/>
      <c r="C63" s="214">
        <v>724</v>
      </c>
      <c r="D63" s="213">
        <v>41974</v>
      </c>
      <c r="E63" s="215"/>
      <c r="F63" s="216"/>
      <c r="G63" s="243">
        <f t="shared" si="1"/>
        <v>1.50883944</v>
      </c>
      <c r="H63" s="302">
        <v>0</v>
      </c>
      <c r="I63" s="257">
        <f t="shared" si="2"/>
        <v>0.60997000000000001</v>
      </c>
      <c r="M63" s="243" t="s">
        <v>114</v>
      </c>
      <c r="N63" s="243">
        <v>1</v>
      </c>
      <c r="O63" s="243">
        <v>724</v>
      </c>
      <c r="P63" s="243">
        <v>1</v>
      </c>
      <c r="Q63" s="243">
        <v>0</v>
      </c>
      <c r="R63" s="243">
        <v>724</v>
      </c>
      <c r="S63" s="243">
        <v>1.50883944</v>
      </c>
      <c r="T63" s="336">
        <v>1092.4000000000001</v>
      </c>
      <c r="U63" s="337">
        <v>0.60997000000000001</v>
      </c>
      <c r="V63" s="243">
        <v>666.33</v>
      </c>
      <c r="W63" s="336">
        <v>1758.73</v>
      </c>
    </row>
    <row r="64" spans="1:23" ht="13.5" customHeight="1" thickBot="1">
      <c r="A64" s="213">
        <v>42005</v>
      </c>
      <c r="B64" s="213"/>
      <c r="C64" s="214">
        <v>788</v>
      </c>
      <c r="D64" s="213">
        <v>42005</v>
      </c>
      <c r="E64" s="215"/>
      <c r="F64" s="216"/>
      <c r="G64" s="243">
        <f t="shared" si="1"/>
        <v>1.49701303</v>
      </c>
      <c r="H64" s="302">
        <v>0</v>
      </c>
      <c r="I64" s="257">
        <f t="shared" si="2"/>
        <v>0.60997000000000001</v>
      </c>
      <c r="M64" s="243" t="s">
        <v>115</v>
      </c>
      <c r="N64" s="243">
        <v>1.0623</v>
      </c>
      <c r="O64" s="243">
        <v>788</v>
      </c>
      <c r="P64" s="243">
        <v>1</v>
      </c>
      <c r="Q64" s="243">
        <v>0</v>
      </c>
      <c r="R64" s="243">
        <v>788</v>
      </c>
      <c r="S64" s="243">
        <v>1.49701303</v>
      </c>
      <c r="T64" s="336">
        <v>1179.6400000000001</v>
      </c>
      <c r="U64" s="337">
        <v>0.60997000000000001</v>
      </c>
      <c r="V64" s="243">
        <v>719.54</v>
      </c>
      <c r="W64" s="336">
        <v>1899.18</v>
      </c>
    </row>
    <row r="65" spans="1:23" ht="13.5" customHeight="1" thickBot="1">
      <c r="A65" s="213">
        <v>42036</v>
      </c>
      <c r="B65" s="213"/>
      <c r="C65" s="214">
        <v>788</v>
      </c>
      <c r="D65" s="213">
        <v>42036</v>
      </c>
      <c r="E65" s="215"/>
      <c r="F65" s="216"/>
      <c r="G65" s="243">
        <f t="shared" si="1"/>
        <v>1.4838071500000001</v>
      </c>
      <c r="H65" s="302">
        <v>0</v>
      </c>
      <c r="I65" s="257">
        <f t="shared" si="2"/>
        <v>0.60497000000000001</v>
      </c>
      <c r="M65" s="243" t="s">
        <v>116</v>
      </c>
      <c r="N65" s="243">
        <v>1</v>
      </c>
      <c r="O65" s="243">
        <v>788</v>
      </c>
      <c r="P65" s="243">
        <v>1</v>
      </c>
      <c r="Q65" s="243">
        <v>0</v>
      </c>
      <c r="R65" s="243">
        <v>788</v>
      </c>
      <c r="S65" s="243">
        <v>1.4838071500000001</v>
      </c>
      <c r="T65" s="336">
        <v>1169.24</v>
      </c>
      <c r="U65" s="337">
        <v>0.60497000000000001</v>
      </c>
      <c r="V65" s="243">
        <v>707.35</v>
      </c>
      <c r="W65" s="336">
        <v>1876.59</v>
      </c>
    </row>
    <row r="66" spans="1:23" ht="13.5" customHeight="1" thickBot="1">
      <c r="A66" s="213">
        <v>42064</v>
      </c>
      <c r="B66" s="213"/>
      <c r="C66" s="214">
        <v>788</v>
      </c>
      <c r="D66" s="213">
        <v>42064</v>
      </c>
      <c r="E66" s="215"/>
      <c r="F66" s="216"/>
      <c r="G66" s="243">
        <f t="shared" si="1"/>
        <v>1.4643315400000001</v>
      </c>
      <c r="H66" s="302">
        <v>0</v>
      </c>
      <c r="I66" s="257">
        <f t="shared" si="2"/>
        <v>0.59997</v>
      </c>
      <c r="M66" s="243" t="s">
        <v>117</v>
      </c>
      <c r="N66" s="243">
        <v>1</v>
      </c>
      <c r="O66" s="243">
        <v>788</v>
      </c>
      <c r="P66" s="243">
        <v>1</v>
      </c>
      <c r="Q66" s="243">
        <v>0</v>
      </c>
      <c r="R66" s="243">
        <v>788</v>
      </c>
      <c r="S66" s="243">
        <v>1.4643315400000001</v>
      </c>
      <c r="T66" s="336">
        <v>1153.8900000000001</v>
      </c>
      <c r="U66" s="337">
        <v>0.59997</v>
      </c>
      <c r="V66" s="243">
        <v>692.3</v>
      </c>
      <c r="W66" s="336">
        <v>1846.19</v>
      </c>
    </row>
    <row r="67" spans="1:23" ht="13.5" customHeight="1" thickBot="1">
      <c r="A67" s="213">
        <v>42095</v>
      </c>
      <c r="B67" s="213"/>
      <c r="C67" s="214">
        <v>788</v>
      </c>
      <c r="D67" s="213">
        <v>42095</v>
      </c>
      <c r="E67" s="215"/>
      <c r="F67" s="216"/>
      <c r="G67" s="243">
        <f t="shared" si="1"/>
        <v>1.4463962299999999</v>
      </c>
      <c r="H67" s="302">
        <v>0</v>
      </c>
      <c r="I67" s="257">
        <f t="shared" si="2"/>
        <v>0.59497</v>
      </c>
      <c r="M67" s="243" t="s">
        <v>118</v>
      </c>
      <c r="N67" s="243">
        <v>1</v>
      </c>
      <c r="O67" s="243">
        <v>788</v>
      </c>
      <c r="P67" s="243">
        <v>1</v>
      </c>
      <c r="Q67" s="243">
        <v>0</v>
      </c>
      <c r="R67" s="243">
        <v>788</v>
      </c>
      <c r="S67" s="243">
        <v>1.4463962299999999</v>
      </c>
      <c r="T67" s="336">
        <v>1139.76</v>
      </c>
      <c r="U67" s="337">
        <v>0.59497</v>
      </c>
      <c r="V67" s="243">
        <v>678.12</v>
      </c>
      <c r="W67" s="336">
        <v>1817.88</v>
      </c>
    </row>
    <row r="68" spans="1:23" ht="13.5" customHeight="1" thickBot="1">
      <c r="A68" s="213">
        <v>42125</v>
      </c>
      <c r="B68" s="213"/>
      <c r="C68" s="214">
        <v>788</v>
      </c>
      <c r="D68" s="213">
        <v>42125</v>
      </c>
      <c r="E68" s="215"/>
      <c r="F68" s="216"/>
      <c r="G68" s="243">
        <f t="shared" si="1"/>
        <v>1.4310836300000001</v>
      </c>
      <c r="H68" s="302">
        <v>0</v>
      </c>
      <c r="I68" s="257">
        <f t="shared" si="2"/>
        <v>0.58996999999999999</v>
      </c>
      <c r="M68" s="243" t="s">
        <v>119</v>
      </c>
      <c r="N68" s="243">
        <v>1</v>
      </c>
      <c r="O68" s="243">
        <v>788</v>
      </c>
      <c r="P68" s="243">
        <v>1</v>
      </c>
      <c r="Q68" s="243">
        <v>0</v>
      </c>
      <c r="R68" s="243">
        <v>788</v>
      </c>
      <c r="S68" s="243">
        <v>1.4310836300000001</v>
      </c>
      <c r="T68" s="336">
        <v>1127.69</v>
      </c>
      <c r="U68" s="337">
        <v>0.58996999999999999</v>
      </c>
      <c r="V68" s="243">
        <v>665.3</v>
      </c>
      <c r="W68" s="336">
        <v>1792.99</v>
      </c>
    </row>
    <row r="69" spans="1:23" ht="13.5" customHeight="1" thickBot="1">
      <c r="A69" s="213">
        <v>42156</v>
      </c>
      <c r="B69" s="213"/>
      <c r="C69" s="214">
        <v>788</v>
      </c>
      <c r="D69" s="213">
        <v>42156</v>
      </c>
      <c r="E69" s="215"/>
      <c r="F69" s="216"/>
      <c r="G69" s="243">
        <f t="shared" ref="G69:G132" si="3">S69</f>
        <v>1.4225483400000001</v>
      </c>
      <c r="H69" s="302">
        <v>0</v>
      </c>
      <c r="I69" s="257">
        <f t="shared" si="2"/>
        <v>0.58496999999999999</v>
      </c>
      <c r="M69" s="243" t="s">
        <v>120</v>
      </c>
      <c r="N69" s="243">
        <v>1</v>
      </c>
      <c r="O69" s="243">
        <v>788</v>
      </c>
      <c r="P69" s="243">
        <v>1</v>
      </c>
      <c r="Q69" s="243">
        <v>0</v>
      </c>
      <c r="R69" s="243">
        <v>788</v>
      </c>
      <c r="S69" s="243">
        <v>1.4225483400000001</v>
      </c>
      <c r="T69" s="336">
        <v>1120.96</v>
      </c>
      <c r="U69" s="337">
        <v>0.58496999999999999</v>
      </c>
      <c r="V69" s="243">
        <v>655.72</v>
      </c>
      <c r="W69" s="336">
        <v>1776.68</v>
      </c>
    </row>
    <row r="70" spans="1:23" ht="13.5" customHeight="1" thickBot="1">
      <c r="A70" s="213">
        <v>42186</v>
      </c>
      <c r="B70" s="213"/>
      <c r="C70" s="214">
        <v>788</v>
      </c>
      <c r="D70" s="213">
        <v>42186</v>
      </c>
      <c r="E70" s="215"/>
      <c r="F70" s="216"/>
      <c r="G70" s="243">
        <f t="shared" si="3"/>
        <v>1.4086031699999999</v>
      </c>
      <c r="H70" s="302">
        <v>0</v>
      </c>
      <c r="I70" s="257">
        <f t="shared" si="2"/>
        <v>0.57996999999999999</v>
      </c>
      <c r="M70" s="243" t="s">
        <v>121</v>
      </c>
      <c r="N70" s="243">
        <v>1</v>
      </c>
      <c r="O70" s="243">
        <v>788</v>
      </c>
      <c r="P70" s="243">
        <v>1</v>
      </c>
      <c r="Q70" s="243">
        <v>0</v>
      </c>
      <c r="R70" s="243">
        <v>788</v>
      </c>
      <c r="S70" s="243">
        <v>1.4086031699999999</v>
      </c>
      <c r="T70" s="336">
        <v>1109.98</v>
      </c>
      <c r="U70" s="337">
        <v>0.57996999999999999</v>
      </c>
      <c r="V70" s="243">
        <v>643.75</v>
      </c>
      <c r="W70" s="336">
        <v>1753.73</v>
      </c>
    </row>
    <row r="71" spans="1:23" ht="13.5" customHeight="1" thickBot="1">
      <c r="A71" s="213">
        <v>42217</v>
      </c>
      <c r="B71" s="213"/>
      <c r="C71" s="214">
        <v>788</v>
      </c>
      <c r="D71" s="213">
        <v>42217</v>
      </c>
      <c r="E71" s="215"/>
      <c r="F71" s="216"/>
      <c r="G71" s="243">
        <f t="shared" si="3"/>
        <v>1.40034116</v>
      </c>
      <c r="H71" s="302">
        <v>0</v>
      </c>
      <c r="I71" s="257">
        <f t="shared" si="2"/>
        <v>0.57496999999999998</v>
      </c>
      <c r="M71" s="243" t="s">
        <v>122</v>
      </c>
      <c r="N71" s="243">
        <v>1</v>
      </c>
      <c r="O71" s="243">
        <v>788</v>
      </c>
      <c r="P71" s="243">
        <v>1</v>
      </c>
      <c r="Q71" s="243">
        <v>0</v>
      </c>
      <c r="R71" s="243">
        <v>788</v>
      </c>
      <c r="S71" s="243">
        <v>1.40034116</v>
      </c>
      <c r="T71" s="336">
        <v>1103.46</v>
      </c>
      <c r="U71" s="337">
        <v>0.57496999999999998</v>
      </c>
      <c r="V71" s="243">
        <v>634.45000000000005</v>
      </c>
      <c r="W71" s="336">
        <v>1737.91</v>
      </c>
    </row>
    <row r="72" spans="1:23" ht="13.5" customHeight="1" thickBot="1">
      <c r="A72" s="213">
        <v>42248</v>
      </c>
      <c r="B72" s="213"/>
      <c r="C72" s="214">
        <v>788</v>
      </c>
      <c r="D72" s="213">
        <v>42248</v>
      </c>
      <c r="E72" s="215"/>
      <c r="F72" s="216"/>
      <c r="G72" s="243">
        <f t="shared" si="3"/>
        <v>1.39434547</v>
      </c>
      <c r="H72" s="302">
        <v>0</v>
      </c>
      <c r="I72" s="257">
        <f t="shared" si="2"/>
        <v>0.56996999999999998</v>
      </c>
      <c r="M72" s="243" t="s">
        <v>123</v>
      </c>
      <c r="N72" s="243">
        <v>1</v>
      </c>
      <c r="O72" s="243">
        <v>788</v>
      </c>
      <c r="P72" s="243">
        <v>1</v>
      </c>
      <c r="Q72" s="243">
        <v>0</v>
      </c>
      <c r="R72" s="243">
        <v>788</v>
      </c>
      <c r="S72" s="243">
        <v>1.39434547</v>
      </c>
      <c r="T72" s="336">
        <v>1098.74</v>
      </c>
      <c r="U72" s="337">
        <v>0.56996999999999998</v>
      </c>
      <c r="V72" s="243">
        <v>626.24</v>
      </c>
      <c r="W72" s="336">
        <v>1724.98</v>
      </c>
    </row>
    <row r="73" spans="1:23" ht="13.5" customHeight="1" thickBot="1">
      <c r="A73" s="213">
        <v>42278</v>
      </c>
      <c r="B73" s="213"/>
      <c r="C73" s="214">
        <v>788</v>
      </c>
      <c r="D73" s="213">
        <v>42278</v>
      </c>
      <c r="E73" s="215"/>
      <c r="F73" s="216"/>
      <c r="G73" s="243">
        <f t="shared" si="3"/>
        <v>1.38892865</v>
      </c>
      <c r="H73" s="302">
        <v>0</v>
      </c>
      <c r="I73" s="257">
        <f t="shared" si="2"/>
        <v>0.56496999999999997</v>
      </c>
      <c r="M73" s="243" t="s">
        <v>124</v>
      </c>
      <c r="N73" s="243">
        <v>1</v>
      </c>
      <c r="O73" s="243">
        <v>788</v>
      </c>
      <c r="P73" s="243">
        <v>1</v>
      </c>
      <c r="Q73" s="243">
        <v>0</v>
      </c>
      <c r="R73" s="243">
        <v>788</v>
      </c>
      <c r="S73" s="243">
        <v>1.38892865</v>
      </c>
      <c r="T73" s="336">
        <v>1094.47</v>
      </c>
      <c r="U73" s="337">
        <v>0.56496999999999997</v>
      </c>
      <c r="V73" s="243">
        <v>618.34</v>
      </c>
      <c r="W73" s="336">
        <v>1712.81</v>
      </c>
    </row>
    <row r="74" spans="1:23" ht="13.5" customHeight="1" thickBot="1">
      <c r="A74" s="213">
        <v>42309</v>
      </c>
      <c r="B74" s="213"/>
      <c r="C74" s="214">
        <v>788</v>
      </c>
      <c r="D74" s="213">
        <v>42309</v>
      </c>
      <c r="E74" s="215"/>
      <c r="F74" s="216"/>
      <c r="G74" s="243">
        <f t="shared" si="3"/>
        <v>1.37982183</v>
      </c>
      <c r="H74" s="302">
        <v>0</v>
      </c>
      <c r="I74" s="257">
        <f t="shared" si="2"/>
        <v>0.55996999999999997</v>
      </c>
      <c r="M74" s="243" t="s">
        <v>125</v>
      </c>
      <c r="N74" s="243">
        <v>1</v>
      </c>
      <c r="O74" s="243">
        <v>788</v>
      </c>
      <c r="P74" s="243">
        <v>1</v>
      </c>
      <c r="Q74" s="243">
        <v>0</v>
      </c>
      <c r="R74" s="243">
        <v>788</v>
      </c>
      <c r="S74" s="243">
        <v>1.37982183</v>
      </c>
      <c r="T74" s="336">
        <v>1087.3</v>
      </c>
      <c r="U74" s="337">
        <v>0.55996999999999997</v>
      </c>
      <c r="V74" s="243">
        <v>608.85</v>
      </c>
      <c r="W74" s="336">
        <v>1696.15</v>
      </c>
    </row>
    <row r="75" spans="1:23" ht="13.5" customHeight="1" thickBot="1">
      <c r="A75" s="213">
        <v>42339</v>
      </c>
      <c r="B75" s="213"/>
      <c r="C75" s="214">
        <v>788</v>
      </c>
      <c r="D75" s="213">
        <v>42339</v>
      </c>
      <c r="E75" s="215"/>
      <c r="F75" s="216"/>
      <c r="G75" s="243">
        <f t="shared" si="3"/>
        <v>1.36819219</v>
      </c>
      <c r="H75" s="302">
        <v>0</v>
      </c>
      <c r="I75" s="257">
        <f t="shared" si="2"/>
        <v>0.55496999999999996</v>
      </c>
      <c r="M75" s="243" t="s">
        <v>126</v>
      </c>
      <c r="N75" s="243">
        <v>1</v>
      </c>
      <c r="O75" s="243">
        <v>788</v>
      </c>
      <c r="P75" s="243">
        <v>1</v>
      </c>
      <c r="Q75" s="243">
        <v>0</v>
      </c>
      <c r="R75" s="243">
        <v>788</v>
      </c>
      <c r="S75" s="243">
        <v>1.36819219</v>
      </c>
      <c r="T75" s="336">
        <v>1078.1300000000001</v>
      </c>
      <c r="U75" s="337">
        <v>0.55496999999999996</v>
      </c>
      <c r="V75" s="243">
        <v>598.33000000000004</v>
      </c>
      <c r="W75" s="336">
        <v>1676.46</v>
      </c>
    </row>
    <row r="76" spans="1:23" ht="13.5" customHeight="1" thickBot="1">
      <c r="A76" s="213">
        <v>42370</v>
      </c>
      <c r="B76" s="213"/>
      <c r="C76" s="214">
        <v>880</v>
      </c>
      <c r="D76" s="213">
        <v>42370</v>
      </c>
      <c r="E76" s="215"/>
      <c r="F76" s="216"/>
      <c r="G76" s="243">
        <f t="shared" si="3"/>
        <v>1.35223581</v>
      </c>
      <c r="H76" s="302">
        <v>0</v>
      </c>
      <c r="I76" s="257">
        <f t="shared" si="2"/>
        <v>0.54996999999999996</v>
      </c>
      <c r="M76" s="243" t="s">
        <v>127</v>
      </c>
      <c r="N76" s="243">
        <v>1.1128</v>
      </c>
      <c r="O76" s="243">
        <v>880</v>
      </c>
      <c r="P76" s="243">
        <v>1</v>
      </c>
      <c r="Q76" s="243">
        <v>0</v>
      </c>
      <c r="R76" s="243">
        <v>880</v>
      </c>
      <c r="S76" s="243">
        <v>1.35223581</v>
      </c>
      <c r="T76" s="336">
        <v>1189.96</v>
      </c>
      <c r="U76" s="337">
        <v>0.54996999999999996</v>
      </c>
      <c r="V76" s="243">
        <v>654.44000000000005</v>
      </c>
      <c r="W76" s="336">
        <v>1844.4</v>
      </c>
    </row>
    <row r="77" spans="1:23" ht="13.5" customHeight="1" thickBot="1">
      <c r="A77" s="213">
        <v>42401</v>
      </c>
      <c r="B77" s="213"/>
      <c r="C77" s="214">
        <v>880</v>
      </c>
      <c r="D77" s="213">
        <v>42401</v>
      </c>
      <c r="E77" s="215"/>
      <c r="F77" s="216"/>
      <c r="G77" s="243">
        <f t="shared" si="3"/>
        <v>1.3399086499999999</v>
      </c>
      <c r="H77" s="302">
        <v>0</v>
      </c>
      <c r="I77" s="257">
        <f t="shared" si="2"/>
        <v>0.54496999999999995</v>
      </c>
      <c r="M77" s="243" t="s">
        <v>128</v>
      </c>
      <c r="N77" s="243">
        <v>1</v>
      </c>
      <c r="O77" s="243">
        <v>880</v>
      </c>
      <c r="P77" s="243">
        <v>1</v>
      </c>
      <c r="Q77" s="243">
        <v>0</v>
      </c>
      <c r="R77" s="243">
        <v>880</v>
      </c>
      <c r="S77" s="243">
        <v>1.3399086499999999</v>
      </c>
      <c r="T77" s="336">
        <v>1179.1199999999999</v>
      </c>
      <c r="U77" s="337">
        <v>0.54496999999999995</v>
      </c>
      <c r="V77" s="243">
        <v>642.58000000000004</v>
      </c>
      <c r="W77" s="336">
        <v>1821.7</v>
      </c>
    </row>
    <row r="78" spans="1:23" ht="13.5" customHeight="1" thickBot="1">
      <c r="A78" s="213">
        <v>42430</v>
      </c>
      <c r="B78" s="213"/>
      <c r="C78" s="214">
        <v>880</v>
      </c>
      <c r="D78" s="213">
        <v>42430</v>
      </c>
      <c r="E78" s="215"/>
      <c r="F78" s="216"/>
      <c r="G78" s="243">
        <f t="shared" si="3"/>
        <v>1.3211483399999999</v>
      </c>
      <c r="H78" s="302">
        <v>0</v>
      </c>
      <c r="I78" s="257">
        <f t="shared" si="2"/>
        <v>0.53996999999999995</v>
      </c>
      <c r="M78" s="243" t="s">
        <v>129</v>
      </c>
      <c r="N78" s="243">
        <v>1</v>
      </c>
      <c r="O78" s="243">
        <v>880</v>
      </c>
      <c r="P78" s="243">
        <v>1</v>
      </c>
      <c r="Q78" s="243">
        <v>0</v>
      </c>
      <c r="R78" s="243">
        <v>880</v>
      </c>
      <c r="S78" s="243">
        <v>1.3211483399999999</v>
      </c>
      <c r="T78" s="336">
        <v>1162.6099999999999</v>
      </c>
      <c r="U78" s="337">
        <v>0.53996999999999995</v>
      </c>
      <c r="V78" s="243">
        <v>627.77</v>
      </c>
      <c r="W78" s="336">
        <v>1790.38</v>
      </c>
    </row>
    <row r="79" spans="1:23" ht="13.5" customHeight="1" thickBot="1">
      <c r="A79" s="213">
        <v>42461</v>
      </c>
      <c r="B79" s="213"/>
      <c r="C79" s="214">
        <v>880</v>
      </c>
      <c r="D79" s="213">
        <v>42461</v>
      </c>
      <c r="E79" s="215"/>
      <c r="F79" s="216"/>
      <c r="G79" s="243">
        <f t="shared" si="3"/>
        <v>1.31549173</v>
      </c>
      <c r="H79" s="302">
        <v>0</v>
      </c>
      <c r="I79" s="257">
        <f t="shared" si="2"/>
        <v>0.53496999999999995</v>
      </c>
      <c r="M79" s="243" t="s">
        <v>130</v>
      </c>
      <c r="N79" s="243">
        <v>1</v>
      </c>
      <c r="O79" s="243">
        <v>880</v>
      </c>
      <c r="P79" s="243">
        <v>1</v>
      </c>
      <c r="Q79" s="243">
        <v>0</v>
      </c>
      <c r="R79" s="243">
        <v>880</v>
      </c>
      <c r="S79" s="243">
        <v>1.31549173</v>
      </c>
      <c r="T79" s="336">
        <v>1157.6300000000001</v>
      </c>
      <c r="U79" s="337">
        <v>0.53496999999999995</v>
      </c>
      <c r="V79" s="243">
        <v>619.29</v>
      </c>
      <c r="W79" s="336">
        <v>1776.92</v>
      </c>
    </row>
    <row r="80" spans="1:23" ht="13.5" customHeight="1" thickBot="1">
      <c r="A80" s="213">
        <v>42491</v>
      </c>
      <c r="B80" s="213"/>
      <c r="C80" s="214">
        <v>880</v>
      </c>
      <c r="D80" s="213">
        <v>42491</v>
      </c>
      <c r="E80" s="215"/>
      <c r="F80" s="216"/>
      <c r="G80" s="243">
        <f t="shared" si="3"/>
        <v>1.30881676</v>
      </c>
      <c r="H80" s="302">
        <v>0</v>
      </c>
      <c r="I80" s="257">
        <f t="shared" ref="I80:I143" si="4">U80</f>
        <v>0.52997000000000005</v>
      </c>
      <c r="M80" s="243" t="s">
        <v>131</v>
      </c>
      <c r="N80" s="243">
        <v>1</v>
      </c>
      <c r="O80" s="243">
        <v>880</v>
      </c>
      <c r="P80" s="243">
        <v>1</v>
      </c>
      <c r="Q80" s="243">
        <v>0</v>
      </c>
      <c r="R80" s="243">
        <v>880</v>
      </c>
      <c r="S80" s="243">
        <v>1.30881676</v>
      </c>
      <c r="T80" s="336">
        <v>1151.75</v>
      </c>
      <c r="U80" s="337">
        <v>0.52997000000000005</v>
      </c>
      <c r="V80" s="243">
        <v>610.39</v>
      </c>
      <c r="W80" s="336">
        <v>1762.14</v>
      </c>
    </row>
    <row r="81" spans="1:23" ht="13.5" customHeight="1" thickBot="1">
      <c r="A81" s="213">
        <v>42522</v>
      </c>
      <c r="B81" s="213"/>
      <c r="C81" s="214">
        <v>880</v>
      </c>
      <c r="D81" s="213">
        <v>42522</v>
      </c>
      <c r="E81" s="215"/>
      <c r="F81" s="216"/>
      <c r="G81" s="243">
        <f t="shared" si="3"/>
        <v>1.2976569099999999</v>
      </c>
      <c r="H81" s="302">
        <v>0</v>
      </c>
      <c r="I81" s="257">
        <f t="shared" si="4"/>
        <v>0.52497000000000005</v>
      </c>
      <c r="M81" s="243" t="s">
        <v>132</v>
      </c>
      <c r="N81" s="243">
        <v>1</v>
      </c>
      <c r="O81" s="243">
        <v>880</v>
      </c>
      <c r="P81" s="243">
        <v>1</v>
      </c>
      <c r="Q81" s="243">
        <v>0</v>
      </c>
      <c r="R81" s="243">
        <v>880</v>
      </c>
      <c r="S81" s="243">
        <v>1.2976569099999999</v>
      </c>
      <c r="T81" s="336">
        <v>1141.93</v>
      </c>
      <c r="U81" s="337">
        <v>0.52497000000000005</v>
      </c>
      <c r="V81" s="243">
        <v>599.47</v>
      </c>
      <c r="W81" s="336">
        <v>1741.4</v>
      </c>
    </row>
    <row r="82" spans="1:23" ht="13.5" customHeight="1" thickBot="1">
      <c r="A82" s="213">
        <v>42552</v>
      </c>
      <c r="B82" s="213"/>
      <c r="C82" s="214">
        <v>880</v>
      </c>
      <c r="D82" s="213">
        <v>42552</v>
      </c>
      <c r="E82" s="215"/>
      <c r="F82" s="216"/>
      <c r="G82" s="243">
        <f t="shared" si="3"/>
        <v>1.2924869699999999</v>
      </c>
      <c r="H82" s="302">
        <v>0</v>
      </c>
      <c r="I82" s="257">
        <f t="shared" si="4"/>
        <v>0.51997000000000004</v>
      </c>
      <c r="M82" s="243" t="s">
        <v>133</v>
      </c>
      <c r="N82" s="243">
        <v>1</v>
      </c>
      <c r="O82" s="243">
        <v>880</v>
      </c>
      <c r="P82" s="243">
        <v>1</v>
      </c>
      <c r="Q82" s="243">
        <v>0</v>
      </c>
      <c r="R82" s="243">
        <v>880</v>
      </c>
      <c r="S82" s="243">
        <v>1.2924869699999999</v>
      </c>
      <c r="T82" s="336">
        <v>1137.3800000000001</v>
      </c>
      <c r="U82" s="337">
        <v>0.51997000000000004</v>
      </c>
      <c r="V82" s="243">
        <v>591.4</v>
      </c>
      <c r="W82" s="336">
        <v>1728.78</v>
      </c>
    </row>
    <row r="83" spans="1:23" ht="13.5" customHeight="1" thickBot="1">
      <c r="A83" s="213">
        <v>42583</v>
      </c>
      <c r="B83" s="213"/>
      <c r="C83" s="214">
        <v>880</v>
      </c>
      <c r="D83" s="213">
        <v>42583</v>
      </c>
      <c r="E83" s="215"/>
      <c r="F83" s="216"/>
      <c r="G83" s="243">
        <f t="shared" si="3"/>
        <v>1.28554502</v>
      </c>
      <c r="H83" s="302">
        <v>0</v>
      </c>
      <c r="I83" s="257">
        <f t="shared" si="4"/>
        <v>0.51497000000000004</v>
      </c>
      <c r="M83" s="243" t="s">
        <v>134</v>
      </c>
      <c r="N83" s="243">
        <v>1</v>
      </c>
      <c r="O83" s="243">
        <v>880</v>
      </c>
      <c r="P83" s="243">
        <v>1</v>
      </c>
      <c r="Q83" s="243">
        <v>0</v>
      </c>
      <c r="R83" s="243">
        <v>880</v>
      </c>
      <c r="S83" s="243">
        <v>1.28554502</v>
      </c>
      <c r="T83" s="336">
        <v>1131.28</v>
      </c>
      <c r="U83" s="337">
        <v>0.51497000000000004</v>
      </c>
      <c r="V83" s="243">
        <v>582.57000000000005</v>
      </c>
      <c r="W83" s="336">
        <v>1713.85</v>
      </c>
    </row>
    <row r="84" spans="1:23" ht="13.5" customHeight="1" thickBot="1">
      <c r="A84" s="213">
        <v>42614</v>
      </c>
      <c r="B84" s="213"/>
      <c r="C84" s="214">
        <v>880</v>
      </c>
      <c r="D84" s="213">
        <v>42614</v>
      </c>
      <c r="E84" s="215"/>
      <c r="F84" s="216"/>
      <c r="G84" s="243">
        <f t="shared" si="3"/>
        <v>1.2797859899999999</v>
      </c>
      <c r="H84" s="302">
        <v>0</v>
      </c>
      <c r="I84" s="257">
        <f t="shared" si="4"/>
        <v>0.50997000000000003</v>
      </c>
      <c r="M84" s="243" t="s">
        <v>135</v>
      </c>
      <c r="N84" s="243">
        <v>1</v>
      </c>
      <c r="O84" s="243">
        <v>880</v>
      </c>
      <c r="P84" s="243">
        <v>1</v>
      </c>
      <c r="Q84" s="243">
        <v>0</v>
      </c>
      <c r="R84" s="243">
        <v>880</v>
      </c>
      <c r="S84" s="243">
        <v>1.2797859899999999</v>
      </c>
      <c r="T84" s="336">
        <v>1126.21</v>
      </c>
      <c r="U84" s="337">
        <v>0.50997000000000003</v>
      </c>
      <c r="V84" s="243">
        <v>574.33000000000004</v>
      </c>
      <c r="W84" s="336">
        <v>1700.54</v>
      </c>
    </row>
    <row r="85" spans="1:23" ht="13.5" customHeight="1" thickBot="1">
      <c r="A85" s="213">
        <v>42644</v>
      </c>
      <c r="B85" s="213"/>
      <c r="C85" s="214">
        <v>880</v>
      </c>
      <c r="D85" s="213">
        <v>42644</v>
      </c>
      <c r="E85" s="215"/>
      <c r="F85" s="216"/>
      <c r="G85" s="243">
        <f t="shared" si="3"/>
        <v>1.2768492300000001</v>
      </c>
      <c r="H85" s="302">
        <v>0</v>
      </c>
      <c r="I85" s="257">
        <f t="shared" si="4"/>
        <v>0.50497000000000003</v>
      </c>
      <c r="M85" s="243" t="s">
        <v>136</v>
      </c>
      <c r="N85" s="243">
        <v>1</v>
      </c>
      <c r="O85" s="243">
        <v>880</v>
      </c>
      <c r="P85" s="243">
        <v>1</v>
      </c>
      <c r="Q85" s="243">
        <v>0</v>
      </c>
      <c r="R85" s="243">
        <v>880</v>
      </c>
      <c r="S85" s="243">
        <v>1.2768492300000001</v>
      </c>
      <c r="T85" s="336">
        <v>1123.6199999999999</v>
      </c>
      <c r="U85" s="337">
        <v>0.50497000000000003</v>
      </c>
      <c r="V85" s="243">
        <v>567.39</v>
      </c>
      <c r="W85" s="336">
        <v>1691.01</v>
      </c>
    </row>
    <row r="86" spans="1:23" ht="13.5" customHeight="1" thickBot="1">
      <c r="A86" s="213">
        <v>42675</v>
      </c>
      <c r="B86" s="213"/>
      <c r="C86" s="214">
        <v>880</v>
      </c>
      <c r="D86" s="213">
        <v>42675</v>
      </c>
      <c r="E86" s="215"/>
      <c r="F86" s="216"/>
      <c r="G86" s="243">
        <f t="shared" si="3"/>
        <v>1.2744278200000001</v>
      </c>
      <c r="H86" s="302">
        <v>0</v>
      </c>
      <c r="I86" s="257">
        <f t="shared" si="4"/>
        <v>0.49997000000000003</v>
      </c>
      <c r="M86" s="243" t="s">
        <v>137</v>
      </c>
      <c r="N86" s="243">
        <v>1</v>
      </c>
      <c r="O86" s="243">
        <v>880</v>
      </c>
      <c r="P86" s="243">
        <v>1</v>
      </c>
      <c r="Q86" s="243">
        <v>0</v>
      </c>
      <c r="R86" s="243">
        <v>880</v>
      </c>
      <c r="S86" s="243">
        <v>1.2744278200000001</v>
      </c>
      <c r="T86" s="336">
        <v>1121.49</v>
      </c>
      <c r="U86" s="337">
        <v>0.49997000000000003</v>
      </c>
      <c r="V86" s="243">
        <v>560.71</v>
      </c>
      <c r="W86" s="336">
        <v>1682.2</v>
      </c>
    </row>
    <row r="87" spans="1:23" ht="13.5" customHeight="1" thickBot="1">
      <c r="A87" s="213">
        <v>42705</v>
      </c>
      <c r="B87" s="213"/>
      <c r="C87" s="214">
        <v>880</v>
      </c>
      <c r="D87" s="213">
        <v>42705</v>
      </c>
      <c r="E87" s="215"/>
      <c r="F87" s="216"/>
      <c r="G87" s="243">
        <f t="shared" si="3"/>
        <v>1.2711228999999999</v>
      </c>
      <c r="H87" s="302">
        <v>0</v>
      </c>
      <c r="I87" s="257">
        <f t="shared" si="4"/>
        <v>0.49497000000000002</v>
      </c>
      <c r="M87" s="243" t="s">
        <v>138</v>
      </c>
      <c r="N87" s="243">
        <v>1</v>
      </c>
      <c r="O87" s="243">
        <v>880</v>
      </c>
      <c r="P87" s="243">
        <v>1</v>
      </c>
      <c r="Q87" s="243">
        <v>0</v>
      </c>
      <c r="R87" s="243">
        <v>880</v>
      </c>
      <c r="S87" s="243">
        <v>1.2711228999999999</v>
      </c>
      <c r="T87" s="336">
        <v>1118.58</v>
      </c>
      <c r="U87" s="337">
        <v>0.49497000000000002</v>
      </c>
      <c r="V87" s="243">
        <v>553.66</v>
      </c>
      <c r="W87" s="336">
        <v>1672.24</v>
      </c>
    </row>
    <row r="88" spans="1:23" ht="13.5" customHeight="1" thickBot="1">
      <c r="A88" s="213">
        <v>42736</v>
      </c>
      <c r="B88" s="213"/>
      <c r="C88" s="214">
        <v>937</v>
      </c>
      <c r="D88" s="213">
        <v>42736</v>
      </c>
      <c r="E88" s="215"/>
      <c r="F88" s="216"/>
      <c r="G88" s="243">
        <f t="shared" si="3"/>
        <v>1.2687123499999999</v>
      </c>
      <c r="H88" s="302">
        <v>0</v>
      </c>
      <c r="I88" s="257">
        <f t="shared" si="4"/>
        <v>0.48997000000000002</v>
      </c>
      <c r="M88" s="243" t="s">
        <v>139</v>
      </c>
      <c r="N88" s="243">
        <v>1.0658000000000001</v>
      </c>
      <c r="O88" s="243">
        <v>937</v>
      </c>
      <c r="P88" s="243">
        <v>1</v>
      </c>
      <c r="Q88" s="243">
        <v>0</v>
      </c>
      <c r="R88" s="243">
        <v>937</v>
      </c>
      <c r="S88" s="243">
        <v>1.2687123499999999</v>
      </c>
      <c r="T88" s="336">
        <v>1188.78</v>
      </c>
      <c r="U88" s="337">
        <v>0.48997000000000002</v>
      </c>
      <c r="V88" s="243">
        <v>582.46</v>
      </c>
      <c r="W88" s="336">
        <v>1771.24</v>
      </c>
    </row>
    <row r="89" spans="1:23" ht="13.5" customHeight="1" thickBot="1">
      <c r="A89" s="213">
        <v>42767</v>
      </c>
      <c r="B89" s="213"/>
      <c r="C89" s="214">
        <v>937</v>
      </c>
      <c r="D89" s="213">
        <v>42767</v>
      </c>
      <c r="E89" s="215"/>
      <c r="F89" s="216"/>
      <c r="G89" s="243">
        <f t="shared" si="3"/>
        <v>1.2647914899999999</v>
      </c>
      <c r="H89" s="302">
        <v>0</v>
      </c>
      <c r="I89" s="257">
        <f t="shared" si="4"/>
        <v>0.48497000000000001</v>
      </c>
      <c r="M89" s="243" t="s">
        <v>140</v>
      </c>
      <c r="N89" s="243">
        <v>1</v>
      </c>
      <c r="O89" s="243">
        <v>937</v>
      </c>
      <c r="P89" s="243">
        <v>1</v>
      </c>
      <c r="Q89" s="243">
        <v>0</v>
      </c>
      <c r="R89" s="243">
        <v>937</v>
      </c>
      <c r="S89" s="243">
        <v>1.2647914899999999</v>
      </c>
      <c r="T89" s="336">
        <v>1185.1099999999999</v>
      </c>
      <c r="U89" s="337">
        <v>0.48497000000000001</v>
      </c>
      <c r="V89" s="243">
        <v>574.74</v>
      </c>
      <c r="W89" s="336">
        <v>1759.85</v>
      </c>
    </row>
    <row r="90" spans="1:23" ht="13.5" customHeight="1" thickBot="1">
      <c r="A90" s="213">
        <v>42795</v>
      </c>
      <c r="B90" s="213"/>
      <c r="C90" s="214">
        <v>937</v>
      </c>
      <c r="D90" s="213">
        <v>42795</v>
      </c>
      <c r="E90" s="215"/>
      <c r="F90" s="216"/>
      <c r="G90" s="243">
        <f t="shared" si="3"/>
        <v>1.2579982999999999</v>
      </c>
      <c r="H90" s="302">
        <v>0</v>
      </c>
      <c r="I90" s="257">
        <f t="shared" si="4"/>
        <v>0.47997000000000001</v>
      </c>
      <c r="M90" s="243" t="s">
        <v>141</v>
      </c>
      <c r="N90" s="243">
        <v>1</v>
      </c>
      <c r="O90" s="243">
        <v>937</v>
      </c>
      <c r="P90" s="243">
        <v>1</v>
      </c>
      <c r="Q90" s="243">
        <v>0</v>
      </c>
      <c r="R90" s="243">
        <v>937</v>
      </c>
      <c r="S90" s="243">
        <v>1.2579982999999999</v>
      </c>
      <c r="T90" s="336">
        <v>1178.74</v>
      </c>
      <c r="U90" s="337">
        <v>0.47997000000000001</v>
      </c>
      <c r="V90" s="243">
        <v>565.76</v>
      </c>
      <c r="W90" s="336">
        <v>1744.5</v>
      </c>
    </row>
    <row r="91" spans="1:23" ht="13.5" customHeight="1" thickBot="1">
      <c r="A91" s="213">
        <v>42826</v>
      </c>
      <c r="B91" s="213"/>
      <c r="C91" s="214">
        <v>937</v>
      </c>
      <c r="D91" s="213">
        <v>42826</v>
      </c>
      <c r="E91" s="215"/>
      <c r="F91" s="216"/>
      <c r="G91" s="243">
        <f t="shared" si="3"/>
        <v>1.2561141300000001</v>
      </c>
      <c r="H91" s="302">
        <v>0</v>
      </c>
      <c r="I91" s="257">
        <f t="shared" si="4"/>
        <v>0.47497</v>
      </c>
      <c r="M91" s="243" t="s">
        <v>142</v>
      </c>
      <c r="N91" s="243">
        <v>1</v>
      </c>
      <c r="O91" s="243">
        <v>937</v>
      </c>
      <c r="P91" s="243">
        <v>1</v>
      </c>
      <c r="Q91" s="243">
        <v>0</v>
      </c>
      <c r="R91" s="243">
        <v>937</v>
      </c>
      <c r="S91" s="243">
        <v>1.2561141300000001</v>
      </c>
      <c r="T91" s="336">
        <v>1176.97</v>
      </c>
      <c r="U91" s="337">
        <v>0.47497</v>
      </c>
      <c r="V91" s="243">
        <v>559.02</v>
      </c>
      <c r="W91" s="336">
        <v>1735.99</v>
      </c>
    </row>
    <row r="92" spans="1:23" ht="13.5" customHeight="1" thickBot="1">
      <c r="A92" s="213">
        <v>42856</v>
      </c>
      <c r="B92" s="213"/>
      <c r="C92" s="214">
        <v>937</v>
      </c>
      <c r="D92" s="213">
        <v>42856</v>
      </c>
      <c r="E92" s="215"/>
      <c r="F92" s="216"/>
      <c r="G92" s="243">
        <f t="shared" si="3"/>
        <v>1.25348182</v>
      </c>
      <c r="H92" s="302">
        <v>0</v>
      </c>
      <c r="I92" s="257">
        <f t="shared" si="4"/>
        <v>0.46997</v>
      </c>
      <c r="M92" s="243" t="s">
        <v>143</v>
      </c>
      <c r="N92" s="243">
        <v>1</v>
      </c>
      <c r="O92" s="243">
        <v>937</v>
      </c>
      <c r="P92" s="243">
        <v>1</v>
      </c>
      <c r="Q92" s="243">
        <v>0</v>
      </c>
      <c r="R92" s="243">
        <v>937</v>
      </c>
      <c r="S92" s="243">
        <v>1.25348182</v>
      </c>
      <c r="T92" s="336">
        <v>1174.51</v>
      </c>
      <c r="U92" s="337">
        <v>0.46997</v>
      </c>
      <c r="V92" s="243">
        <v>551.98</v>
      </c>
      <c r="W92" s="336">
        <v>1726.49</v>
      </c>
    </row>
    <row r="93" spans="1:23" ht="13.5" customHeight="1" thickBot="1">
      <c r="A93" s="213">
        <v>42887</v>
      </c>
      <c r="B93" s="213"/>
      <c r="C93" s="214">
        <v>937</v>
      </c>
      <c r="D93" s="213">
        <v>42887</v>
      </c>
      <c r="E93" s="215"/>
      <c r="F93" s="216"/>
      <c r="G93" s="243">
        <f t="shared" si="3"/>
        <v>1.25048067</v>
      </c>
      <c r="H93" s="302">
        <v>0</v>
      </c>
      <c r="I93" s="257">
        <f t="shared" si="4"/>
        <v>0.46496999999999999</v>
      </c>
      <c r="M93" s="243" t="s">
        <v>144</v>
      </c>
      <c r="N93" s="243">
        <v>1</v>
      </c>
      <c r="O93" s="243">
        <v>937</v>
      </c>
      <c r="P93" s="243">
        <v>1</v>
      </c>
      <c r="Q93" s="243">
        <v>0</v>
      </c>
      <c r="R93" s="243">
        <v>937</v>
      </c>
      <c r="S93" s="243">
        <v>1.25048067</v>
      </c>
      <c r="T93" s="336">
        <v>1171.7</v>
      </c>
      <c r="U93" s="337">
        <v>0.46496999999999999</v>
      </c>
      <c r="V93" s="243">
        <v>544.79999999999995</v>
      </c>
      <c r="W93" s="336">
        <v>1716.5</v>
      </c>
    </row>
    <row r="94" spans="1:23" ht="13.5" customHeight="1" thickBot="1">
      <c r="A94" s="213">
        <v>42917</v>
      </c>
      <c r="B94" s="213"/>
      <c r="C94" s="214">
        <v>937</v>
      </c>
      <c r="D94" s="213">
        <v>42917</v>
      </c>
      <c r="E94" s="215"/>
      <c r="F94" s="216"/>
      <c r="G94" s="243">
        <f t="shared" si="3"/>
        <v>1.2484830899999999</v>
      </c>
      <c r="H94" s="302">
        <v>0</v>
      </c>
      <c r="I94" s="257">
        <f t="shared" si="4"/>
        <v>0.45996999999999999</v>
      </c>
      <c r="M94" s="243" t="s">
        <v>145</v>
      </c>
      <c r="N94" s="243">
        <v>1</v>
      </c>
      <c r="O94" s="243">
        <v>937</v>
      </c>
      <c r="P94" s="243">
        <v>1</v>
      </c>
      <c r="Q94" s="243">
        <v>0</v>
      </c>
      <c r="R94" s="243">
        <v>937</v>
      </c>
      <c r="S94" s="243">
        <v>1.2484830899999999</v>
      </c>
      <c r="T94" s="336">
        <v>1169.82</v>
      </c>
      <c r="U94" s="337">
        <v>0.45996999999999999</v>
      </c>
      <c r="V94" s="243">
        <v>538.08000000000004</v>
      </c>
      <c r="W94" s="336">
        <v>1707.9</v>
      </c>
    </row>
    <row r="95" spans="1:23" ht="13.5" customHeight="1" thickBot="1">
      <c r="A95" s="213">
        <v>42948</v>
      </c>
      <c r="B95" s="213"/>
      <c r="C95" s="214">
        <v>937</v>
      </c>
      <c r="D95" s="213">
        <v>42948</v>
      </c>
      <c r="E95" s="215"/>
      <c r="F95" s="216"/>
      <c r="G95" s="243">
        <f t="shared" si="3"/>
        <v>1.2507344199999999</v>
      </c>
      <c r="H95" s="302">
        <v>0</v>
      </c>
      <c r="I95" s="257">
        <f t="shared" si="4"/>
        <v>0.45496999999999999</v>
      </c>
      <c r="M95" s="243" t="s">
        <v>146</v>
      </c>
      <c r="N95" s="243">
        <v>1</v>
      </c>
      <c r="O95" s="243">
        <v>937</v>
      </c>
      <c r="P95" s="243">
        <v>1</v>
      </c>
      <c r="Q95" s="243">
        <v>0</v>
      </c>
      <c r="R95" s="243">
        <v>937</v>
      </c>
      <c r="S95" s="243">
        <v>1.2507344199999999</v>
      </c>
      <c r="T95" s="336">
        <v>1171.93</v>
      </c>
      <c r="U95" s="337">
        <v>0.45496999999999999</v>
      </c>
      <c r="V95" s="243">
        <v>533.19000000000005</v>
      </c>
      <c r="W95" s="336">
        <v>1705.12</v>
      </c>
    </row>
    <row r="96" spans="1:23" ht="13.5" customHeight="1" thickBot="1">
      <c r="A96" s="213">
        <v>42979</v>
      </c>
      <c r="B96" s="213"/>
      <c r="C96" s="214">
        <v>937</v>
      </c>
      <c r="D96" s="213">
        <v>42979</v>
      </c>
      <c r="E96" s="215"/>
      <c r="F96" s="216"/>
      <c r="G96" s="243">
        <f t="shared" si="3"/>
        <v>1.24637211</v>
      </c>
      <c r="H96" s="302">
        <v>0</v>
      </c>
      <c r="I96" s="257">
        <f t="shared" si="4"/>
        <v>0.44996999999999998</v>
      </c>
      <c r="M96" s="243" t="s">
        <v>147</v>
      </c>
      <c r="N96" s="243">
        <v>1</v>
      </c>
      <c r="O96" s="243">
        <v>937</v>
      </c>
      <c r="P96" s="243">
        <v>1</v>
      </c>
      <c r="Q96" s="243">
        <v>0</v>
      </c>
      <c r="R96" s="243">
        <v>937</v>
      </c>
      <c r="S96" s="243">
        <v>1.24637211</v>
      </c>
      <c r="T96" s="336">
        <v>1167.8499999999999</v>
      </c>
      <c r="U96" s="337">
        <v>0.44996999999999998</v>
      </c>
      <c r="V96" s="243">
        <v>525.49</v>
      </c>
      <c r="W96" s="336">
        <v>1693.34</v>
      </c>
    </row>
    <row r="97" spans="1:23" ht="13.5" customHeight="1" thickBot="1">
      <c r="A97" s="213">
        <v>43009</v>
      </c>
      <c r="B97" s="213"/>
      <c r="C97" s="214">
        <v>937</v>
      </c>
      <c r="D97" s="213">
        <v>43009</v>
      </c>
      <c r="E97" s="215"/>
      <c r="F97" s="216"/>
      <c r="G97" s="243">
        <f t="shared" si="3"/>
        <v>1.24500261</v>
      </c>
      <c r="H97" s="302">
        <v>0</v>
      </c>
      <c r="I97" s="257">
        <f t="shared" si="4"/>
        <v>0.44496999999999998</v>
      </c>
      <c r="M97" s="243" t="s">
        <v>148</v>
      </c>
      <c r="N97" s="243">
        <v>1</v>
      </c>
      <c r="O97" s="243">
        <v>937</v>
      </c>
      <c r="P97" s="243">
        <v>1</v>
      </c>
      <c r="Q97" s="243">
        <v>0</v>
      </c>
      <c r="R97" s="243">
        <v>937</v>
      </c>
      <c r="S97" s="243">
        <v>1.24500261</v>
      </c>
      <c r="T97" s="336">
        <v>1166.56</v>
      </c>
      <c r="U97" s="337">
        <v>0.44496999999999998</v>
      </c>
      <c r="V97" s="243">
        <v>519.08000000000004</v>
      </c>
      <c r="W97" s="336">
        <v>1685.64</v>
      </c>
    </row>
    <row r="98" spans="1:23" ht="13.5" customHeight="1" thickBot="1">
      <c r="A98" s="213">
        <v>43040</v>
      </c>
      <c r="B98" s="213"/>
      <c r="C98" s="214">
        <v>937</v>
      </c>
      <c r="D98" s="213">
        <v>43040</v>
      </c>
      <c r="E98" s="215"/>
      <c r="F98" s="216"/>
      <c r="G98" s="243">
        <f t="shared" si="3"/>
        <v>1.24078394</v>
      </c>
      <c r="H98" s="302">
        <v>0</v>
      </c>
      <c r="I98" s="257">
        <f t="shared" si="4"/>
        <v>0.44028</v>
      </c>
      <c r="M98" s="243" t="s">
        <v>149</v>
      </c>
      <c r="N98" s="243">
        <v>1</v>
      </c>
      <c r="O98" s="243">
        <v>937</v>
      </c>
      <c r="P98" s="243">
        <v>1</v>
      </c>
      <c r="Q98" s="243">
        <v>0</v>
      </c>
      <c r="R98" s="243">
        <v>937</v>
      </c>
      <c r="S98" s="243">
        <v>1.24078394</v>
      </c>
      <c r="T98" s="336">
        <v>1162.6099999999999</v>
      </c>
      <c r="U98" s="337">
        <v>0.44028</v>
      </c>
      <c r="V98" s="243">
        <v>511.87</v>
      </c>
      <c r="W98" s="336">
        <v>1674.48</v>
      </c>
    </row>
    <row r="99" spans="1:23" ht="13.5" customHeight="1" thickBot="1">
      <c r="A99" s="213">
        <v>43070</v>
      </c>
      <c r="B99" s="213"/>
      <c r="C99" s="214">
        <v>937</v>
      </c>
      <c r="D99" s="213">
        <v>43070</v>
      </c>
      <c r="E99" s="215"/>
      <c r="F99" s="216"/>
      <c r="G99" s="243">
        <f t="shared" si="3"/>
        <v>1.2368261</v>
      </c>
      <c r="H99" s="302">
        <v>0</v>
      </c>
      <c r="I99" s="257">
        <f t="shared" si="4"/>
        <v>0.43600699999999998</v>
      </c>
      <c r="M99" s="243" t="s">
        <v>150</v>
      </c>
      <c r="N99" s="243">
        <v>1</v>
      </c>
      <c r="O99" s="243">
        <v>937</v>
      </c>
      <c r="P99" s="243">
        <v>1</v>
      </c>
      <c r="Q99" s="243">
        <v>0</v>
      </c>
      <c r="R99" s="243">
        <v>937</v>
      </c>
      <c r="S99" s="243">
        <v>1.2368261</v>
      </c>
      <c r="T99" s="336">
        <v>1158.9000000000001</v>
      </c>
      <c r="U99" s="337">
        <v>0.43600699999999998</v>
      </c>
      <c r="V99" s="243">
        <v>505.28</v>
      </c>
      <c r="W99" s="336">
        <v>1664.18</v>
      </c>
    </row>
    <row r="100" spans="1:23" ht="13.5" customHeight="1" thickBot="1">
      <c r="A100" s="213">
        <v>43101</v>
      </c>
      <c r="B100" s="213"/>
      <c r="C100" s="214">
        <v>954</v>
      </c>
      <c r="D100" s="213">
        <v>43101</v>
      </c>
      <c r="E100" s="215"/>
      <c r="F100" s="216"/>
      <c r="G100" s="243">
        <f t="shared" si="3"/>
        <v>1.2325123099999999</v>
      </c>
      <c r="H100" s="302">
        <v>0</v>
      </c>
      <c r="I100" s="257">
        <f t="shared" si="4"/>
        <v>0.43173400000000001</v>
      </c>
      <c r="M100" s="243" t="s">
        <v>151</v>
      </c>
      <c r="N100" s="243">
        <v>1.0206999999999999</v>
      </c>
      <c r="O100" s="243">
        <v>954</v>
      </c>
      <c r="P100" s="243">
        <v>1</v>
      </c>
      <c r="Q100" s="243">
        <v>0</v>
      </c>
      <c r="R100" s="243">
        <v>954</v>
      </c>
      <c r="S100" s="243">
        <v>1.2325123099999999</v>
      </c>
      <c r="T100" s="336">
        <v>1175.81</v>
      </c>
      <c r="U100" s="337">
        <v>0.43173400000000001</v>
      </c>
      <c r="V100" s="243">
        <v>507.63</v>
      </c>
      <c r="W100" s="336">
        <v>1683.44</v>
      </c>
    </row>
    <row r="101" spans="1:23" ht="13.5" customHeight="1" thickBot="1">
      <c r="A101" s="213">
        <v>43132</v>
      </c>
      <c r="B101" s="213"/>
      <c r="C101" s="214">
        <v>954</v>
      </c>
      <c r="D101" s="213">
        <v>43132</v>
      </c>
      <c r="E101" s="215"/>
      <c r="F101" s="216"/>
      <c r="G101" s="243">
        <f t="shared" si="3"/>
        <v>1.2277241800000001</v>
      </c>
      <c r="H101" s="302">
        <v>0</v>
      </c>
      <c r="I101" s="257">
        <f t="shared" si="4"/>
        <v>0.42774000000000001</v>
      </c>
      <c r="M101" s="243" t="s">
        <v>152</v>
      </c>
      <c r="N101" s="243">
        <v>1</v>
      </c>
      <c r="O101" s="243">
        <v>954</v>
      </c>
      <c r="P101" s="243">
        <v>1</v>
      </c>
      <c r="Q101" s="243">
        <v>0</v>
      </c>
      <c r="R101" s="243">
        <v>954</v>
      </c>
      <c r="S101" s="243">
        <v>1.2277241800000001</v>
      </c>
      <c r="T101" s="336">
        <v>1171.24</v>
      </c>
      <c r="U101" s="337">
        <v>0.42774000000000001</v>
      </c>
      <c r="V101" s="243">
        <v>500.98</v>
      </c>
      <c r="W101" s="336">
        <v>1672.22</v>
      </c>
    </row>
    <row r="102" spans="1:23" ht="13.5" customHeight="1" thickBot="1">
      <c r="A102" s="213">
        <v>43160</v>
      </c>
      <c r="B102" s="213"/>
      <c r="C102" s="214">
        <v>954</v>
      </c>
      <c r="D102" s="213">
        <v>43160</v>
      </c>
      <c r="E102" s="215"/>
      <c r="F102" s="216"/>
      <c r="G102" s="243">
        <f t="shared" si="3"/>
        <v>1.22307649</v>
      </c>
      <c r="H102" s="302">
        <v>0</v>
      </c>
      <c r="I102" s="257">
        <f t="shared" si="4"/>
        <v>0.42374600000000001</v>
      </c>
      <c r="M102" s="243" t="s">
        <v>153</v>
      </c>
      <c r="N102" s="243">
        <v>1</v>
      </c>
      <c r="O102" s="243">
        <v>954</v>
      </c>
      <c r="P102" s="243">
        <v>1</v>
      </c>
      <c r="Q102" s="243">
        <v>0</v>
      </c>
      <c r="R102" s="243">
        <v>954</v>
      </c>
      <c r="S102" s="243">
        <v>1.22307649</v>
      </c>
      <c r="T102" s="336">
        <v>1166.81</v>
      </c>
      <c r="U102" s="337">
        <v>0.42374600000000001</v>
      </c>
      <c r="V102" s="243">
        <v>494.43</v>
      </c>
      <c r="W102" s="336">
        <v>1661.24</v>
      </c>
    </row>
    <row r="103" spans="1:23" ht="13.5" customHeight="1" thickBot="1">
      <c r="A103" s="213">
        <v>43191</v>
      </c>
      <c r="B103" s="213"/>
      <c r="C103" s="214">
        <v>954</v>
      </c>
      <c r="D103" s="213">
        <v>43191</v>
      </c>
      <c r="E103" s="215"/>
      <c r="F103" s="216"/>
      <c r="G103" s="243">
        <f t="shared" si="3"/>
        <v>1.2218546400000001</v>
      </c>
      <c r="H103" s="302">
        <v>0</v>
      </c>
      <c r="I103" s="257">
        <f t="shared" si="4"/>
        <v>0.41989100000000001</v>
      </c>
      <c r="M103" s="243" t="s">
        <v>154</v>
      </c>
      <c r="N103" s="243">
        <v>1</v>
      </c>
      <c r="O103" s="243">
        <v>954</v>
      </c>
      <c r="P103" s="243">
        <v>1</v>
      </c>
      <c r="Q103" s="243">
        <v>0</v>
      </c>
      <c r="R103" s="243">
        <v>954</v>
      </c>
      <c r="S103" s="243">
        <v>1.2218546400000001</v>
      </c>
      <c r="T103" s="336">
        <v>1165.6500000000001</v>
      </c>
      <c r="U103" s="337">
        <v>0.41989100000000001</v>
      </c>
      <c r="V103" s="243">
        <v>489.44</v>
      </c>
      <c r="W103" s="336">
        <v>1655.09</v>
      </c>
    </row>
    <row r="104" spans="1:23" ht="13.5" customHeight="1" thickBot="1">
      <c r="A104" s="213">
        <v>43221</v>
      </c>
      <c r="B104" s="213"/>
      <c r="C104" s="214">
        <v>954</v>
      </c>
      <c r="D104" s="213">
        <v>43221</v>
      </c>
      <c r="E104" s="215"/>
      <c r="F104" s="216"/>
      <c r="G104" s="243">
        <f t="shared" si="3"/>
        <v>1.21929412</v>
      </c>
      <c r="H104" s="302">
        <v>0</v>
      </c>
      <c r="I104" s="257">
        <f t="shared" si="4"/>
        <v>0.41617599999999999</v>
      </c>
      <c r="M104" s="243" t="s">
        <v>155</v>
      </c>
      <c r="N104" s="243">
        <v>1</v>
      </c>
      <c r="O104" s="243">
        <v>954</v>
      </c>
      <c r="P104" s="243">
        <v>1</v>
      </c>
      <c r="Q104" s="243">
        <v>0</v>
      </c>
      <c r="R104" s="243">
        <v>954</v>
      </c>
      <c r="S104" s="243">
        <v>1.21929412</v>
      </c>
      <c r="T104" s="336">
        <v>1163.2</v>
      </c>
      <c r="U104" s="337">
        <v>0.41617599999999999</v>
      </c>
      <c r="V104" s="243">
        <v>484.09</v>
      </c>
      <c r="W104" s="336">
        <v>1647.29</v>
      </c>
    </row>
    <row r="105" spans="1:23" ht="13.5" customHeight="1" thickBot="1">
      <c r="A105" s="213">
        <v>43252</v>
      </c>
      <c r="B105" s="213"/>
      <c r="C105" s="214">
        <v>954</v>
      </c>
      <c r="D105" s="213">
        <v>43252</v>
      </c>
      <c r="E105" s="215"/>
      <c r="F105" s="216"/>
      <c r="G105" s="243">
        <f t="shared" si="3"/>
        <v>1.2175895000000001</v>
      </c>
      <c r="H105" s="302">
        <v>0</v>
      </c>
      <c r="I105" s="257">
        <f t="shared" si="4"/>
        <v>0.41246100000000002</v>
      </c>
      <c r="M105" s="243" t="s">
        <v>156</v>
      </c>
      <c r="N105" s="243">
        <v>1</v>
      </c>
      <c r="O105" s="243">
        <v>954</v>
      </c>
      <c r="P105" s="243">
        <v>1</v>
      </c>
      <c r="Q105" s="243">
        <v>0</v>
      </c>
      <c r="R105" s="243">
        <v>954</v>
      </c>
      <c r="S105" s="243">
        <v>1.2175895000000001</v>
      </c>
      <c r="T105" s="336">
        <v>1161.58</v>
      </c>
      <c r="U105" s="337">
        <v>0.41246100000000002</v>
      </c>
      <c r="V105" s="243">
        <v>479.1</v>
      </c>
      <c r="W105" s="336">
        <v>1640.68</v>
      </c>
    </row>
    <row r="106" spans="1:23" ht="13.5" customHeight="1" thickBot="1">
      <c r="A106" s="213">
        <v>43282</v>
      </c>
      <c r="B106" s="213"/>
      <c r="C106" s="214">
        <v>954</v>
      </c>
      <c r="D106" s="213">
        <v>43282</v>
      </c>
      <c r="E106" s="215"/>
      <c r="F106" s="216"/>
      <c r="G106" s="243">
        <f t="shared" si="3"/>
        <v>1.2042226199999999</v>
      </c>
      <c r="H106" s="302">
        <v>0</v>
      </c>
      <c r="I106" s="257">
        <f t="shared" si="4"/>
        <v>0.408746</v>
      </c>
      <c r="M106" s="243" t="s">
        <v>157</v>
      </c>
      <c r="N106" s="243">
        <v>1</v>
      </c>
      <c r="O106" s="243">
        <v>954</v>
      </c>
      <c r="P106" s="243">
        <v>1</v>
      </c>
      <c r="Q106" s="243">
        <v>0</v>
      </c>
      <c r="R106" s="243">
        <v>954</v>
      </c>
      <c r="S106" s="243">
        <v>1.2042226199999999</v>
      </c>
      <c r="T106" s="336">
        <v>1148.82</v>
      </c>
      <c r="U106" s="337">
        <v>0.408746</v>
      </c>
      <c r="V106" s="243">
        <v>469.57</v>
      </c>
      <c r="W106" s="336">
        <v>1618.39</v>
      </c>
    </row>
    <row r="107" spans="1:23" ht="13.5" customHeight="1" thickBot="1">
      <c r="A107" s="213">
        <v>43313</v>
      </c>
      <c r="B107" s="213"/>
      <c r="C107" s="214">
        <v>954</v>
      </c>
      <c r="D107" s="213">
        <v>43313</v>
      </c>
      <c r="E107" s="215"/>
      <c r="F107" s="216"/>
      <c r="G107" s="243">
        <f t="shared" si="3"/>
        <v>1.19656461</v>
      </c>
      <c r="H107" s="302">
        <v>0</v>
      </c>
      <c r="I107" s="257">
        <f t="shared" si="4"/>
        <v>0.40503099999999997</v>
      </c>
      <c r="M107" s="243" t="s">
        <v>158</v>
      </c>
      <c r="N107" s="243">
        <v>1</v>
      </c>
      <c r="O107" s="243">
        <v>954</v>
      </c>
      <c r="P107" s="243">
        <v>1</v>
      </c>
      <c r="Q107" s="243">
        <v>0</v>
      </c>
      <c r="R107" s="243">
        <v>954</v>
      </c>
      <c r="S107" s="243">
        <v>1.19656461</v>
      </c>
      <c r="T107" s="336">
        <v>1141.52</v>
      </c>
      <c r="U107" s="337">
        <v>0.40503099999999997</v>
      </c>
      <c r="V107" s="243">
        <v>462.35</v>
      </c>
      <c r="W107" s="336">
        <v>1603.87</v>
      </c>
    </row>
    <row r="108" spans="1:23" ht="13.5" customHeight="1" thickBot="1">
      <c r="A108" s="213">
        <v>43344</v>
      </c>
      <c r="B108" s="213"/>
      <c r="C108" s="214">
        <v>954</v>
      </c>
      <c r="D108" s="213">
        <v>43344</v>
      </c>
      <c r="E108" s="215"/>
      <c r="F108" s="216"/>
      <c r="G108" s="243">
        <f t="shared" si="3"/>
        <v>1.1950111000000001</v>
      </c>
      <c r="H108" s="302">
        <v>0</v>
      </c>
      <c r="I108" s="257">
        <f t="shared" si="4"/>
        <v>0.40131600000000001</v>
      </c>
      <c r="M108" s="243" t="s">
        <v>159</v>
      </c>
      <c r="N108" s="243">
        <v>1</v>
      </c>
      <c r="O108" s="243">
        <v>954</v>
      </c>
      <c r="P108" s="243">
        <v>1</v>
      </c>
      <c r="Q108" s="243">
        <v>0</v>
      </c>
      <c r="R108" s="243">
        <v>954</v>
      </c>
      <c r="S108" s="243">
        <v>1.1950111000000001</v>
      </c>
      <c r="T108" s="336">
        <v>1140.04</v>
      </c>
      <c r="U108" s="337">
        <v>0.40131600000000001</v>
      </c>
      <c r="V108" s="243">
        <v>457.51</v>
      </c>
      <c r="W108" s="336">
        <v>1597.55</v>
      </c>
    </row>
    <row r="109" spans="1:23" ht="13.5" customHeight="1" thickBot="1">
      <c r="A109" s="213">
        <v>43374</v>
      </c>
      <c r="B109" s="213"/>
      <c r="C109" s="214">
        <v>954</v>
      </c>
      <c r="D109" s="213">
        <v>43374</v>
      </c>
      <c r="E109" s="215"/>
      <c r="F109" s="216"/>
      <c r="G109" s="243">
        <f t="shared" si="3"/>
        <v>1.1939365500000001</v>
      </c>
      <c r="H109" s="302">
        <v>0</v>
      </c>
      <c r="I109" s="257">
        <f t="shared" si="4"/>
        <v>0.39760099999999998</v>
      </c>
      <c r="M109" s="243" t="s">
        <v>160</v>
      </c>
      <c r="N109" s="243">
        <v>1</v>
      </c>
      <c r="O109" s="243">
        <v>954</v>
      </c>
      <c r="P109" s="243">
        <v>1</v>
      </c>
      <c r="Q109" s="243">
        <v>0</v>
      </c>
      <c r="R109" s="243">
        <v>954</v>
      </c>
      <c r="S109" s="243">
        <v>1.1939365500000001</v>
      </c>
      <c r="T109" s="336">
        <v>1139.01</v>
      </c>
      <c r="U109" s="337">
        <v>0.39760099999999998</v>
      </c>
      <c r="V109" s="243">
        <v>452.87</v>
      </c>
      <c r="W109" s="336">
        <v>1591.88</v>
      </c>
    </row>
    <row r="110" spans="1:23" ht="13.5" customHeight="1" thickBot="1">
      <c r="A110" s="213">
        <v>43405</v>
      </c>
      <c r="B110" s="213"/>
      <c r="C110" s="214">
        <v>954</v>
      </c>
      <c r="D110" s="213">
        <v>43405</v>
      </c>
      <c r="E110" s="215"/>
      <c r="F110" s="216"/>
      <c r="G110" s="243">
        <f t="shared" si="3"/>
        <v>1.1870516499999999</v>
      </c>
      <c r="H110" s="302">
        <v>0</v>
      </c>
      <c r="I110" s="257">
        <f t="shared" si="4"/>
        <v>0.39388600000000001</v>
      </c>
      <c r="M110" s="243" t="s">
        <v>161</v>
      </c>
      <c r="N110" s="243">
        <v>1</v>
      </c>
      <c r="O110" s="243">
        <v>954</v>
      </c>
      <c r="P110" s="243">
        <v>1</v>
      </c>
      <c r="Q110" s="243">
        <v>0</v>
      </c>
      <c r="R110" s="243">
        <v>954</v>
      </c>
      <c r="S110" s="243">
        <v>1.1870516499999999</v>
      </c>
      <c r="T110" s="336">
        <v>1132.44</v>
      </c>
      <c r="U110" s="337">
        <v>0.39388600000000001</v>
      </c>
      <c r="V110" s="243">
        <v>446.05</v>
      </c>
      <c r="W110" s="336">
        <v>1578.49</v>
      </c>
    </row>
    <row r="111" spans="1:23" ht="13.5" customHeight="1" thickBot="1">
      <c r="A111" s="213">
        <v>43435</v>
      </c>
      <c r="B111" s="213"/>
      <c r="C111" s="214">
        <v>954</v>
      </c>
      <c r="D111" s="213">
        <v>43435</v>
      </c>
      <c r="E111" s="215"/>
      <c r="F111" s="216"/>
      <c r="G111" s="243">
        <f t="shared" si="3"/>
        <v>1.18480053</v>
      </c>
      <c r="H111" s="302">
        <v>0</v>
      </c>
      <c r="I111" s="257">
        <f t="shared" si="4"/>
        <v>0.39017099999999999</v>
      </c>
      <c r="M111" s="243" t="s">
        <v>162</v>
      </c>
      <c r="N111" s="243">
        <v>1</v>
      </c>
      <c r="O111" s="243">
        <v>954</v>
      </c>
      <c r="P111" s="243">
        <v>1</v>
      </c>
      <c r="Q111" s="243">
        <v>0</v>
      </c>
      <c r="R111" s="243">
        <v>954</v>
      </c>
      <c r="S111" s="243">
        <v>1.18480053</v>
      </c>
      <c r="T111" s="336">
        <v>1130.3</v>
      </c>
      <c r="U111" s="337">
        <v>0.39017099999999999</v>
      </c>
      <c r="V111" s="243">
        <v>441.01</v>
      </c>
      <c r="W111" s="336">
        <v>1571.31</v>
      </c>
    </row>
    <row r="112" spans="1:23" ht="13.5" customHeight="1" thickBot="1">
      <c r="A112" s="213">
        <v>43466</v>
      </c>
      <c r="B112" s="213"/>
      <c r="C112" s="214">
        <v>998</v>
      </c>
      <c r="D112" s="213">
        <v>43466</v>
      </c>
      <c r="E112" s="215"/>
      <c r="F112" s="216"/>
      <c r="G112" s="243">
        <f t="shared" si="3"/>
        <v>1.18669925</v>
      </c>
      <c r="H112" s="302">
        <v>0</v>
      </c>
      <c r="I112" s="257">
        <f t="shared" si="4"/>
        <v>0.38645600000000002</v>
      </c>
      <c r="M112" s="243" t="s">
        <v>163</v>
      </c>
      <c r="N112" s="243">
        <v>1.0343</v>
      </c>
      <c r="O112" s="243">
        <v>998</v>
      </c>
      <c r="P112" s="243">
        <v>1</v>
      </c>
      <c r="Q112" s="243">
        <v>0</v>
      </c>
      <c r="R112" s="243">
        <v>998</v>
      </c>
      <c r="S112" s="243">
        <v>1.18669925</v>
      </c>
      <c r="T112" s="336">
        <v>1184.32</v>
      </c>
      <c r="U112" s="337">
        <v>0.38645600000000002</v>
      </c>
      <c r="V112" s="243">
        <v>457.68</v>
      </c>
      <c r="W112" s="336">
        <v>1642</v>
      </c>
    </row>
    <row r="113" spans="1:23" ht="13.5" customHeight="1" thickBot="1">
      <c r="A113" s="213">
        <v>43497</v>
      </c>
      <c r="B113" s="213"/>
      <c r="C113" s="214">
        <v>998</v>
      </c>
      <c r="D113" s="213">
        <v>43497</v>
      </c>
      <c r="E113" s="215"/>
      <c r="F113" s="216"/>
      <c r="G113" s="243">
        <f t="shared" si="3"/>
        <v>1.1831498</v>
      </c>
      <c r="H113" s="302">
        <v>0</v>
      </c>
      <c r="I113" s="257">
        <f t="shared" si="4"/>
        <v>0.382741</v>
      </c>
      <c r="M113" s="243" t="s">
        <v>164</v>
      </c>
      <c r="N113" s="243">
        <v>1</v>
      </c>
      <c r="O113" s="243">
        <v>998</v>
      </c>
      <c r="P113" s="243">
        <v>1</v>
      </c>
      <c r="Q113" s="243">
        <v>0</v>
      </c>
      <c r="R113" s="243">
        <v>998</v>
      </c>
      <c r="S113" s="243">
        <v>1.1831498</v>
      </c>
      <c r="T113" s="336">
        <v>1180.78</v>
      </c>
      <c r="U113" s="337">
        <v>0.382741</v>
      </c>
      <c r="V113" s="243">
        <v>451.93</v>
      </c>
      <c r="W113" s="336">
        <v>1632.71</v>
      </c>
    </row>
    <row r="114" spans="1:23" ht="13.5" customHeight="1" thickBot="1">
      <c r="A114" s="213">
        <v>43525</v>
      </c>
      <c r="B114" s="213"/>
      <c r="C114" s="214">
        <v>998</v>
      </c>
      <c r="D114" s="213">
        <v>43525</v>
      </c>
      <c r="E114" s="215"/>
      <c r="F114" s="216"/>
      <c r="G114" s="243">
        <f t="shared" si="3"/>
        <v>1.1791407199999999</v>
      </c>
      <c r="H114" s="302">
        <v>0</v>
      </c>
      <c r="I114" s="257">
        <f t="shared" si="4"/>
        <v>0.37902599999999997</v>
      </c>
      <c r="M114" s="243" t="s">
        <v>165</v>
      </c>
      <c r="N114" s="243">
        <v>1</v>
      </c>
      <c r="O114" s="243">
        <v>998</v>
      </c>
      <c r="P114" s="243">
        <v>1</v>
      </c>
      <c r="Q114" s="243">
        <v>0</v>
      </c>
      <c r="R114" s="243">
        <v>998</v>
      </c>
      <c r="S114" s="243">
        <v>1.1791407199999999</v>
      </c>
      <c r="T114" s="336">
        <v>1176.78</v>
      </c>
      <c r="U114" s="337">
        <v>0.37902599999999997</v>
      </c>
      <c r="V114" s="243">
        <v>446.03</v>
      </c>
      <c r="W114" s="336">
        <v>1622.81</v>
      </c>
    </row>
    <row r="115" spans="1:23" ht="13.5" customHeight="1" thickBot="1">
      <c r="A115" s="213">
        <v>43556</v>
      </c>
      <c r="B115" s="213"/>
      <c r="C115" s="214">
        <v>998</v>
      </c>
      <c r="D115" s="213">
        <v>43556</v>
      </c>
      <c r="E115" s="215"/>
      <c r="F115" s="216"/>
      <c r="G115" s="243">
        <f t="shared" si="3"/>
        <v>1.1728075600000001</v>
      </c>
      <c r="H115" s="302">
        <v>0</v>
      </c>
      <c r="I115" s="257">
        <f t="shared" si="4"/>
        <v>0.37531100000000001</v>
      </c>
      <c r="M115" s="243" t="s">
        <v>166</v>
      </c>
      <c r="N115" s="243">
        <v>1</v>
      </c>
      <c r="O115" s="243">
        <v>998</v>
      </c>
      <c r="P115" s="243">
        <v>1</v>
      </c>
      <c r="Q115" s="243">
        <v>0</v>
      </c>
      <c r="R115" s="243">
        <v>998</v>
      </c>
      <c r="S115" s="243">
        <v>1.1728075600000001</v>
      </c>
      <c r="T115" s="336">
        <v>1170.46</v>
      </c>
      <c r="U115" s="337">
        <v>0.37531100000000001</v>
      </c>
      <c r="V115" s="243">
        <v>439.28</v>
      </c>
      <c r="W115" s="336">
        <v>1609.74</v>
      </c>
    </row>
    <row r="116" spans="1:23" ht="13.5" customHeight="1" thickBot="1">
      <c r="A116" s="213">
        <v>43586</v>
      </c>
      <c r="B116" s="213"/>
      <c r="C116" s="214">
        <v>998</v>
      </c>
      <c r="D116" s="213">
        <v>43586</v>
      </c>
      <c r="E116" s="215"/>
      <c r="F116" s="216"/>
      <c r="G116" s="243">
        <f t="shared" si="3"/>
        <v>1.1644237099999999</v>
      </c>
      <c r="H116" s="302">
        <v>0</v>
      </c>
      <c r="I116" s="257">
        <f t="shared" si="4"/>
        <v>0.37159599999999998</v>
      </c>
      <c r="M116" s="243" t="s">
        <v>167</v>
      </c>
      <c r="N116" s="243">
        <v>1</v>
      </c>
      <c r="O116" s="243">
        <v>998</v>
      </c>
      <c r="P116" s="243">
        <v>1</v>
      </c>
      <c r="Q116" s="243">
        <v>0</v>
      </c>
      <c r="R116" s="243">
        <v>998</v>
      </c>
      <c r="S116" s="243">
        <v>1.1644237099999999</v>
      </c>
      <c r="T116" s="336">
        <v>1162.0899999999999</v>
      </c>
      <c r="U116" s="337">
        <v>0.37159599999999998</v>
      </c>
      <c r="V116" s="243">
        <v>431.82</v>
      </c>
      <c r="W116" s="336">
        <v>1593.91</v>
      </c>
    </row>
    <row r="117" spans="1:23" ht="13.5" customHeight="1" thickBot="1">
      <c r="A117" s="213">
        <v>43617</v>
      </c>
      <c r="B117" s="213"/>
      <c r="C117" s="214">
        <v>998</v>
      </c>
      <c r="D117" s="213">
        <v>43617</v>
      </c>
      <c r="E117" s="215"/>
      <c r="F117" s="216"/>
      <c r="G117" s="243">
        <f t="shared" si="3"/>
        <v>1.1603624400000001</v>
      </c>
      <c r="H117" s="302">
        <v>0</v>
      </c>
      <c r="I117" s="257">
        <f t="shared" si="4"/>
        <v>0.36788100000000001</v>
      </c>
      <c r="M117" s="243" t="s">
        <v>168</v>
      </c>
      <c r="N117" s="243">
        <v>1</v>
      </c>
      <c r="O117" s="243">
        <v>998</v>
      </c>
      <c r="P117" s="243">
        <v>1</v>
      </c>
      <c r="Q117" s="243">
        <v>0</v>
      </c>
      <c r="R117" s="243">
        <v>998</v>
      </c>
      <c r="S117" s="243">
        <v>1.1603624400000001</v>
      </c>
      <c r="T117" s="336">
        <v>1158.04</v>
      </c>
      <c r="U117" s="337">
        <v>0.36788100000000001</v>
      </c>
      <c r="V117" s="243">
        <v>426.02</v>
      </c>
      <c r="W117" s="336">
        <v>1584.06</v>
      </c>
    </row>
    <row r="118" spans="1:23" ht="13.5" customHeight="1" thickBot="1">
      <c r="A118" s="213">
        <v>43647</v>
      </c>
      <c r="B118" s="213"/>
      <c r="C118" s="214">
        <v>998</v>
      </c>
      <c r="D118" s="213">
        <v>43647</v>
      </c>
      <c r="E118" s="215"/>
      <c r="F118" s="216"/>
      <c r="G118" s="243">
        <f t="shared" si="3"/>
        <v>1.15966664</v>
      </c>
      <c r="H118" s="302">
        <v>0</v>
      </c>
      <c r="I118" s="257">
        <f t="shared" si="4"/>
        <v>0.36416599999999999</v>
      </c>
      <c r="M118" s="243" t="s">
        <v>169</v>
      </c>
      <c r="N118" s="243">
        <v>1</v>
      </c>
      <c r="O118" s="243">
        <v>998</v>
      </c>
      <c r="P118" s="243">
        <v>1</v>
      </c>
      <c r="Q118" s="243">
        <v>0</v>
      </c>
      <c r="R118" s="243">
        <v>998</v>
      </c>
      <c r="S118" s="243">
        <v>1.15966664</v>
      </c>
      <c r="T118" s="336">
        <v>1157.3399999999999</v>
      </c>
      <c r="U118" s="337">
        <v>0.36416599999999999</v>
      </c>
      <c r="V118" s="243">
        <v>421.46</v>
      </c>
      <c r="W118" s="336">
        <v>1578.8</v>
      </c>
    </row>
    <row r="119" spans="1:23" ht="13.5" customHeight="1" thickBot="1">
      <c r="A119" s="213">
        <v>43678</v>
      </c>
      <c r="B119" s="213"/>
      <c r="C119" s="214">
        <v>998</v>
      </c>
      <c r="D119" s="213">
        <v>43678</v>
      </c>
      <c r="E119" s="215"/>
      <c r="F119" s="216"/>
      <c r="G119" s="243">
        <f t="shared" si="3"/>
        <v>1.1586238799999999</v>
      </c>
      <c r="H119" s="302">
        <v>0</v>
      </c>
      <c r="I119" s="257">
        <f t="shared" si="4"/>
        <v>0.36045100000000002</v>
      </c>
      <c r="M119" s="243" t="s">
        <v>170</v>
      </c>
      <c r="N119" s="243">
        <v>1</v>
      </c>
      <c r="O119" s="243">
        <v>998</v>
      </c>
      <c r="P119" s="243">
        <v>1</v>
      </c>
      <c r="Q119" s="243">
        <v>0</v>
      </c>
      <c r="R119" s="243">
        <v>998</v>
      </c>
      <c r="S119" s="243">
        <v>1.1586238799999999</v>
      </c>
      <c r="T119" s="336">
        <v>1156.3</v>
      </c>
      <c r="U119" s="337">
        <v>0.36045100000000002</v>
      </c>
      <c r="V119" s="243">
        <v>416.79</v>
      </c>
      <c r="W119" s="336">
        <v>1573.09</v>
      </c>
    </row>
    <row r="120" spans="1:23" ht="13.5" customHeight="1" thickBot="1">
      <c r="A120" s="213">
        <v>43709</v>
      </c>
      <c r="B120" s="213"/>
      <c r="C120" s="214">
        <v>998</v>
      </c>
      <c r="D120" s="213">
        <v>43709</v>
      </c>
      <c r="E120" s="215"/>
      <c r="F120" s="216"/>
      <c r="G120" s="243">
        <f t="shared" si="3"/>
        <v>1.15769772</v>
      </c>
      <c r="H120" s="302">
        <v>0</v>
      </c>
      <c r="I120" s="257">
        <f t="shared" si="4"/>
        <v>0.35701699999999997</v>
      </c>
      <c r="M120" s="243" t="s">
        <v>171</v>
      </c>
      <c r="N120" s="243">
        <v>1</v>
      </c>
      <c r="O120" s="243">
        <v>998</v>
      </c>
      <c r="P120" s="243">
        <v>1</v>
      </c>
      <c r="Q120" s="243">
        <v>0</v>
      </c>
      <c r="R120" s="243">
        <v>998</v>
      </c>
      <c r="S120" s="243">
        <v>1.15769772</v>
      </c>
      <c r="T120" s="336">
        <v>1155.3800000000001</v>
      </c>
      <c r="U120" s="337">
        <v>0.35701699999999997</v>
      </c>
      <c r="V120" s="243">
        <v>412.49</v>
      </c>
      <c r="W120" s="336">
        <v>1567.87</v>
      </c>
    </row>
    <row r="121" spans="1:23" ht="13.5" customHeight="1" thickBot="1">
      <c r="A121" s="213">
        <v>43739</v>
      </c>
      <c r="B121" s="213"/>
      <c r="C121" s="214">
        <v>998</v>
      </c>
      <c r="D121" s="213">
        <v>43739</v>
      </c>
      <c r="E121" s="215"/>
      <c r="F121" s="216"/>
      <c r="G121" s="243">
        <f t="shared" si="3"/>
        <v>1.1566567299999999</v>
      </c>
      <c r="H121" s="302">
        <v>0</v>
      </c>
      <c r="I121" s="257">
        <f t="shared" si="4"/>
        <v>0.35358299999999998</v>
      </c>
      <c r="M121" s="243" t="s">
        <v>172</v>
      </c>
      <c r="N121" s="243">
        <v>1</v>
      </c>
      <c r="O121" s="243">
        <v>998</v>
      </c>
      <c r="P121" s="243">
        <v>1</v>
      </c>
      <c r="Q121" s="243">
        <v>0</v>
      </c>
      <c r="R121" s="243">
        <v>998</v>
      </c>
      <c r="S121" s="243">
        <v>1.1566567299999999</v>
      </c>
      <c r="T121" s="336">
        <v>1154.3399999999999</v>
      </c>
      <c r="U121" s="337">
        <v>0.35358299999999998</v>
      </c>
      <c r="V121" s="243">
        <v>408.15</v>
      </c>
      <c r="W121" s="336">
        <v>1562.49</v>
      </c>
    </row>
    <row r="122" spans="1:23" ht="13.5" customHeight="1" thickBot="1">
      <c r="A122" s="213">
        <v>43770</v>
      </c>
      <c r="B122" s="213"/>
      <c r="C122" s="214">
        <v>998</v>
      </c>
      <c r="D122" s="213">
        <v>43770</v>
      </c>
      <c r="E122" s="215"/>
      <c r="F122" s="216"/>
      <c r="G122" s="243">
        <f t="shared" si="3"/>
        <v>1.1556166800000001</v>
      </c>
      <c r="H122" s="302">
        <v>0</v>
      </c>
      <c r="I122" s="257">
        <f t="shared" si="4"/>
        <v>0.35043000000000002</v>
      </c>
      <c r="M122" s="243" t="s">
        <v>173</v>
      </c>
      <c r="N122" s="243">
        <v>1</v>
      </c>
      <c r="O122" s="243">
        <v>998</v>
      </c>
      <c r="P122" s="243">
        <v>1</v>
      </c>
      <c r="Q122" s="243">
        <v>0</v>
      </c>
      <c r="R122" s="243">
        <v>998</v>
      </c>
      <c r="S122" s="243">
        <v>1.1556166800000001</v>
      </c>
      <c r="T122" s="336">
        <v>1153.3</v>
      </c>
      <c r="U122" s="337">
        <v>0.35043000000000002</v>
      </c>
      <c r="V122" s="243">
        <v>404.15</v>
      </c>
      <c r="W122" s="336">
        <v>1557.45</v>
      </c>
    </row>
    <row r="123" spans="1:23" ht="13.5" customHeight="1" thickBot="1">
      <c r="A123" s="213">
        <v>43800</v>
      </c>
      <c r="B123" s="213"/>
      <c r="C123" s="214">
        <v>998</v>
      </c>
      <c r="D123" s="213">
        <v>43800</v>
      </c>
      <c r="E123" s="215"/>
      <c r="F123" s="216"/>
      <c r="G123" s="243">
        <f t="shared" si="3"/>
        <v>1.15400108</v>
      </c>
      <c r="H123" s="302">
        <v>0</v>
      </c>
      <c r="I123" s="257">
        <f t="shared" si="4"/>
        <v>0.34755900000000001</v>
      </c>
      <c r="M123" s="243" t="s">
        <v>174</v>
      </c>
      <c r="N123" s="243">
        <v>1</v>
      </c>
      <c r="O123" s="243">
        <v>998</v>
      </c>
      <c r="P123" s="243">
        <v>1</v>
      </c>
      <c r="Q123" s="243">
        <v>0</v>
      </c>
      <c r="R123" s="243">
        <v>998</v>
      </c>
      <c r="S123" s="243">
        <v>1.15400108</v>
      </c>
      <c r="T123" s="336">
        <v>1151.69</v>
      </c>
      <c r="U123" s="337">
        <v>0.34755900000000001</v>
      </c>
      <c r="V123" s="243">
        <v>400.28</v>
      </c>
      <c r="W123" s="336">
        <v>1551.97</v>
      </c>
    </row>
    <row r="124" spans="1:23" ht="13.5" customHeight="1" thickBot="1">
      <c r="A124" s="213">
        <v>43831</v>
      </c>
      <c r="B124" s="213"/>
      <c r="C124" s="214">
        <v>1039</v>
      </c>
      <c r="D124" s="213">
        <v>43831</v>
      </c>
      <c r="E124" s="215"/>
      <c r="F124" s="216"/>
      <c r="G124" s="243">
        <f t="shared" si="3"/>
        <v>1.1420099699999999</v>
      </c>
      <c r="H124" s="302">
        <v>0</v>
      </c>
      <c r="I124" s="257">
        <f t="shared" si="4"/>
        <v>0.34468799999999999</v>
      </c>
      <c r="M124" s="243" t="s">
        <v>175</v>
      </c>
      <c r="N124" s="243">
        <v>1.0448</v>
      </c>
      <c r="O124" s="336">
        <v>1039</v>
      </c>
      <c r="P124" s="243">
        <v>1</v>
      </c>
      <c r="Q124" s="243">
        <v>0</v>
      </c>
      <c r="R124" s="336">
        <v>1039</v>
      </c>
      <c r="S124" s="243">
        <v>1.1420099699999999</v>
      </c>
      <c r="T124" s="336">
        <v>1186.54</v>
      </c>
      <c r="U124" s="337">
        <v>0.34468799999999999</v>
      </c>
      <c r="V124" s="243">
        <v>408.98</v>
      </c>
      <c r="W124" s="336">
        <v>1595.52</v>
      </c>
    </row>
    <row r="125" spans="1:23" ht="13.5" customHeight="1" thickBot="1">
      <c r="A125" s="213">
        <v>43862</v>
      </c>
      <c r="B125" s="213"/>
      <c r="C125" s="214">
        <v>1045</v>
      </c>
      <c r="D125" s="213">
        <v>43862</v>
      </c>
      <c r="E125" s="215"/>
      <c r="F125" s="216"/>
      <c r="G125" s="243">
        <f t="shared" si="3"/>
        <v>1.1339588599999999</v>
      </c>
      <c r="H125" s="302">
        <v>0</v>
      </c>
      <c r="I125" s="257">
        <f t="shared" si="4"/>
        <v>0.34210000000000002</v>
      </c>
      <c r="M125" s="243" t="s">
        <v>176</v>
      </c>
      <c r="N125" s="243">
        <v>1</v>
      </c>
      <c r="O125" s="336">
        <v>1045</v>
      </c>
      <c r="P125" s="243">
        <v>1</v>
      </c>
      <c r="Q125" s="243">
        <v>0</v>
      </c>
      <c r="R125" s="336">
        <v>1045</v>
      </c>
      <c r="S125" s="243">
        <v>1.1339588599999999</v>
      </c>
      <c r="T125" s="336">
        <v>1184.98</v>
      </c>
      <c r="U125" s="337">
        <v>0.34210000000000002</v>
      </c>
      <c r="V125" s="243">
        <v>405.38</v>
      </c>
      <c r="W125" s="336">
        <v>1590.36</v>
      </c>
    </row>
    <row r="126" spans="1:23" ht="13.5" customHeight="1" thickBot="1">
      <c r="A126" s="213">
        <v>43891</v>
      </c>
      <c r="B126" s="213"/>
      <c r="C126" s="214">
        <v>1045</v>
      </c>
      <c r="D126" s="213">
        <v>43891</v>
      </c>
      <c r="E126" s="215"/>
      <c r="F126" s="216"/>
      <c r="G126" s="243">
        <f t="shared" si="3"/>
        <v>1.13146963</v>
      </c>
      <c r="H126" s="302">
        <v>0</v>
      </c>
      <c r="I126" s="257">
        <f t="shared" si="4"/>
        <v>0.33951199999999998</v>
      </c>
      <c r="M126" s="243" t="s">
        <v>177</v>
      </c>
      <c r="N126" s="243">
        <v>1</v>
      </c>
      <c r="O126" s="336">
        <v>1045</v>
      </c>
      <c r="P126" s="243">
        <v>1</v>
      </c>
      <c r="Q126" s="243">
        <v>0</v>
      </c>
      <c r="R126" s="336">
        <v>1045</v>
      </c>
      <c r="S126" s="243">
        <v>1.13146963</v>
      </c>
      <c r="T126" s="336">
        <v>1182.3800000000001</v>
      </c>
      <c r="U126" s="337">
        <v>0.33951199999999998</v>
      </c>
      <c r="V126" s="243">
        <v>401.43</v>
      </c>
      <c r="W126" s="336">
        <v>1583.81</v>
      </c>
    </row>
    <row r="127" spans="1:23" ht="13.5" customHeight="1" thickBot="1">
      <c r="A127" s="213">
        <v>43922</v>
      </c>
      <c r="B127" s="213"/>
      <c r="C127" s="214">
        <v>1045</v>
      </c>
      <c r="D127" s="213">
        <v>43922</v>
      </c>
      <c r="E127" s="215"/>
      <c r="F127" s="216"/>
      <c r="G127" s="243">
        <f t="shared" si="3"/>
        <v>1.1312433799999999</v>
      </c>
      <c r="H127" s="302">
        <v>0</v>
      </c>
      <c r="I127" s="257">
        <f t="shared" si="4"/>
        <v>0.33706599999999998</v>
      </c>
      <c r="M127" s="243" t="s">
        <v>178</v>
      </c>
      <c r="N127" s="243">
        <v>1</v>
      </c>
      <c r="O127" s="336">
        <v>1045</v>
      </c>
      <c r="P127" s="243">
        <v>1</v>
      </c>
      <c r="Q127" s="243">
        <v>0</v>
      </c>
      <c r="R127" s="336">
        <v>1045</v>
      </c>
      <c r="S127" s="243">
        <v>1.1312433799999999</v>
      </c>
      <c r="T127" s="336">
        <v>1182.1500000000001</v>
      </c>
      <c r="U127" s="337">
        <v>0.33706599999999998</v>
      </c>
      <c r="V127" s="243">
        <v>398.46</v>
      </c>
      <c r="W127" s="336">
        <v>1580.61</v>
      </c>
    </row>
    <row r="128" spans="1:23" ht="13.5" customHeight="1" thickBot="1">
      <c r="A128" s="213">
        <v>43952</v>
      </c>
      <c r="B128" s="213"/>
      <c r="C128" s="214">
        <v>1045</v>
      </c>
      <c r="D128" s="213">
        <v>43952</v>
      </c>
      <c r="E128" s="215"/>
      <c r="F128" s="216"/>
      <c r="G128" s="243">
        <f t="shared" si="3"/>
        <v>1.13135652</v>
      </c>
      <c r="H128" s="302">
        <v>0</v>
      </c>
      <c r="I128" s="257">
        <f t="shared" si="4"/>
        <v>0.33490399999999998</v>
      </c>
      <c r="M128" s="243" t="s">
        <v>179</v>
      </c>
      <c r="N128" s="243">
        <v>1</v>
      </c>
      <c r="O128" s="336">
        <v>1045</v>
      </c>
      <c r="P128" s="243">
        <v>1</v>
      </c>
      <c r="Q128" s="243">
        <v>0</v>
      </c>
      <c r="R128" s="336">
        <v>1045</v>
      </c>
      <c r="S128" s="243">
        <v>1.13135652</v>
      </c>
      <c r="T128" s="336">
        <v>1182.26</v>
      </c>
      <c r="U128" s="337">
        <v>0.33490399999999998</v>
      </c>
      <c r="V128" s="243">
        <v>395.94</v>
      </c>
      <c r="W128" s="336">
        <v>1578.2</v>
      </c>
    </row>
    <row r="129" spans="1:23" ht="13.5" customHeight="1" thickBot="1">
      <c r="A129" s="213">
        <v>43983</v>
      </c>
      <c r="B129" s="213"/>
      <c r="C129" s="214">
        <v>1045</v>
      </c>
      <c r="D129" s="213">
        <v>43983</v>
      </c>
      <c r="E129" s="215"/>
      <c r="F129" s="216"/>
      <c r="G129" s="243">
        <f t="shared" si="3"/>
        <v>1.1380711400000001</v>
      </c>
      <c r="H129" s="302">
        <v>0</v>
      </c>
      <c r="I129" s="257">
        <f t="shared" si="4"/>
        <v>0.33274199999999998</v>
      </c>
      <c r="M129" s="243" t="s">
        <v>180</v>
      </c>
      <c r="N129" s="243">
        <v>1</v>
      </c>
      <c r="O129" s="336">
        <v>1045</v>
      </c>
      <c r="P129" s="243">
        <v>1</v>
      </c>
      <c r="Q129" s="243">
        <v>0</v>
      </c>
      <c r="R129" s="336">
        <v>1045</v>
      </c>
      <c r="S129" s="243">
        <v>1.1380711400000001</v>
      </c>
      <c r="T129" s="336">
        <v>1189.28</v>
      </c>
      <c r="U129" s="337">
        <v>0.33274199999999998</v>
      </c>
      <c r="V129" s="243">
        <v>395.72</v>
      </c>
      <c r="W129" s="336">
        <v>1585</v>
      </c>
    </row>
    <row r="130" spans="1:23" ht="13.5" customHeight="1" thickBot="1">
      <c r="A130" s="213">
        <v>44013</v>
      </c>
      <c r="B130" s="213"/>
      <c r="C130" s="214">
        <v>1045</v>
      </c>
      <c r="D130" s="213">
        <v>44013</v>
      </c>
      <c r="E130" s="215"/>
      <c r="F130" s="216"/>
      <c r="G130" s="243">
        <f t="shared" si="3"/>
        <v>1.13784357</v>
      </c>
      <c r="H130" s="302">
        <v>0</v>
      </c>
      <c r="I130" s="257">
        <f t="shared" si="4"/>
        <v>0.331009</v>
      </c>
      <c r="M130" s="243" t="s">
        <v>181</v>
      </c>
      <c r="N130" s="243">
        <v>1</v>
      </c>
      <c r="O130" s="336">
        <v>1045</v>
      </c>
      <c r="P130" s="243">
        <v>1</v>
      </c>
      <c r="Q130" s="243">
        <v>0</v>
      </c>
      <c r="R130" s="336">
        <v>1045</v>
      </c>
      <c r="S130" s="243">
        <v>1.13784357</v>
      </c>
      <c r="T130" s="336">
        <v>1189.04</v>
      </c>
      <c r="U130" s="337">
        <v>0.331009</v>
      </c>
      <c r="V130" s="243">
        <v>393.58</v>
      </c>
      <c r="W130" s="336">
        <v>1582.62</v>
      </c>
    </row>
    <row r="131" spans="1:23" ht="13.5" customHeight="1" thickBot="1">
      <c r="A131" s="213">
        <v>44044</v>
      </c>
      <c r="B131" s="213"/>
      <c r="C131" s="214">
        <v>1045</v>
      </c>
      <c r="D131" s="213">
        <v>44044</v>
      </c>
      <c r="E131" s="215"/>
      <c r="F131" s="216"/>
      <c r="G131" s="243">
        <f t="shared" si="3"/>
        <v>1.1344402499999999</v>
      </c>
      <c r="H131" s="302">
        <v>0</v>
      </c>
      <c r="I131" s="257">
        <f t="shared" si="4"/>
        <v>0.329706</v>
      </c>
      <c r="M131" s="243" t="s">
        <v>182</v>
      </c>
      <c r="N131" s="243">
        <v>1</v>
      </c>
      <c r="O131" s="336">
        <v>1045</v>
      </c>
      <c r="P131" s="243">
        <v>1</v>
      </c>
      <c r="Q131" s="243">
        <v>0</v>
      </c>
      <c r="R131" s="336">
        <v>1045</v>
      </c>
      <c r="S131" s="243">
        <v>1.1344402499999999</v>
      </c>
      <c r="T131" s="336">
        <v>1185.49</v>
      </c>
      <c r="U131" s="337">
        <v>0.329706</v>
      </c>
      <c r="V131" s="243">
        <v>390.86</v>
      </c>
      <c r="W131" s="336">
        <v>1576.35</v>
      </c>
    </row>
    <row r="132" spans="1:23" ht="13.5" customHeight="1" thickBot="1">
      <c r="A132" s="213">
        <v>44075</v>
      </c>
      <c r="B132" s="213"/>
      <c r="C132" s="214">
        <v>1045</v>
      </c>
      <c r="D132" s="213">
        <v>44075</v>
      </c>
      <c r="E132" s="215"/>
      <c r="F132" s="216"/>
      <c r="G132" s="243">
        <f t="shared" si="3"/>
        <v>1.1318370200000001</v>
      </c>
      <c r="H132" s="302">
        <v>0</v>
      </c>
      <c r="I132" s="257">
        <f t="shared" si="4"/>
        <v>0.328403</v>
      </c>
      <c r="M132" s="243" t="s">
        <v>183</v>
      </c>
      <c r="N132" s="243">
        <v>1</v>
      </c>
      <c r="O132" s="336">
        <v>1045</v>
      </c>
      <c r="P132" s="243">
        <v>1</v>
      </c>
      <c r="Q132" s="243">
        <v>0</v>
      </c>
      <c r="R132" s="336">
        <v>1045</v>
      </c>
      <c r="S132" s="243">
        <v>1.1318370200000001</v>
      </c>
      <c r="T132" s="336">
        <v>1182.77</v>
      </c>
      <c r="U132" s="337">
        <v>0.328403</v>
      </c>
      <c r="V132" s="243">
        <v>388.42</v>
      </c>
      <c r="W132" s="336">
        <v>1571.19</v>
      </c>
    </row>
    <row r="133" spans="1:23" ht="13.5" customHeight="1" thickBot="1">
      <c r="A133" s="213">
        <v>44105</v>
      </c>
      <c r="B133" s="213"/>
      <c r="C133" s="214">
        <v>1045</v>
      </c>
      <c r="D133" s="213">
        <v>44105</v>
      </c>
      <c r="E133" s="215"/>
      <c r="F133" s="216"/>
      <c r="G133" s="243">
        <f t="shared" ref="G133:G172" si="5">S133</f>
        <v>1.12676657</v>
      </c>
      <c r="H133" s="302">
        <v>0</v>
      </c>
      <c r="I133" s="257">
        <f t="shared" si="4"/>
        <v>0.32724399999999998</v>
      </c>
      <c r="M133" s="243" t="s">
        <v>184</v>
      </c>
      <c r="N133" s="243">
        <v>1</v>
      </c>
      <c r="O133" s="336">
        <v>1045</v>
      </c>
      <c r="P133" s="243">
        <v>1</v>
      </c>
      <c r="Q133" s="243">
        <v>0</v>
      </c>
      <c r="R133" s="336">
        <v>1045</v>
      </c>
      <c r="S133" s="243">
        <v>1.12676657</v>
      </c>
      <c r="T133" s="336">
        <v>1177.47</v>
      </c>
      <c r="U133" s="337">
        <v>0.32724399999999998</v>
      </c>
      <c r="V133" s="243">
        <v>385.32</v>
      </c>
      <c r="W133" s="336">
        <v>1562.79</v>
      </c>
    </row>
    <row r="134" spans="1:23" ht="13.5" customHeight="1" thickBot="1">
      <c r="A134" s="213">
        <v>44136</v>
      </c>
      <c r="B134" s="213"/>
      <c r="C134" s="214">
        <v>1045</v>
      </c>
      <c r="D134" s="213">
        <v>44136</v>
      </c>
      <c r="E134" s="215"/>
      <c r="F134" s="216"/>
      <c r="G134" s="243">
        <f t="shared" si="5"/>
        <v>1.1162736</v>
      </c>
      <c r="H134" s="302">
        <v>0</v>
      </c>
      <c r="I134" s="257">
        <f t="shared" si="4"/>
        <v>0.32608500000000001</v>
      </c>
      <c r="M134" s="243" t="s">
        <v>185</v>
      </c>
      <c r="N134" s="243">
        <v>1</v>
      </c>
      <c r="O134" s="336">
        <v>1045</v>
      </c>
      <c r="P134" s="243">
        <v>1</v>
      </c>
      <c r="Q134" s="243">
        <v>0</v>
      </c>
      <c r="R134" s="336">
        <v>1045</v>
      </c>
      <c r="S134" s="243">
        <v>1.1162736</v>
      </c>
      <c r="T134" s="336">
        <v>1166.5</v>
      </c>
      <c r="U134" s="337">
        <v>0.32608500000000001</v>
      </c>
      <c r="V134" s="243">
        <v>380.37</v>
      </c>
      <c r="W134" s="336">
        <v>1546.87</v>
      </c>
    </row>
    <row r="135" spans="1:23" ht="13.5" customHeight="1" thickBot="1">
      <c r="A135" s="213">
        <v>44166</v>
      </c>
      <c r="B135" s="213"/>
      <c r="C135" s="214">
        <v>1045</v>
      </c>
      <c r="D135" s="213">
        <v>44166</v>
      </c>
      <c r="E135" s="215"/>
      <c r="F135" s="216"/>
      <c r="G135" s="243">
        <f t="shared" si="5"/>
        <v>1.1073044400000001</v>
      </c>
      <c r="H135" s="302">
        <v>0</v>
      </c>
      <c r="I135" s="257">
        <f t="shared" si="4"/>
        <v>0.32492599999999999</v>
      </c>
      <c r="M135" s="243" t="s">
        <v>186</v>
      </c>
      <c r="N135" s="243">
        <v>1</v>
      </c>
      <c r="O135" s="336">
        <v>1045</v>
      </c>
      <c r="P135" s="243">
        <v>1</v>
      </c>
      <c r="Q135" s="243">
        <v>0</v>
      </c>
      <c r="R135" s="336">
        <v>1045</v>
      </c>
      <c r="S135" s="243">
        <v>1.1073044400000001</v>
      </c>
      <c r="T135" s="336">
        <v>1157.1300000000001</v>
      </c>
      <c r="U135" s="337">
        <v>0.32492599999999999</v>
      </c>
      <c r="V135" s="243">
        <v>375.98</v>
      </c>
      <c r="W135" s="336">
        <v>1533.11</v>
      </c>
    </row>
    <row r="136" spans="1:23" ht="13.5" customHeight="1" thickBot="1">
      <c r="A136" s="213">
        <v>44197</v>
      </c>
      <c r="B136" s="213"/>
      <c r="C136" s="214">
        <v>1100</v>
      </c>
      <c r="D136" s="213">
        <v>44197</v>
      </c>
      <c r="E136" s="215"/>
      <c r="F136" s="216"/>
      <c r="G136" s="243">
        <f t="shared" si="5"/>
        <v>1.09569012</v>
      </c>
      <c r="H136" s="302">
        <v>0</v>
      </c>
      <c r="I136" s="257">
        <f t="shared" si="4"/>
        <v>0.32376700000000003</v>
      </c>
      <c r="M136" s="243" t="s">
        <v>187</v>
      </c>
      <c r="N136" s="243">
        <v>1.0545</v>
      </c>
      <c r="O136" s="336">
        <v>1100</v>
      </c>
      <c r="P136" s="243">
        <v>1</v>
      </c>
      <c r="Q136" s="243">
        <v>0</v>
      </c>
      <c r="R136" s="336">
        <v>1100</v>
      </c>
      <c r="S136" s="243">
        <v>1.09569012</v>
      </c>
      <c r="T136" s="336">
        <v>1205.26</v>
      </c>
      <c r="U136" s="337">
        <v>0.32376700000000003</v>
      </c>
      <c r="V136" s="243">
        <v>390.22</v>
      </c>
      <c r="W136" s="336">
        <v>1595.48</v>
      </c>
    </row>
    <row r="137" spans="1:23" ht="13.5" customHeight="1" thickBot="1">
      <c r="A137" s="213">
        <v>44228</v>
      </c>
      <c r="B137" s="213"/>
      <c r="C137" s="214">
        <v>1100</v>
      </c>
      <c r="D137" s="213">
        <v>44228</v>
      </c>
      <c r="E137" s="215"/>
      <c r="F137" s="216"/>
      <c r="G137" s="243">
        <f t="shared" si="5"/>
        <v>1.0872098800000001</v>
      </c>
      <c r="H137" s="302">
        <v>0</v>
      </c>
      <c r="I137" s="257">
        <f t="shared" si="4"/>
        <v>0.32260800000000001</v>
      </c>
      <c r="M137" s="243" t="s">
        <v>188</v>
      </c>
      <c r="N137" s="243">
        <v>1</v>
      </c>
      <c r="O137" s="336">
        <v>1100</v>
      </c>
      <c r="P137" s="243">
        <v>1</v>
      </c>
      <c r="Q137" s="243">
        <v>0</v>
      </c>
      <c r="R137" s="336">
        <v>1100</v>
      </c>
      <c r="S137" s="243">
        <v>1.0872098800000001</v>
      </c>
      <c r="T137" s="336">
        <v>1195.93</v>
      </c>
      <c r="U137" s="337">
        <v>0.32260800000000001</v>
      </c>
      <c r="V137" s="243">
        <v>385.81</v>
      </c>
      <c r="W137" s="336">
        <v>1581.74</v>
      </c>
    </row>
    <row r="138" spans="1:23" ht="13.5" customHeight="1" thickBot="1">
      <c r="A138" s="213">
        <v>44256</v>
      </c>
      <c r="B138" s="213"/>
      <c r="C138" s="214">
        <v>1100</v>
      </c>
      <c r="D138" s="213">
        <v>44256</v>
      </c>
      <c r="E138" s="215"/>
      <c r="F138" s="216"/>
      <c r="G138" s="243">
        <f t="shared" si="5"/>
        <v>1.0820162099999999</v>
      </c>
      <c r="H138" s="302">
        <v>0</v>
      </c>
      <c r="I138" s="257">
        <f t="shared" si="4"/>
        <v>0.32144899999999998</v>
      </c>
      <c r="M138" s="243" t="s">
        <v>189</v>
      </c>
      <c r="N138" s="243">
        <v>1</v>
      </c>
      <c r="O138" s="336">
        <v>1100</v>
      </c>
      <c r="P138" s="243">
        <v>1</v>
      </c>
      <c r="Q138" s="243">
        <v>0</v>
      </c>
      <c r="R138" s="336">
        <v>1100</v>
      </c>
      <c r="S138" s="243">
        <v>1.0820162099999999</v>
      </c>
      <c r="T138" s="336">
        <v>1190.21</v>
      </c>
      <c r="U138" s="337">
        <v>0.32144899999999998</v>
      </c>
      <c r="V138" s="243">
        <v>382.59</v>
      </c>
      <c r="W138" s="336">
        <v>1572.8</v>
      </c>
    </row>
    <row r="139" spans="1:23" ht="13.5" customHeight="1" thickBot="1">
      <c r="A139" s="213">
        <v>44287</v>
      </c>
      <c r="B139" s="213"/>
      <c r="C139" s="214">
        <v>1100</v>
      </c>
      <c r="D139" s="213">
        <v>44287</v>
      </c>
      <c r="E139" s="215"/>
      <c r="F139" s="216"/>
      <c r="G139" s="243">
        <f t="shared" si="5"/>
        <v>1.0720461800000001</v>
      </c>
      <c r="H139" s="302">
        <v>0</v>
      </c>
      <c r="I139" s="257">
        <f t="shared" si="4"/>
        <v>0.32029000000000002</v>
      </c>
      <c r="M139" s="243" t="s">
        <v>190</v>
      </c>
      <c r="N139" s="243">
        <v>1</v>
      </c>
      <c r="O139" s="336">
        <v>1100</v>
      </c>
      <c r="P139" s="243">
        <v>1</v>
      </c>
      <c r="Q139" s="243">
        <v>0</v>
      </c>
      <c r="R139" s="336">
        <v>1100</v>
      </c>
      <c r="S139" s="243">
        <v>1.0720461800000001</v>
      </c>
      <c r="T139" s="336">
        <v>1179.25</v>
      </c>
      <c r="U139" s="337">
        <v>0.32029000000000002</v>
      </c>
      <c r="V139" s="243">
        <v>377.7</v>
      </c>
      <c r="W139" s="336">
        <v>1556.95</v>
      </c>
    </row>
    <row r="140" spans="1:23" ht="13.5" customHeight="1" thickBot="1">
      <c r="A140" s="213">
        <v>44317</v>
      </c>
      <c r="B140" s="213"/>
      <c r="C140" s="214">
        <v>1100</v>
      </c>
      <c r="D140" s="213">
        <v>44317</v>
      </c>
      <c r="E140" s="215"/>
      <c r="F140" s="216"/>
      <c r="G140" s="243">
        <f t="shared" si="5"/>
        <v>1.06565226</v>
      </c>
      <c r="H140" s="302">
        <v>0</v>
      </c>
      <c r="I140" s="257">
        <f t="shared" si="4"/>
        <v>0.31869999999999998</v>
      </c>
      <c r="M140" s="243" t="s">
        <v>191</v>
      </c>
      <c r="N140" s="243">
        <v>1</v>
      </c>
      <c r="O140" s="336">
        <v>1100</v>
      </c>
      <c r="P140" s="243">
        <v>1</v>
      </c>
      <c r="Q140" s="243">
        <v>0</v>
      </c>
      <c r="R140" s="336">
        <v>1100</v>
      </c>
      <c r="S140" s="243">
        <v>1.06565226</v>
      </c>
      <c r="T140" s="336">
        <v>1172.21</v>
      </c>
      <c r="U140" s="337">
        <v>0.31869999999999998</v>
      </c>
      <c r="V140" s="243">
        <v>373.58</v>
      </c>
      <c r="W140" s="336">
        <v>1545.79</v>
      </c>
    </row>
    <row r="141" spans="1:23" ht="13.5" customHeight="1" thickBot="1">
      <c r="A141" s="213">
        <v>44348</v>
      </c>
      <c r="B141" s="213"/>
      <c r="C141" s="214">
        <v>1100</v>
      </c>
      <c r="D141" s="213">
        <v>44348</v>
      </c>
      <c r="E141" s="215"/>
      <c r="F141" s="216"/>
      <c r="G141" s="243">
        <f t="shared" si="5"/>
        <v>1.0609839299999999</v>
      </c>
      <c r="H141" s="302">
        <v>0</v>
      </c>
      <c r="I141" s="257">
        <f t="shared" si="4"/>
        <v>0.31711</v>
      </c>
      <c r="M141" s="243" t="s">
        <v>192</v>
      </c>
      <c r="N141" s="243">
        <v>1</v>
      </c>
      <c r="O141" s="336">
        <v>1100</v>
      </c>
      <c r="P141" s="243">
        <v>1</v>
      </c>
      <c r="Q141" s="243">
        <v>0</v>
      </c>
      <c r="R141" s="336">
        <v>1100</v>
      </c>
      <c r="S141" s="243">
        <v>1.0609839299999999</v>
      </c>
      <c r="T141" s="336">
        <v>1167.08</v>
      </c>
      <c r="U141" s="337">
        <v>0.31711</v>
      </c>
      <c r="V141" s="243">
        <v>370.09</v>
      </c>
      <c r="W141" s="336">
        <v>1537.17</v>
      </c>
    </row>
    <row r="142" spans="1:23" ht="13.5" customHeight="1" thickBot="1">
      <c r="A142" s="213">
        <v>44378</v>
      </c>
      <c r="B142" s="213"/>
      <c r="C142" s="214">
        <v>1100</v>
      </c>
      <c r="D142" s="213">
        <v>44378</v>
      </c>
      <c r="E142" s="215"/>
      <c r="F142" s="216"/>
      <c r="G142" s="243">
        <f t="shared" si="5"/>
        <v>1.0522502600000001</v>
      </c>
      <c r="H142" s="302">
        <v>0</v>
      </c>
      <c r="I142" s="257">
        <f t="shared" si="4"/>
        <v>0.31509100000000001</v>
      </c>
      <c r="M142" s="243" t="s">
        <v>193</v>
      </c>
      <c r="N142" s="243">
        <v>1</v>
      </c>
      <c r="O142" s="336">
        <v>1100</v>
      </c>
      <c r="P142" s="243">
        <v>1</v>
      </c>
      <c r="Q142" s="243">
        <v>0</v>
      </c>
      <c r="R142" s="336">
        <v>1100</v>
      </c>
      <c r="S142" s="243">
        <v>1.0522502600000001</v>
      </c>
      <c r="T142" s="336">
        <v>1157.47</v>
      </c>
      <c r="U142" s="337">
        <v>0.31509100000000001</v>
      </c>
      <c r="V142" s="243">
        <v>364.7</v>
      </c>
      <c r="W142" s="336">
        <v>1522.17</v>
      </c>
    </row>
    <row r="143" spans="1:23" ht="13.5" customHeight="1" thickBot="1">
      <c r="A143" s="213">
        <v>44409</v>
      </c>
      <c r="B143" s="213"/>
      <c r="C143" s="214">
        <v>1100</v>
      </c>
      <c r="D143" s="213">
        <v>44409</v>
      </c>
      <c r="E143" s="215"/>
      <c r="F143" s="216"/>
      <c r="G143" s="243">
        <f t="shared" si="5"/>
        <v>1.0447282099999999</v>
      </c>
      <c r="H143" s="302">
        <v>0</v>
      </c>
      <c r="I143" s="257">
        <f t="shared" si="4"/>
        <v>0.31264500000000001</v>
      </c>
      <c r="M143" s="243" t="s">
        <v>194</v>
      </c>
      <c r="N143" s="243">
        <v>1</v>
      </c>
      <c r="O143" s="336">
        <v>1100</v>
      </c>
      <c r="P143" s="243">
        <v>1</v>
      </c>
      <c r="Q143" s="243">
        <v>0</v>
      </c>
      <c r="R143" s="336">
        <v>1100</v>
      </c>
      <c r="S143" s="243">
        <v>1.0447282099999999</v>
      </c>
      <c r="T143" s="336">
        <v>1149.2</v>
      </c>
      <c r="U143" s="337">
        <v>0.31264500000000001</v>
      </c>
      <c r="V143" s="243">
        <v>359.29</v>
      </c>
      <c r="W143" s="336">
        <v>1508.49</v>
      </c>
    </row>
    <row r="144" spans="1:23" ht="13.5" customHeight="1" thickBot="1">
      <c r="A144" s="213">
        <v>44440</v>
      </c>
      <c r="B144" s="213"/>
      <c r="C144" s="214">
        <v>1100</v>
      </c>
      <c r="D144" s="213">
        <v>44440</v>
      </c>
      <c r="E144" s="215"/>
      <c r="F144" s="216"/>
      <c r="G144" s="243">
        <f t="shared" si="5"/>
        <v>1.0355121599999999</v>
      </c>
      <c r="H144" s="302">
        <v>0</v>
      </c>
      <c r="I144" s="257">
        <f t="shared" ref="I144:I171" si="6">U144</f>
        <v>0.310199</v>
      </c>
      <c r="M144" s="243" t="s">
        <v>195</v>
      </c>
      <c r="N144" s="243">
        <v>1</v>
      </c>
      <c r="O144" s="336">
        <v>1100</v>
      </c>
      <c r="P144" s="243">
        <v>1</v>
      </c>
      <c r="Q144" s="243">
        <v>0</v>
      </c>
      <c r="R144" s="336">
        <v>1100</v>
      </c>
      <c r="S144" s="243">
        <v>1.0355121599999999</v>
      </c>
      <c r="T144" s="336">
        <v>1139.06</v>
      </c>
      <c r="U144" s="337">
        <v>0.310199</v>
      </c>
      <c r="V144" s="243">
        <v>353.33</v>
      </c>
      <c r="W144" s="336">
        <v>1492.39</v>
      </c>
    </row>
    <row r="145" spans="1:23" ht="13.5" customHeight="1" thickBot="1">
      <c r="A145" s="213">
        <v>44470</v>
      </c>
      <c r="B145" s="213"/>
      <c r="C145" s="214">
        <v>1100</v>
      </c>
      <c r="D145" s="213">
        <v>44470</v>
      </c>
      <c r="E145" s="215"/>
      <c r="F145" s="216"/>
      <c r="G145" s="243">
        <f t="shared" si="5"/>
        <v>1.02384038</v>
      </c>
      <c r="H145" s="302">
        <v>0</v>
      </c>
      <c r="I145" s="257">
        <f t="shared" si="6"/>
        <v>0.30718699999999999</v>
      </c>
      <c r="M145" s="243" t="s">
        <v>196</v>
      </c>
      <c r="N145" s="243">
        <v>1</v>
      </c>
      <c r="O145" s="336">
        <v>1100</v>
      </c>
      <c r="P145" s="243">
        <v>1</v>
      </c>
      <c r="Q145" s="243">
        <v>0</v>
      </c>
      <c r="R145" s="336">
        <v>1100</v>
      </c>
      <c r="S145" s="243">
        <v>1.02384038</v>
      </c>
      <c r="T145" s="336">
        <v>1126.22</v>
      </c>
      <c r="U145" s="337">
        <v>0.30718699999999999</v>
      </c>
      <c r="V145" s="243">
        <v>345.96</v>
      </c>
      <c r="W145" s="336">
        <v>1472.18</v>
      </c>
    </row>
    <row r="146" spans="1:23" ht="13.5" customHeight="1" thickBot="1">
      <c r="A146" s="213">
        <v>44501</v>
      </c>
      <c r="B146" s="213"/>
      <c r="C146" s="214">
        <v>1100</v>
      </c>
      <c r="D146" s="213">
        <v>44501</v>
      </c>
      <c r="E146" s="215"/>
      <c r="F146" s="216"/>
      <c r="G146" s="243">
        <f t="shared" si="5"/>
        <v>1.0116999799999999</v>
      </c>
      <c r="H146" s="302">
        <v>0</v>
      </c>
      <c r="I146" s="257">
        <f t="shared" si="6"/>
        <v>0.30361199999999999</v>
      </c>
      <c r="M146" s="243" t="s">
        <v>197</v>
      </c>
      <c r="N146" s="243">
        <v>1</v>
      </c>
      <c r="O146" s="336">
        <v>1100</v>
      </c>
      <c r="P146" s="243">
        <v>1</v>
      </c>
      <c r="Q146" s="243">
        <v>0</v>
      </c>
      <c r="R146" s="336">
        <v>1100</v>
      </c>
      <c r="S146" s="243">
        <v>1.0116999799999999</v>
      </c>
      <c r="T146" s="336">
        <v>1112.8699999999999</v>
      </c>
      <c r="U146" s="337">
        <v>0.30361199999999999</v>
      </c>
      <c r="V146" s="243">
        <v>337.88</v>
      </c>
      <c r="W146" s="336">
        <v>1450.75</v>
      </c>
    </row>
    <row r="147" spans="1:23" ht="13.5" customHeight="1" thickBot="1">
      <c r="A147" s="213">
        <v>44531</v>
      </c>
      <c r="B147" s="213"/>
      <c r="C147" s="214">
        <v>1100</v>
      </c>
      <c r="D147" s="213">
        <v>44531</v>
      </c>
      <c r="E147" s="215"/>
      <c r="F147" s="216"/>
      <c r="G147" s="243">
        <f t="shared" si="5"/>
        <v>0.99999998000000001</v>
      </c>
      <c r="H147" s="302">
        <v>7.7000000000000002E-3</v>
      </c>
      <c r="I147" s="257">
        <f t="shared" si="6"/>
        <v>0.29920000000000002</v>
      </c>
      <c r="M147" s="243" t="s">
        <v>198</v>
      </c>
      <c r="N147" s="243">
        <v>1</v>
      </c>
      <c r="O147" s="336">
        <v>1100</v>
      </c>
      <c r="P147" s="243">
        <v>1</v>
      </c>
      <c r="Q147" s="243">
        <v>0</v>
      </c>
      <c r="R147" s="336">
        <v>1100</v>
      </c>
      <c r="S147" s="243">
        <v>0.99999998000000001</v>
      </c>
      <c r="T147" s="336">
        <v>1100</v>
      </c>
      <c r="U147" s="337">
        <v>0.29920000000000002</v>
      </c>
      <c r="V147" s="243">
        <v>329.12</v>
      </c>
      <c r="W147" s="336">
        <v>1429.12</v>
      </c>
    </row>
    <row r="148" spans="1:23" ht="13.5" customHeight="1" thickBot="1">
      <c r="A148" s="213">
        <v>44562</v>
      </c>
      <c r="B148" s="213"/>
      <c r="C148" s="214">
        <v>1212</v>
      </c>
      <c r="D148" s="213">
        <v>44562</v>
      </c>
      <c r="E148" s="215"/>
      <c r="F148" s="216"/>
      <c r="G148" s="243">
        <f t="shared" si="5"/>
        <v>0.99999998000000001</v>
      </c>
      <c r="H148" s="302">
        <v>7.3000000000000001E-3</v>
      </c>
      <c r="I148" s="257">
        <f t="shared" si="6"/>
        <v>0.29149999999999998</v>
      </c>
      <c r="M148" s="243" t="s">
        <v>199</v>
      </c>
      <c r="N148" s="243">
        <v>1.1015999999999999</v>
      </c>
      <c r="O148" s="336">
        <v>1212</v>
      </c>
      <c r="P148" s="243">
        <v>1</v>
      </c>
      <c r="Q148" s="243">
        <v>0</v>
      </c>
      <c r="R148" s="336">
        <v>1212</v>
      </c>
      <c r="S148" s="243">
        <v>0.99999998000000001</v>
      </c>
      <c r="T148" s="336">
        <v>1212</v>
      </c>
      <c r="U148" s="337">
        <v>0.29149999999999998</v>
      </c>
      <c r="V148" s="243">
        <v>353.29</v>
      </c>
      <c r="W148" s="336">
        <v>1565.29</v>
      </c>
    </row>
    <row r="149" spans="1:23" ht="13.5" customHeight="1" thickBot="1">
      <c r="A149" s="213">
        <v>44593</v>
      </c>
      <c r="B149" s="213"/>
      <c r="C149" s="214">
        <v>1212</v>
      </c>
      <c r="D149" s="213">
        <v>44593</v>
      </c>
      <c r="E149" s="215"/>
      <c r="F149" s="216"/>
      <c r="G149" s="243">
        <f t="shared" si="5"/>
        <v>0.99999998000000001</v>
      </c>
      <c r="H149" s="302">
        <v>7.6E-3</v>
      </c>
      <c r="I149" s="257">
        <f t="shared" si="6"/>
        <v>0.28420000000000001</v>
      </c>
      <c r="M149" s="243" t="s">
        <v>200</v>
      </c>
      <c r="N149" s="243">
        <v>1</v>
      </c>
      <c r="O149" s="336">
        <v>1212</v>
      </c>
      <c r="P149" s="243">
        <v>1</v>
      </c>
      <c r="Q149" s="243">
        <v>0</v>
      </c>
      <c r="R149" s="336">
        <v>1212</v>
      </c>
      <c r="S149" s="243">
        <v>0.99999998000000001</v>
      </c>
      <c r="T149" s="336">
        <v>1212</v>
      </c>
      <c r="U149" s="337">
        <v>0.28420000000000001</v>
      </c>
      <c r="V149" s="243">
        <v>344.45</v>
      </c>
      <c r="W149" s="336">
        <v>1556.45</v>
      </c>
    </row>
    <row r="150" spans="1:23" ht="13.5" customHeight="1" thickBot="1">
      <c r="A150" s="213">
        <v>44621</v>
      </c>
      <c r="B150" s="213"/>
      <c r="C150" s="214">
        <v>1212</v>
      </c>
      <c r="D150" s="213">
        <v>44621</v>
      </c>
      <c r="E150" s="215"/>
      <c r="F150" s="216"/>
      <c r="G150" s="243">
        <f t="shared" si="5"/>
        <v>0.99999998000000001</v>
      </c>
      <c r="H150" s="302">
        <v>9.2999999999999992E-3</v>
      </c>
      <c r="I150" s="257">
        <f t="shared" si="6"/>
        <v>0.27660000000000001</v>
      </c>
      <c r="M150" s="243" t="s">
        <v>201</v>
      </c>
      <c r="N150" s="243">
        <v>1</v>
      </c>
      <c r="O150" s="336">
        <v>1212</v>
      </c>
      <c r="P150" s="243">
        <v>1</v>
      </c>
      <c r="Q150" s="243">
        <v>0</v>
      </c>
      <c r="R150" s="336">
        <v>1212</v>
      </c>
      <c r="S150" s="243">
        <v>0.99999998000000001</v>
      </c>
      <c r="T150" s="336">
        <v>1212</v>
      </c>
      <c r="U150" s="337">
        <v>0.27660000000000001</v>
      </c>
      <c r="V150" s="243">
        <v>335.24</v>
      </c>
      <c r="W150" s="336">
        <v>1547.24</v>
      </c>
    </row>
    <row r="151" spans="1:23" ht="13.5" customHeight="1" thickBot="1">
      <c r="A151" s="213">
        <v>44652</v>
      </c>
      <c r="B151" s="213"/>
      <c r="C151" s="214">
        <v>1212</v>
      </c>
      <c r="D151" s="213">
        <v>44652</v>
      </c>
      <c r="E151" s="215"/>
      <c r="F151" s="216"/>
      <c r="G151" s="243">
        <f t="shared" si="5"/>
        <v>0.99999998000000001</v>
      </c>
      <c r="H151" s="302">
        <v>8.3000000000000001E-3</v>
      </c>
      <c r="I151" s="257">
        <f t="shared" si="6"/>
        <v>0.26729999999999998</v>
      </c>
      <c r="M151" s="243" t="s">
        <v>202</v>
      </c>
      <c r="N151" s="243">
        <v>1</v>
      </c>
      <c r="O151" s="336">
        <v>1212</v>
      </c>
      <c r="P151" s="243">
        <v>1</v>
      </c>
      <c r="Q151" s="243">
        <v>0</v>
      </c>
      <c r="R151" s="336">
        <v>1212</v>
      </c>
      <c r="S151" s="243">
        <v>0.99999998000000001</v>
      </c>
      <c r="T151" s="336">
        <v>1212</v>
      </c>
      <c r="U151" s="337">
        <v>0.26729999999999998</v>
      </c>
      <c r="V151" s="243">
        <v>323.95999999999998</v>
      </c>
      <c r="W151" s="336">
        <v>1535.96</v>
      </c>
    </row>
    <row r="152" spans="1:23" ht="13.5" customHeight="1" thickBot="1">
      <c r="A152" s="213">
        <v>44682</v>
      </c>
      <c r="B152" s="213"/>
      <c r="C152" s="214">
        <v>1212</v>
      </c>
      <c r="D152" s="213">
        <v>44682</v>
      </c>
      <c r="E152" s="215"/>
      <c r="F152" s="216"/>
      <c r="G152" s="243">
        <f t="shared" si="5"/>
        <v>0.99999998000000001</v>
      </c>
      <c r="H152" s="302">
        <v>1.03E-2</v>
      </c>
      <c r="I152" s="257">
        <f t="shared" si="6"/>
        <v>0.25900000000000001</v>
      </c>
      <c r="M152" s="243" t="s">
        <v>203</v>
      </c>
      <c r="N152" s="243">
        <v>1</v>
      </c>
      <c r="O152" s="336">
        <v>1212</v>
      </c>
      <c r="P152" s="243">
        <v>1</v>
      </c>
      <c r="Q152" s="243">
        <v>0</v>
      </c>
      <c r="R152" s="336">
        <v>1212</v>
      </c>
      <c r="S152" s="243">
        <v>0.99999998000000001</v>
      </c>
      <c r="T152" s="336">
        <v>1212</v>
      </c>
      <c r="U152" s="337">
        <v>0.25900000000000001</v>
      </c>
      <c r="V152" s="243">
        <v>313.89999999999998</v>
      </c>
      <c r="W152" s="336">
        <v>1525.9</v>
      </c>
    </row>
    <row r="153" spans="1:23" ht="13.5" customHeight="1" thickBot="1">
      <c r="A153" s="213">
        <v>44713</v>
      </c>
      <c r="B153" s="213"/>
      <c r="C153" s="214">
        <v>1212</v>
      </c>
      <c r="D153" s="213">
        <v>44713</v>
      </c>
      <c r="E153" s="215"/>
      <c r="F153" s="216"/>
      <c r="G153" s="243">
        <f t="shared" si="5"/>
        <v>0.99999998000000001</v>
      </c>
      <c r="H153" s="302">
        <v>1.0200000000000001E-2</v>
      </c>
      <c r="I153" s="257">
        <f t="shared" si="6"/>
        <v>0.2487</v>
      </c>
      <c r="M153" s="243" t="s">
        <v>204</v>
      </c>
      <c r="N153" s="243">
        <v>1</v>
      </c>
      <c r="O153" s="336">
        <v>1212</v>
      </c>
      <c r="P153" s="243">
        <v>1</v>
      </c>
      <c r="Q153" s="243">
        <v>0</v>
      </c>
      <c r="R153" s="336">
        <v>1212</v>
      </c>
      <c r="S153" s="243">
        <v>0.99999998000000001</v>
      </c>
      <c r="T153" s="336">
        <v>1212</v>
      </c>
      <c r="U153" s="337">
        <v>0.2487</v>
      </c>
      <c r="V153" s="243">
        <v>301.42</v>
      </c>
      <c r="W153" s="336">
        <v>1513.42</v>
      </c>
    </row>
    <row r="154" spans="1:23" ht="13.5" customHeight="1" thickBot="1">
      <c r="A154" s="213">
        <v>44743</v>
      </c>
      <c r="B154" s="213"/>
      <c r="C154" s="214">
        <v>1212</v>
      </c>
      <c r="D154" s="213">
        <v>44743</v>
      </c>
      <c r="E154" s="215"/>
      <c r="F154" s="216"/>
      <c r="G154" s="243">
        <f t="shared" si="5"/>
        <v>0.99999998000000001</v>
      </c>
      <c r="H154" s="302">
        <v>1.03E-2</v>
      </c>
      <c r="I154" s="257">
        <f t="shared" si="6"/>
        <v>0.23849999999999999</v>
      </c>
      <c r="M154" s="243" t="s">
        <v>205</v>
      </c>
      <c r="N154" s="243">
        <v>1</v>
      </c>
      <c r="O154" s="336">
        <v>1212</v>
      </c>
      <c r="P154" s="243">
        <v>1</v>
      </c>
      <c r="Q154" s="243">
        <v>0</v>
      </c>
      <c r="R154" s="336">
        <v>1212</v>
      </c>
      <c r="S154" s="243">
        <v>0.99999998000000001</v>
      </c>
      <c r="T154" s="336">
        <v>1212</v>
      </c>
      <c r="U154" s="337">
        <v>0.23849999999999999</v>
      </c>
      <c r="V154" s="243">
        <v>289.06</v>
      </c>
      <c r="W154" s="336">
        <v>1501.06</v>
      </c>
    </row>
    <row r="155" spans="1:23" ht="13.5" customHeight="1" thickBot="1">
      <c r="A155" s="213">
        <v>44774</v>
      </c>
      <c r="B155" s="213"/>
      <c r="C155" s="214">
        <v>1212</v>
      </c>
      <c r="D155" s="213">
        <v>44774</v>
      </c>
      <c r="E155" s="215"/>
      <c r="F155" s="216"/>
      <c r="G155" s="243">
        <f t="shared" si="5"/>
        <v>0.99999998000000001</v>
      </c>
      <c r="H155" s="302">
        <v>1.17E-2</v>
      </c>
      <c r="I155" s="257">
        <f t="shared" si="6"/>
        <v>0.22819999999999999</v>
      </c>
      <c r="M155" s="243" t="s">
        <v>206</v>
      </c>
      <c r="N155" s="243">
        <v>1</v>
      </c>
      <c r="O155" s="336">
        <v>1212</v>
      </c>
      <c r="P155" s="243">
        <v>1</v>
      </c>
      <c r="Q155" s="243">
        <v>0</v>
      </c>
      <c r="R155" s="336">
        <v>1212</v>
      </c>
      <c r="S155" s="243">
        <v>0.99999998000000001</v>
      </c>
      <c r="T155" s="336">
        <v>1212</v>
      </c>
      <c r="U155" s="337">
        <v>0.22819999999999999</v>
      </c>
      <c r="V155" s="243">
        <v>276.57</v>
      </c>
      <c r="W155" s="336">
        <v>1488.57</v>
      </c>
    </row>
    <row r="156" spans="1:23" ht="13.5" customHeight="1" thickBot="1">
      <c r="A156" s="213">
        <v>44805</v>
      </c>
      <c r="B156" s="213"/>
      <c r="C156" s="214">
        <v>1212</v>
      </c>
      <c r="D156" s="213">
        <v>44805</v>
      </c>
      <c r="E156" s="215"/>
      <c r="F156" s="216"/>
      <c r="G156" s="243">
        <f t="shared" si="5"/>
        <v>0.99999998000000001</v>
      </c>
      <c r="H156" s="302">
        <v>1.0699999999999999E-2</v>
      </c>
      <c r="I156" s="257">
        <f t="shared" si="6"/>
        <v>0.2165</v>
      </c>
      <c r="M156" s="243" t="s">
        <v>207</v>
      </c>
      <c r="N156" s="243">
        <v>1</v>
      </c>
      <c r="O156" s="336">
        <v>1212</v>
      </c>
      <c r="P156" s="243">
        <v>1</v>
      </c>
      <c r="Q156" s="243">
        <v>0</v>
      </c>
      <c r="R156" s="336">
        <v>1212</v>
      </c>
      <c r="S156" s="243">
        <v>0.99999998000000001</v>
      </c>
      <c r="T156" s="336">
        <v>1212</v>
      </c>
      <c r="U156" s="337">
        <v>0.2165</v>
      </c>
      <c r="V156" s="243">
        <v>262.39</v>
      </c>
      <c r="W156" s="336">
        <v>1474.39</v>
      </c>
    </row>
    <row r="157" spans="1:23" ht="13.5" customHeight="1" thickBot="1">
      <c r="A157" s="213">
        <v>44835</v>
      </c>
      <c r="B157" s="213"/>
      <c r="C157" s="214">
        <v>1212</v>
      </c>
      <c r="D157" s="213">
        <v>44835</v>
      </c>
      <c r="E157" s="215"/>
      <c r="F157" s="216"/>
      <c r="G157" s="243">
        <f t="shared" si="5"/>
        <v>0.99999998000000001</v>
      </c>
      <c r="H157" s="302">
        <v>1.0200000000000001E-2</v>
      </c>
      <c r="I157" s="257">
        <f t="shared" si="6"/>
        <v>0.20580000000000001</v>
      </c>
      <c r="M157" s="243" t="s">
        <v>208</v>
      </c>
      <c r="N157" s="243">
        <v>1</v>
      </c>
      <c r="O157" s="336">
        <v>1212</v>
      </c>
      <c r="P157" s="243">
        <v>1</v>
      </c>
      <c r="Q157" s="243">
        <v>0</v>
      </c>
      <c r="R157" s="336">
        <v>1212</v>
      </c>
      <c r="S157" s="243">
        <v>0.99999998000000001</v>
      </c>
      <c r="T157" s="336">
        <v>1212</v>
      </c>
      <c r="U157" s="337">
        <v>0.20580000000000001</v>
      </c>
      <c r="V157" s="243">
        <v>249.43</v>
      </c>
      <c r="W157" s="336">
        <v>1461.43</v>
      </c>
    </row>
    <row r="158" spans="1:23" ht="13.5" customHeight="1" thickBot="1">
      <c r="A158" s="213">
        <v>44866</v>
      </c>
      <c r="B158" s="213"/>
      <c r="C158" s="214">
        <v>1212</v>
      </c>
      <c r="D158" s="213">
        <v>44866</v>
      </c>
      <c r="E158" s="215"/>
      <c r="F158" s="216"/>
      <c r="G158" s="243">
        <f t="shared" si="5"/>
        <v>0.99999998000000001</v>
      </c>
      <c r="H158" s="302">
        <v>1.0200000000000001E-2</v>
      </c>
      <c r="I158" s="257">
        <f t="shared" si="6"/>
        <v>0.1956</v>
      </c>
      <c r="M158" s="243" t="s">
        <v>209</v>
      </c>
      <c r="N158" s="243">
        <v>1</v>
      </c>
      <c r="O158" s="336">
        <v>1212</v>
      </c>
      <c r="P158" s="243">
        <v>1</v>
      </c>
      <c r="Q158" s="243">
        <v>0</v>
      </c>
      <c r="R158" s="336">
        <v>1212</v>
      </c>
      <c r="S158" s="243">
        <v>0.99999998000000001</v>
      </c>
      <c r="T158" s="336">
        <v>1212</v>
      </c>
      <c r="U158" s="337">
        <v>0.1956</v>
      </c>
      <c r="V158" s="243">
        <v>237.06</v>
      </c>
      <c r="W158" s="336">
        <v>1449.06</v>
      </c>
    </row>
    <row r="159" spans="1:23" ht="13.5" customHeight="1" thickBot="1">
      <c r="A159" s="213">
        <v>44896</v>
      </c>
      <c r="B159" s="213"/>
      <c r="C159" s="214">
        <v>1212</v>
      </c>
      <c r="D159" s="213">
        <v>44896</v>
      </c>
      <c r="E159" s="215"/>
      <c r="F159" s="216"/>
      <c r="G159" s="243">
        <f t="shared" si="5"/>
        <v>0.99999998000000001</v>
      </c>
      <c r="H159" s="302">
        <v>1.12E-2</v>
      </c>
      <c r="I159" s="257">
        <f t="shared" si="6"/>
        <v>0.18540000000000001</v>
      </c>
      <c r="M159" s="243" t="s">
        <v>210</v>
      </c>
      <c r="N159" s="243">
        <v>1</v>
      </c>
      <c r="O159" s="336">
        <v>1212</v>
      </c>
      <c r="P159" s="243">
        <v>1</v>
      </c>
      <c r="Q159" s="243">
        <v>0</v>
      </c>
      <c r="R159" s="336">
        <v>1212</v>
      </c>
      <c r="S159" s="243">
        <v>0.99999998000000001</v>
      </c>
      <c r="T159" s="336">
        <v>1212</v>
      </c>
      <c r="U159" s="337">
        <v>0.18540000000000001</v>
      </c>
      <c r="V159" s="243">
        <v>224.7</v>
      </c>
      <c r="W159" s="336">
        <v>1436.7</v>
      </c>
    </row>
    <row r="160" spans="1:23" ht="13.5" customHeight="1" thickBot="1">
      <c r="A160" s="213">
        <v>44927</v>
      </c>
      <c r="C160" s="303">
        <f>O160</f>
        <v>1302</v>
      </c>
      <c r="D160" s="213">
        <v>44927</v>
      </c>
      <c r="E160" s="215"/>
      <c r="G160" s="243">
        <f t="shared" si="5"/>
        <v>0.99999998000000001</v>
      </c>
      <c r="H160" s="302">
        <v>1.12E-2</v>
      </c>
      <c r="I160" s="257">
        <f t="shared" si="6"/>
        <v>0.17419999999999999</v>
      </c>
      <c r="M160" s="243" t="s">
        <v>211</v>
      </c>
      <c r="N160" s="243">
        <v>1.0592999999999999</v>
      </c>
      <c r="O160" s="336">
        <v>1302</v>
      </c>
      <c r="P160" s="243">
        <v>1</v>
      </c>
      <c r="Q160" s="243">
        <v>0</v>
      </c>
      <c r="R160" s="336">
        <v>1302</v>
      </c>
      <c r="S160" s="243">
        <v>0.99999998000000001</v>
      </c>
      <c r="T160" s="336">
        <v>1302</v>
      </c>
      <c r="U160" s="337">
        <v>0.17419999999999999</v>
      </c>
      <c r="V160" s="243">
        <v>226.8</v>
      </c>
      <c r="W160" s="336">
        <v>1528.8</v>
      </c>
    </row>
    <row r="161" spans="1:23" ht="13.5" thickBot="1">
      <c r="A161" s="213">
        <v>44958</v>
      </c>
      <c r="C161" s="303">
        <f t="shared" ref="C161:C169" si="7">O161</f>
        <v>1302</v>
      </c>
      <c r="D161" s="213">
        <v>44958</v>
      </c>
      <c r="E161" s="215"/>
      <c r="G161" s="243">
        <f t="shared" si="5"/>
        <v>0.99999998000000001</v>
      </c>
      <c r="H161" s="302">
        <v>9.1999999999999998E-3</v>
      </c>
      <c r="I161" s="257">
        <f t="shared" si="6"/>
        <v>0.16300000000000001</v>
      </c>
      <c r="M161" s="243" t="s">
        <v>212</v>
      </c>
      <c r="N161" s="243">
        <v>1</v>
      </c>
      <c r="O161" s="336">
        <v>1302</v>
      </c>
      <c r="P161" s="243">
        <v>1</v>
      </c>
      <c r="Q161" s="243">
        <v>0</v>
      </c>
      <c r="R161" s="336">
        <v>1302</v>
      </c>
      <c r="S161" s="243">
        <v>0.99999998000000001</v>
      </c>
      <c r="T161" s="336">
        <v>1302</v>
      </c>
      <c r="U161" s="337">
        <v>0.16300000000000001</v>
      </c>
      <c r="V161" s="243">
        <v>212.22</v>
      </c>
      <c r="W161" s="336">
        <v>1514.22</v>
      </c>
    </row>
    <row r="162" spans="1:23" ht="13.5" thickBot="1">
      <c r="A162" s="213">
        <v>44986</v>
      </c>
      <c r="C162" s="303">
        <f t="shared" si="7"/>
        <v>1302</v>
      </c>
      <c r="D162" s="213">
        <v>44986</v>
      </c>
      <c r="E162" s="215"/>
      <c r="G162" s="243">
        <f t="shared" si="5"/>
        <v>0.99999998000000001</v>
      </c>
      <c r="H162" s="302">
        <v>1.17E-2</v>
      </c>
      <c r="I162" s="257">
        <f t="shared" si="6"/>
        <v>0.15379999999999999</v>
      </c>
      <c r="M162" s="243" t="s">
        <v>213</v>
      </c>
      <c r="N162" s="243">
        <v>1</v>
      </c>
      <c r="O162" s="336">
        <v>1302</v>
      </c>
      <c r="P162" s="243">
        <v>1</v>
      </c>
      <c r="Q162" s="243">
        <v>0</v>
      </c>
      <c r="R162" s="336">
        <v>1302</v>
      </c>
      <c r="S162" s="243">
        <v>0.99999998000000001</v>
      </c>
      <c r="T162" s="336">
        <v>1302</v>
      </c>
      <c r="U162" s="337">
        <v>0.15379999999999999</v>
      </c>
      <c r="V162" s="243">
        <v>200.24</v>
      </c>
      <c r="W162" s="336">
        <v>1502.24</v>
      </c>
    </row>
    <row r="163" spans="1:23" ht="13.5" thickBot="1">
      <c r="A163" s="213">
        <v>45017</v>
      </c>
      <c r="C163" s="303">
        <f t="shared" si="7"/>
        <v>1302</v>
      </c>
      <c r="D163" s="213">
        <v>45017</v>
      </c>
      <c r="E163" s="215"/>
      <c r="G163" s="243">
        <f t="shared" si="5"/>
        <v>0.99999998000000001</v>
      </c>
      <c r="H163" s="302">
        <v>9.1999999999999998E-3</v>
      </c>
      <c r="I163" s="257">
        <f t="shared" si="6"/>
        <v>0.1421</v>
      </c>
      <c r="M163" s="243" t="s">
        <v>214</v>
      </c>
      <c r="N163" s="243">
        <v>1</v>
      </c>
      <c r="O163" s="336">
        <v>1302</v>
      </c>
      <c r="P163" s="243">
        <v>1</v>
      </c>
      <c r="Q163" s="243">
        <v>0</v>
      </c>
      <c r="R163" s="336">
        <v>1302</v>
      </c>
      <c r="S163" s="243">
        <v>0.99999998000000001</v>
      </c>
      <c r="T163" s="336">
        <v>1302</v>
      </c>
      <c r="U163" s="337">
        <v>0.1421</v>
      </c>
      <c r="V163" s="243">
        <v>185.01</v>
      </c>
      <c r="W163" s="336">
        <v>1487.01</v>
      </c>
    </row>
    <row r="164" spans="1:23" ht="13.5" thickBot="1">
      <c r="A164" s="213">
        <v>45047</v>
      </c>
      <c r="C164" s="303">
        <f t="shared" si="7"/>
        <v>1320</v>
      </c>
      <c r="D164" s="213">
        <v>45047</v>
      </c>
      <c r="E164" s="215"/>
      <c r="G164" s="243">
        <f t="shared" si="5"/>
        <v>0.99999998000000001</v>
      </c>
      <c r="H164" s="302">
        <v>1.12E-2</v>
      </c>
      <c r="I164" s="257">
        <f t="shared" si="6"/>
        <v>0.13289999999999999</v>
      </c>
      <c r="M164" s="243" t="s">
        <v>215</v>
      </c>
      <c r="N164" s="243">
        <v>1</v>
      </c>
      <c r="O164" s="336">
        <v>1320</v>
      </c>
      <c r="P164" s="243">
        <v>1</v>
      </c>
      <c r="Q164" s="243">
        <v>0</v>
      </c>
      <c r="R164" s="336">
        <v>1320</v>
      </c>
      <c r="S164" s="243">
        <v>0.99999998000000001</v>
      </c>
      <c r="T164" s="336">
        <v>1320</v>
      </c>
      <c r="U164" s="337">
        <v>0.13289999999999999</v>
      </c>
      <c r="V164" s="243">
        <v>175.42</v>
      </c>
      <c r="W164" s="336">
        <v>1495.42</v>
      </c>
    </row>
    <row r="165" spans="1:23" ht="13.5" thickBot="1">
      <c r="A165" s="213">
        <v>45078</v>
      </c>
      <c r="C165" s="303">
        <f t="shared" si="7"/>
        <v>1320</v>
      </c>
      <c r="D165" s="213">
        <v>45078</v>
      </c>
      <c r="E165" s="215"/>
      <c r="G165" s="243">
        <f t="shared" si="5"/>
        <v>0.99999998000000001</v>
      </c>
      <c r="H165" s="302">
        <v>1.0699999999999999E-2</v>
      </c>
      <c r="I165" s="257">
        <f t="shared" si="6"/>
        <v>0.1217</v>
      </c>
      <c r="M165" s="243" t="s">
        <v>216</v>
      </c>
      <c r="N165" s="243">
        <v>1</v>
      </c>
      <c r="O165" s="336">
        <v>1320</v>
      </c>
      <c r="P165" s="243">
        <v>1</v>
      </c>
      <c r="Q165" s="243">
        <v>0</v>
      </c>
      <c r="R165" s="336">
        <v>1320</v>
      </c>
      <c r="S165" s="243">
        <v>0.99999998000000001</v>
      </c>
      <c r="T165" s="336">
        <v>1320</v>
      </c>
      <c r="U165" s="337">
        <v>0.1217</v>
      </c>
      <c r="V165" s="243">
        <v>160.63999999999999</v>
      </c>
      <c r="W165" s="336">
        <v>1480.64</v>
      </c>
    </row>
    <row r="166" spans="1:23" ht="13.5" thickBot="1">
      <c r="A166" s="213">
        <v>45108</v>
      </c>
      <c r="C166" s="303">
        <f t="shared" si="7"/>
        <v>1320</v>
      </c>
      <c r="D166" s="213">
        <v>45108</v>
      </c>
      <c r="E166" s="215"/>
      <c r="G166" s="243">
        <f t="shared" si="5"/>
        <v>0.99999998000000001</v>
      </c>
      <c r="H166" s="302">
        <v>1.0699999999999999E-2</v>
      </c>
      <c r="I166" s="257">
        <f t="shared" si="6"/>
        <v>0.111</v>
      </c>
      <c r="M166" s="243" t="s">
        <v>219</v>
      </c>
      <c r="N166" s="243">
        <v>1</v>
      </c>
      <c r="O166" s="336">
        <v>1320</v>
      </c>
      <c r="P166" s="243">
        <v>1</v>
      </c>
      <c r="Q166" s="243">
        <v>0</v>
      </c>
      <c r="R166" s="336">
        <v>1320</v>
      </c>
      <c r="S166" s="243">
        <v>0.99999998000000001</v>
      </c>
      <c r="T166" s="336">
        <v>1320</v>
      </c>
      <c r="U166" s="337">
        <v>0.111</v>
      </c>
      <c r="V166" s="243">
        <v>146.52000000000001</v>
      </c>
      <c r="W166" s="336">
        <v>1466.52</v>
      </c>
    </row>
    <row r="167" spans="1:23" ht="13.5" thickBot="1">
      <c r="A167" s="213">
        <v>45139</v>
      </c>
      <c r="C167" s="303">
        <f t="shared" si="7"/>
        <v>1320</v>
      </c>
      <c r="D167" s="213">
        <v>45139</v>
      </c>
      <c r="E167" s="215"/>
      <c r="G167" s="243">
        <f t="shared" si="5"/>
        <v>0.99999998000000001</v>
      </c>
      <c r="H167" s="302">
        <v>1.14E-2</v>
      </c>
      <c r="I167" s="257">
        <f t="shared" si="6"/>
        <v>0.1003</v>
      </c>
      <c r="M167" s="243" t="s">
        <v>220</v>
      </c>
      <c r="N167" s="243">
        <v>1</v>
      </c>
      <c r="O167" s="336">
        <v>1320</v>
      </c>
      <c r="P167" s="243">
        <v>1</v>
      </c>
      <c r="Q167" s="243">
        <v>0</v>
      </c>
      <c r="R167" s="336">
        <v>1320</v>
      </c>
      <c r="S167" s="243">
        <v>0.99999998000000001</v>
      </c>
      <c r="T167" s="336">
        <v>1320</v>
      </c>
      <c r="U167" s="337">
        <v>0.1003</v>
      </c>
      <c r="V167" s="243">
        <v>132.38999999999999</v>
      </c>
      <c r="W167" s="336">
        <v>1452.39</v>
      </c>
    </row>
    <row r="168" spans="1:23" ht="13.5" thickBot="1">
      <c r="A168" s="213">
        <v>45170</v>
      </c>
      <c r="C168" s="303">
        <f t="shared" si="7"/>
        <v>1320</v>
      </c>
      <c r="D168" s="213">
        <v>45170</v>
      </c>
      <c r="E168" s="215"/>
      <c r="G168" s="243">
        <f t="shared" si="5"/>
        <v>0.99999998000000001</v>
      </c>
      <c r="H168" s="302">
        <v>9.7000000000000003E-3</v>
      </c>
      <c r="I168" s="302">
        <f t="shared" si="6"/>
        <v>8.8900000000000007E-2</v>
      </c>
      <c r="M168" s="243" t="s">
        <v>221</v>
      </c>
      <c r="N168" s="243">
        <v>1</v>
      </c>
      <c r="O168" s="336">
        <v>1320</v>
      </c>
      <c r="P168" s="243">
        <v>1</v>
      </c>
      <c r="Q168" s="243">
        <v>0</v>
      </c>
      <c r="R168" s="336">
        <v>1320</v>
      </c>
      <c r="S168" s="243">
        <v>0.99999998000000001</v>
      </c>
      <c r="T168" s="336">
        <v>1320</v>
      </c>
      <c r="U168" s="337">
        <v>8.8900000000000007E-2</v>
      </c>
      <c r="V168" s="243">
        <v>117.34</v>
      </c>
      <c r="W168" s="336">
        <v>1437.34</v>
      </c>
    </row>
    <row r="169" spans="1:23" ht="13.5" thickBot="1">
      <c r="A169" s="213">
        <v>45200</v>
      </c>
      <c r="C169" s="303">
        <f t="shared" si="7"/>
        <v>1320</v>
      </c>
      <c r="D169" s="213">
        <v>45200</v>
      </c>
      <c r="E169" s="215"/>
      <c r="G169" s="243">
        <f t="shared" si="5"/>
        <v>0.99999998000000001</v>
      </c>
      <c r="H169" s="302">
        <v>0.01</v>
      </c>
      <c r="I169" s="302">
        <f t="shared" si="6"/>
        <v>7.9200000000000007E-2</v>
      </c>
      <c r="M169" s="243" t="s">
        <v>222</v>
      </c>
      <c r="N169" s="243">
        <v>1</v>
      </c>
      <c r="O169" s="336">
        <v>1320</v>
      </c>
      <c r="P169" s="243">
        <v>1</v>
      </c>
      <c r="Q169" s="243">
        <v>0</v>
      </c>
      <c r="R169" s="336">
        <v>1320</v>
      </c>
      <c r="S169" s="243">
        <v>0.99999998000000001</v>
      </c>
      <c r="T169" s="336">
        <v>1320</v>
      </c>
      <c r="U169" s="337">
        <v>7.9200000000000007E-2</v>
      </c>
      <c r="V169" s="243">
        <v>104.54</v>
      </c>
      <c r="W169" s="336">
        <v>1424.54</v>
      </c>
    </row>
    <row r="170" spans="1:23" ht="13.5" thickBot="1">
      <c r="A170" s="213">
        <v>45231</v>
      </c>
      <c r="C170" s="303">
        <f>O170</f>
        <v>1320</v>
      </c>
      <c r="D170" s="213">
        <v>45231</v>
      </c>
      <c r="E170" s="215"/>
      <c r="G170" s="243">
        <f t="shared" si="5"/>
        <v>0.99999998000000001</v>
      </c>
      <c r="H170" s="302">
        <v>9.1999999999999998E-3</v>
      </c>
      <c r="I170" s="302">
        <f t="shared" si="6"/>
        <v>6.9199999999999998E-2</v>
      </c>
      <c r="M170" s="243" t="s">
        <v>223</v>
      </c>
      <c r="N170" s="243">
        <v>1</v>
      </c>
      <c r="O170" s="336">
        <v>1320</v>
      </c>
      <c r="P170" s="243">
        <v>1</v>
      </c>
      <c r="Q170" s="243">
        <v>0</v>
      </c>
      <c r="R170" s="336">
        <v>1320</v>
      </c>
      <c r="S170" s="243">
        <v>0.99999998000000001</v>
      </c>
      <c r="T170" s="336">
        <v>1320</v>
      </c>
      <c r="U170" s="337">
        <v>6.9199999999999998E-2</v>
      </c>
      <c r="V170" s="243">
        <v>91.34</v>
      </c>
      <c r="W170" s="336">
        <v>1411.34</v>
      </c>
    </row>
    <row r="171" spans="1:23" ht="13.5" thickBot="1">
      <c r="A171" s="213">
        <v>45261</v>
      </c>
      <c r="C171" s="303">
        <f>O171</f>
        <v>1320</v>
      </c>
      <c r="D171" s="213">
        <v>45261</v>
      </c>
      <c r="E171" s="215"/>
      <c r="G171" s="243">
        <f t="shared" si="5"/>
        <v>0.99999998000000001</v>
      </c>
      <c r="H171" s="302">
        <v>8.8999999999999999E-3</v>
      </c>
      <c r="I171" s="302">
        <f t="shared" si="6"/>
        <v>0.06</v>
      </c>
      <c r="M171" s="243" t="s">
        <v>224</v>
      </c>
      <c r="N171" s="243">
        <v>1</v>
      </c>
      <c r="O171" s="336">
        <v>1320</v>
      </c>
      <c r="P171" s="243">
        <v>1</v>
      </c>
      <c r="Q171" s="243">
        <v>0</v>
      </c>
      <c r="R171" s="336">
        <v>1320</v>
      </c>
      <c r="S171" s="243">
        <v>0.99999998000000001</v>
      </c>
      <c r="T171" s="336">
        <v>1320</v>
      </c>
      <c r="U171" s="337">
        <v>0.06</v>
      </c>
      <c r="V171" s="243">
        <v>79.2</v>
      </c>
      <c r="W171" s="336">
        <v>1399.2</v>
      </c>
    </row>
    <row r="172" spans="1:23" ht="13.5" thickBot="1">
      <c r="A172" s="213">
        <v>45292</v>
      </c>
      <c r="C172" s="303">
        <v>1412</v>
      </c>
      <c r="D172" s="213">
        <v>45292</v>
      </c>
      <c r="G172" s="243">
        <f t="shared" si="5"/>
        <v>0.99999998000000001</v>
      </c>
      <c r="H172" s="302">
        <v>9.7000000000000003E-3</v>
      </c>
      <c r="I172" s="302">
        <f t="shared" ref="I172" si="8">U172</f>
        <v>5.11E-2</v>
      </c>
      <c r="M172" s="243" t="s">
        <v>225</v>
      </c>
      <c r="N172" s="243">
        <v>1.0370999999999999</v>
      </c>
      <c r="O172" s="336">
        <v>1412</v>
      </c>
      <c r="P172" s="243">
        <v>1</v>
      </c>
      <c r="Q172" s="243">
        <v>0</v>
      </c>
      <c r="R172" s="336">
        <v>1412</v>
      </c>
      <c r="S172" s="243">
        <v>0.99999998000000001</v>
      </c>
      <c r="T172" s="336">
        <v>1412</v>
      </c>
      <c r="U172" s="337">
        <v>5.11E-2</v>
      </c>
      <c r="V172" s="243">
        <v>72.150000000000006</v>
      </c>
      <c r="W172" s="336">
        <v>1484.15</v>
      </c>
    </row>
    <row r="173" spans="1:23" ht="13.5" thickBot="1">
      <c r="A173" s="213">
        <v>45323</v>
      </c>
      <c r="C173" s="303">
        <v>1412</v>
      </c>
      <c r="D173" s="213">
        <v>45323</v>
      </c>
      <c r="G173" s="243">
        <f t="shared" ref="G173:G176" si="9">S173</f>
        <v>0.99999998000000001</v>
      </c>
      <c r="H173" s="302">
        <v>8.0000000000000002E-3</v>
      </c>
      <c r="I173" s="302">
        <f t="shared" ref="I173:I176" si="10">U173</f>
        <v>4.1399999999999999E-2</v>
      </c>
      <c r="M173" s="243" t="s">
        <v>240</v>
      </c>
      <c r="N173" s="243">
        <v>1</v>
      </c>
      <c r="O173" s="336">
        <v>1412</v>
      </c>
      <c r="P173" s="243">
        <v>1</v>
      </c>
      <c r="Q173" s="243">
        <v>0</v>
      </c>
      <c r="R173" s="336">
        <v>1412</v>
      </c>
      <c r="S173" s="243">
        <v>0.99999998000000001</v>
      </c>
      <c r="T173" s="336">
        <v>1412</v>
      </c>
      <c r="U173" s="337">
        <v>4.1399999999999999E-2</v>
      </c>
      <c r="V173" s="243">
        <v>58.45</v>
      </c>
      <c r="W173" s="336">
        <v>1470.45</v>
      </c>
    </row>
    <row r="174" spans="1:23" ht="13.5" thickBot="1">
      <c r="A174" s="213">
        <v>45352</v>
      </c>
      <c r="C174" s="303">
        <v>1412</v>
      </c>
      <c r="D174" s="213">
        <v>45352</v>
      </c>
      <c r="G174" s="243">
        <f t="shared" si="9"/>
        <v>0.99999998000000001</v>
      </c>
      <c r="H174" s="417">
        <v>8.3000000000000001E-3</v>
      </c>
      <c r="I174" s="302">
        <f t="shared" si="10"/>
        <v>3.3399999999999999E-2</v>
      </c>
      <c r="M174" s="243" t="s">
        <v>243</v>
      </c>
      <c r="N174" s="243">
        <v>1</v>
      </c>
      <c r="O174" s="336">
        <v>1412</v>
      </c>
      <c r="P174" s="243">
        <v>1</v>
      </c>
      <c r="Q174" s="243">
        <v>0</v>
      </c>
      <c r="R174" s="336">
        <v>1412</v>
      </c>
      <c r="S174" s="243">
        <v>0.99999998000000001</v>
      </c>
      <c r="T174" s="336">
        <v>1412</v>
      </c>
      <c r="U174" s="337">
        <v>3.3399999999999999E-2</v>
      </c>
      <c r="V174" s="243">
        <v>47.16</v>
      </c>
      <c r="W174" s="336">
        <v>1459.16</v>
      </c>
    </row>
    <row r="175" spans="1:23" ht="13.5" thickBot="1">
      <c r="A175" s="213">
        <v>45383</v>
      </c>
      <c r="C175" s="303">
        <v>1412</v>
      </c>
      <c r="D175" s="213">
        <v>45383</v>
      </c>
      <c r="G175" s="243">
        <f t="shared" si="9"/>
        <v>0.99999998000000001</v>
      </c>
      <c r="H175" s="417">
        <v>8.8999999999999999E-3</v>
      </c>
      <c r="I175" s="302">
        <f t="shared" si="10"/>
        <v>2.5100000000000001E-2</v>
      </c>
      <c r="M175" s="243" t="s">
        <v>244</v>
      </c>
      <c r="N175" s="243">
        <v>1</v>
      </c>
      <c r="O175" s="336">
        <v>1412</v>
      </c>
      <c r="P175" s="243">
        <v>1</v>
      </c>
      <c r="Q175" s="243">
        <v>0</v>
      </c>
      <c r="R175" s="336">
        <v>1412</v>
      </c>
      <c r="S175" s="243">
        <v>0.99999998000000001</v>
      </c>
      <c r="T175" s="336">
        <v>1412</v>
      </c>
      <c r="U175" s="337">
        <v>2.5100000000000001E-2</v>
      </c>
      <c r="V175" s="243">
        <v>35.44</v>
      </c>
      <c r="W175" s="336">
        <v>1447.44</v>
      </c>
    </row>
    <row r="176" spans="1:23" ht="13.5" thickBot="1">
      <c r="A176" s="213">
        <v>45413</v>
      </c>
      <c r="C176" s="303">
        <v>1412</v>
      </c>
      <c r="D176" s="213">
        <v>45413</v>
      </c>
      <c r="G176" s="243">
        <f t="shared" si="9"/>
        <v>0.99999998000000001</v>
      </c>
      <c r="H176" s="417">
        <v>8.3000000000000001E-3</v>
      </c>
      <c r="I176" s="302">
        <f t="shared" si="10"/>
        <v>1.6199999999999999E-2</v>
      </c>
      <c r="M176" s="243" t="s">
        <v>245</v>
      </c>
      <c r="N176" s="243">
        <v>1</v>
      </c>
      <c r="O176" s="336">
        <v>1412</v>
      </c>
      <c r="P176" s="243">
        <v>1</v>
      </c>
      <c r="Q176" s="243">
        <v>0</v>
      </c>
      <c r="R176" s="336">
        <v>1412</v>
      </c>
      <c r="S176" s="243">
        <v>0.99999998000000001</v>
      </c>
      <c r="T176" s="336">
        <v>1412</v>
      </c>
      <c r="U176" s="337">
        <v>1.6199999999999999E-2</v>
      </c>
      <c r="V176" s="243">
        <v>22.87</v>
      </c>
      <c r="W176" s="336">
        <v>1434.87</v>
      </c>
    </row>
    <row r="177" spans="1:23" ht="13.5" thickBot="1">
      <c r="A177" s="213">
        <v>45444</v>
      </c>
      <c r="C177" s="303">
        <v>1412</v>
      </c>
      <c r="D177" s="213">
        <v>45444</v>
      </c>
      <c r="G177" s="243">
        <f t="shared" ref="G177" si="11">S177</f>
        <v>0.99999998000000001</v>
      </c>
      <c r="H177" s="417">
        <v>7.9000000000000008E-3</v>
      </c>
      <c r="I177" s="302">
        <f t="shared" ref="I177" si="12">U177</f>
        <v>7.9000000000000008E-3</v>
      </c>
      <c r="M177" s="243" t="s">
        <v>247</v>
      </c>
      <c r="N177" s="243">
        <v>1</v>
      </c>
      <c r="O177" s="336">
        <v>1412</v>
      </c>
      <c r="P177" s="243">
        <v>1</v>
      </c>
      <c r="Q177" s="243">
        <v>0</v>
      </c>
      <c r="R177" s="336">
        <v>1412</v>
      </c>
      <c r="S177" s="243">
        <v>0.99999998000000001</v>
      </c>
      <c r="T177" s="336">
        <v>1412</v>
      </c>
      <c r="U177" s="337">
        <v>7.9000000000000008E-3</v>
      </c>
      <c r="V177" s="243">
        <v>11.15</v>
      </c>
      <c r="W177" s="336">
        <v>1423.15</v>
      </c>
    </row>
    <row r="178" spans="1:23" ht="13.5" thickBot="1">
      <c r="A178" s="213">
        <v>45474</v>
      </c>
      <c r="C178" s="303">
        <v>1412</v>
      </c>
      <c r="N178" s="336">
        <v>156140</v>
      </c>
      <c r="O178" s="336">
        <v>156140</v>
      </c>
      <c r="P178" s="336">
        <v>199682.24</v>
      </c>
      <c r="Q178" s="336">
        <v>85918.87</v>
      </c>
      <c r="R178" s="336">
        <v>285601.11</v>
      </c>
    </row>
    <row r="179" spans="1:23" ht="13.5" thickBot="1">
      <c r="A179" s="213">
        <v>45505</v>
      </c>
      <c r="C179" s="303">
        <v>1412</v>
      </c>
      <c r="W179" s="336">
        <v>1373.19</v>
      </c>
    </row>
    <row r="180" spans="1:23" ht="13.5" thickBot="1">
      <c r="A180" s="213">
        <v>45536</v>
      </c>
      <c r="C180" s="303">
        <v>1412</v>
      </c>
      <c r="W180" s="336">
        <v>1358.14</v>
      </c>
    </row>
    <row r="181" spans="1:23" ht="13.5" thickBot="1">
      <c r="A181" s="213">
        <v>45566</v>
      </c>
      <c r="C181" s="303">
        <v>1412</v>
      </c>
      <c r="W181" s="336">
        <v>1345.34</v>
      </c>
    </row>
    <row r="182" spans="1:23" ht="13.5" thickBot="1">
      <c r="A182" s="213">
        <v>45597</v>
      </c>
      <c r="C182" s="303">
        <v>1412</v>
      </c>
      <c r="W182" s="336">
        <v>1332.14</v>
      </c>
    </row>
    <row r="183" spans="1:23" ht="13.5" thickBot="1">
      <c r="A183" s="213">
        <v>45627</v>
      </c>
      <c r="C183" s="303">
        <v>1412</v>
      </c>
    </row>
  </sheetData>
  <sheetProtection selectLockedCells="1" selectUnlockedCells="1"/>
  <mergeCells count="2">
    <mergeCell ref="A1:C2"/>
    <mergeCell ref="D1:G2"/>
  </mergeCells>
  <phoneticPr fontId="0" type="noConversion"/>
  <pageMargins left="0.25" right="0.25" top="0.75" bottom="0.75" header="0.3" footer="0.3"/>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election activeCell="A4" sqref="A4:K144"/>
    </sheetView>
  </sheetViews>
  <sheetFormatPr defaultRowHeight="12.75"/>
  <sheetData/>
  <phoneticPr fontId="0" type="noConversion"/>
  <pageMargins left="0.78740157499999996" right="0.78740157499999996" top="0.984251969" bottom="0.984251969" header="0.49212598499999999" footer="0.49212598499999999"/>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883E987A696F1B43870FF55E93BDDF64" ma:contentTypeVersion="17" ma:contentTypeDescription="Crie um novo documento." ma:contentTypeScope="" ma:versionID="656a8b84344d8fb671535cd956ecc53a">
  <xsd:schema xmlns:xsd="http://www.w3.org/2001/XMLSchema" xmlns:xs="http://www.w3.org/2001/XMLSchema" xmlns:p="http://schemas.microsoft.com/office/2006/metadata/properties" xmlns:ns2="b5466ef0-9b04-4dfb-b5cd-e64877fd6088" xmlns:ns3="b32c8ddf-1c16-4fd5-adb3-b4b1ddd6be31" targetNamespace="http://schemas.microsoft.com/office/2006/metadata/properties" ma:root="true" ma:fieldsID="b2184e59e727fffac6c2de29e82ee0a5" ns2:_="" ns3:_="">
    <xsd:import namespace="b5466ef0-9b04-4dfb-b5cd-e64877fd6088"/>
    <xsd:import namespace="b32c8ddf-1c16-4fd5-adb3-b4b1ddd6be3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2:MediaServiceGenerationTime" minOccurs="0"/>
                <xsd:element ref="ns2:MediaServiceEventHashCode" minOccurs="0"/>
                <xsd:element ref="ns3:SharedWithUsers" minOccurs="0"/>
                <xsd:element ref="ns3:SharedWithDetails" minOccurs="0"/>
                <xsd:element ref="ns2:ImageMetadataListItemId" minOccurs="0"/>
                <xsd:element ref="ns2:ImageMetadataListFieldId"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466ef0-9b04-4dfb-b5cd-e64877fd60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ImageMetadataListItemId" ma:index="18" nillable="true" ma:displayName="ImageMetadataListItemId" ma:hidden="true" ma:indexed="true" ma:internalName="ImageMetadataListItemId">
      <xsd:simpleType>
        <xsd:restriction base="dms:Unknown"/>
      </xsd:simpleType>
    </xsd:element>
    <xsd:element name="ImageMetadataListFieldId" ma:index="19" nillable="true" ma:displayName="ImageMetadataListFieldId" ma:hidden="true" ma:indexed="true" ma:internalName="ImageMetadataListFieldId">
      <xsd:simpleType>
        <xsd:restriction base="dms:Unknow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959e577-b2f7-4427-8dd6-cea986f8b08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32c8ddf-1c16-4fd5-adb3-b4b1ddd6be31" elementFormDefault="qualified">
    <xsd:import namespace="http://schemas.microsoft.com/office/2006/documentManagement/types"/>
    <xsd:import namespace="http://schemas.microsoft.com/office/infopath/2007/PartnerControls"/>
    <xsd:element name="SharedWithUsers" ma:index="16"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1f61cde7-b546-46b3-b69b-c96bce1dff4e}" ma:internalName="TaxCatchAll" ma:showField="CatchAllData" ma:web="b32c8ddf-1c16-4fd5-adb3-b4b1ddd6be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mageMetadataListFieldId xmlns="b5466ef0-9b04-4dfb-b5cd-e64877fd6088" xsi:nil="true"/>
    <TaxCatchAll xmlns="b32c8ddf-1c16-4fd5-adb3-b4b1ddd6be31" xsi:nil="true"/>
    <ImageMetadataListItemId xmlns="b5466ef0-9b04-4dfb-b5cd-e64877fd6088" xsi:nil="true"/>
    <lcf76f155ced4ddcb4097134ff3c332f xmlns="b5466ef0-9b04-4dfb-b5cd-e64877fd608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17D6A4E-268F-49C6-813E-E013CAD093F9}">
  <ds:schemaRefs>
    <ds:schemaRef ds:uri="http://schemas.microsoft.com/sharepoint/v3/contenttype/forms"/>
  </ds:schemaRefs>
</ds:datastoreItem>
</file>

<file path=customXml/itemProps2.xml><?xml version="1.0" encoding="utf-8"?>
<ds:datastoreItem xmlns:ds="http://schemas.openxmlformats.org/officeDocument/2006/customXml" ds:itemID="{CDBE6300-B27E-4781-8FF7-1909B15B0E56}"/>
</file>

<file path=customXml/itemProps3.xml><?xml version="1.0" encoding="utf-8"?>
<ds:datastoreItem xmlns:ds="http://schemas.openxmlformats.org/officeDocument/2006/customXml" ds:itemID="{3A88F5C5-4070-4B86-A5C3-09255EAA7DA3}">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898462aa-cf35-400b-880c-13db39e3bf10"/>
    <ds:schemaRef ds:uri="2837d8d2-5262-4f52-bfed-d9da58c98c96"/>
    <ds:schemaRef ds:uri="http://purl.org/dc/elements/1.1/"/>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11</vt:i4>
      </vt:variant>
    </vt:vector>
  </HeadingPairs>
  <TitlesOfParts>
    <vt:vector size="26" baseType="lpstr">
      <vt:lpstr>Benef com 13º</vt:lpstr>
      <vt:lpstr>Benef (Com 25%)</vt:lpstr>
      <vt:lpstr>BPC LOAS </vt:lpstr>
      <vt:lpstr>Matern - acordo</vt:lpstr>
      <vt:lpstr>Seg Def - acordo</vt:lpstr>
      <vt:lpstr>Ben 90% E.R.S.E.</vt:lpstr>
      <vt:lpstr>LOAS 90% E.R.S.E.</vt:lpstr>
      <vt:lpstr>Benef 95% E.R.S.E.</vt:lpstr>
      <vt:lpstr>LOAS 95% E.R.S.E.</vt:lpstr>
      <vt:lpstr>Benef 100% E.R.S.E.</vt:lpstr>
      <vt:lpstr>LOAS 100% E.R.S.E.</vt:lpstr>
      <vt:lpstr>Benef Mín análise de execução</vt:lpstr>
      <vt:lpstr>LOAS análise de execução</vt:lpstr>
      <vt:lpstr>base(indices)</vt:lpstr>
      <vt:lpstr>Plan3</vt:lpstr>
      <vt:lpstr>'Benef (Com 25%)'!Area_de_impressao</vt:lpstr>
      <vt:lpstr>'Benef com 13º'!Area_de_impressao</vt:lpstr>
      <vt:lpstr>'Benef Mín análise de execução'!Area_de_impressao</vt:lpstr>
      <vt:lpstr>'LOAS análise de execução'!Area_de_impressao</vt:lpstr>
      <vt:lpstr>'Benef (Com 25%)'!Titulos_de_impressao</vt:lpstr>
      <vt:lpstr>'Benef com 13º'!Titulos_de_impressao</vt:lpstr>
      <vt:lpstr>'Benef Mín análise de execução'!Titulos_de_impressao</vt:lpstr>
      <vt:lpstr>'BPC LOAS '!Titulos_de_impressao</vt:lpstr>
      <vt:lpstr>'LOAS análise de execução'!Titulos_de_impressao</vt:lpstr>
      <vt:lpstr>'Matern - acordo'!Titulos_de_impressao</vt:lpstr>
      <vt:lpstr>'Seg Def - acordo'!Titulos_de_impressao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Marcos Roberto Assis Pereira</dc:creator>
  <cp:keywords/>
  <dc:description/>
  <cp:lastModifiedBy>Marcos Roberto Assis Pereira</cp:lastModifiedBy>
  <cp:revision/>
  <cp:lastPrinted>2024-06-04T14:06:31Z</cp:lastPrinted>
  <dcterms:created xsi:type="dcterms:W3CDTF">2009-11-09T18:14:09Z</dcterms:created>
  <dcterms:modified xsi:type="dcterms:W3CDTF">2024-07-01T13:08:15Z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0x010100883E987A696F1B43870FF55E93BDDF64</vt:lpwstr>
  </property>
</Properties>
</file>